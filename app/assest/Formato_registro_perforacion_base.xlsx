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wmf" ContentType="image/x-wmf"/>
  <Override PartName="/xl/media/image3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PERFORACIÓN " sheetId="1" state="visible" r:id="rId3"/>
  </sheets>
  <definedNames>
    <definedName function="false" hidden="false" localSheetId="0" name="_xlnm.Print_Area" vbProcedure="false">'REGISTRO DE PERFORACIÓN '!$B$2:$AL$124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S12" authorId="0">
      <text>
        <r>
          <rPr>
            <sz val="10"/>
            <rFont val="Arial"/>
            <family val="2"/>
          </rPr>
          <t xml:space="preserve">Excel Ing</t>
        </r>
        <r>
          <rPr>
            <sz val="9"/>
            <color rgb="FF000000"/>
            <rFont val="Tahoma"/>
            <family val="2"/>
            <charset val="1"/>
          </rPr>
          <t xml:space="preserve">: Seleccionar "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SI</t>
        </r>
        <r>
          <rPr>
            <sz val="9"/>
            <color rgb="FF000000"/>
            <rFont val="Tahoma"/>
            <family val="2"/>
            <charset val="1"/>
          </rPr>
          <t xml:space="preserve">", cuando se registre nivel freático en la perforación, Seleccionar "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NO</t>
        </r>
        <r>
          <rPr>
            <sz val="9"/>
            <color rgb="FF000000"/>
            <rFont val="Tahoma"/>
            <family val="2"/>
            <charset val="1"/>
          </rPr>
          <t xml:space="preserve">" en caso de que no se detecte nivel freático en la perforación
</t>
        </r>
      </text>
    </comment>
    <comment ref="AS13" authorId="0">
      <text>
        <r>
          <rPr>
            <sz val="10"/>
            <rFont val="Arial"/>
            <family val="2"/>
          </rPr>
          <t xml:space="preserve">Jhon L: Colocar valor "&lt;50" ó "&gt;50" correspondiente si el material es mayor o menor que el 50% pasa 200
</t>
        </r>
      </text>
    </comment>
  </commentList>
</comments>
</file>

<file path=xl/sharedStrings.xml><?xml version="1.0" encoding="utf-8"?>
<sst xmlns="http://schemas.openxmlformats.org/spreadsheetml/2006/main" count="467" uniqueCount="317">
  <si>
    <t xml:space="preserve">LOGO</t>
  </si>
  <si>
    <t xml:space="preserve">REGISTRO DE EXPLORACIÓN DEL SUBSUELO</t>
  </si>
  <si>
    <t xml:space="preserve">CÓDIGO</t>
  </si>
  <si>
    <t xml:space="preserve">COLOCAR % DE EFICIENCIA DEL MARTINETE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</si>
  <si>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Calibri"/>
        <family val="2"/>
        <charset val="1"/>
      </rPr>
      <t xml:space="preserve">=</t>
    </r>
  </si>
  <si>
    <t xml:space="preserve">%</t>
  </si>
  <si>
    <t xml:space="preserve">muy suelta</t>
  </si>
  <si>
    <t xml:space="preserve">muy blanda</t>
  </si>
  <si>
    <t xml:space="preserve">muy firme a dura</t>
  </si>
  <si>
    <t xml:space="preserve">FECHA</t>
  </si>
  <si>
    <t xml:space="preserve">De acuerdo a los resultados del analisis granulometrico, registre el % pasante tamiz 200 de acuerdo a lo siguiente: Gravas y arena "&lt;50", finos (arcillas o Limos) "&gt;50"</t>
  </si>
  <si>
    <t xml:space="preserve">Cuando se identidica en la perforación suelo granular, debe colocar en esta columna si el suelo granular es grueso o fino</t>
  </si>
  <si>
    <t xml:space="preserve">SI REALIZO LOS ENSAYOS CORRESPONDIENTES, REGISTRE AQUÍ LOS RESULTADOS DE ÁNGULO DE FRICCIÓN Y COHESIÓN. EN CASO CONTRARIO EL FORMATO ESTIMARÁ EL ÁNGULO DE FRICCIÓN Y COHESIÓN</t>
  </si>
  <si>
    <t xml:space="preserve">&lt;50</t>
  </si>
  <si>
    <t xml:space="preserve">CORRECIÓN POR EL DIAMETRO DE LA PERF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</si>
  <si>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Calibri"/>
        <family val="2"/>
        <charset val="1"/>
      </rPr>
      <t xml:space="preserve">=</t>
    </r>
  </si>
  <si>
    <t xml:space="preserve">muy suelta a suelta</t>
  </si>
  <si>
    <t xml:space="preserve">muy blanda a blanda</t>
  </si>
  <si>
    <t xml:space="preserve">dura</t>
  </si>
  <si>
    <t xml:space="preserve">MÉTODO DE PENETRACIÓN NORMAL Y MUESTREO CON TUBO PARTIDO DE LOS SUELOS</t>
  </si>
  <si>
    <t xml:space="preserve">REVISIÓN</t>
  </si>
  <si>
    <t xml:space="preserve">&gt;50</t>
  </si>
  <si>
    <t xml:space="preserve">CORRECCIÓN DEL MUESTREADOR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</si>
  <si>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Calibri"/>
        <family val="2"/>
        <charset val="1"/>
      </rPr>
      <t xml:space="preserve">=</t>
    </r>
  </si>
  <si>
    <t xml:space="preserve">suelta</t>
  </si>
  <si>
    <t xml:space="preserve">blanda</t>
  </si>
  <si>
    <t xml:space="preserve">ASTM D 1586 /AASHTO T 206         </t>
  </si>
  <si>
    <t xml:space="preserve">PÁGINA 1 DE 1</t>
  </si>
  <si>
    <t xml:space="preserve">CORRECCIÓN POR LONGITUD DE LA BARRA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</si>
  <si>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Calibri"/>
        <family val="2"/>
        <charset val="1"/>
      </rPr>
      <t xml:space="preserve">=</t>
    </r>
  </si>
  <si>
    <t xml:space="preserve">Varia ver tabla</t>
  </si>
  <si>
    <t xml:space="preserve">suelta a media</t>
  </si>
  <si>
    <t xml:space="preserve">blanda a media</t>
  </si>
  <si>
    <t xml:space="preserve">^</t>
  </si>
  <si>
    <t xml:space="preserve">CLIENTE</t>
  </si>
  <si>
    <t xml:space="preserve">sebastian</t>
  </si>
  <si>
    <t xml:space="preserve">FECHA:</t>
  </si>
  <si>
    <t xml:space="preserve">media</t>
  </si>
  <si>
    <t xml:space="preserve">ATENCIÓN:</t>
  </si>
  <si>
    <t xml:space="preserve">PERFORACIÓN No.</t>
  </si>
  <si>
    <t xml:space="preserve">media a densa</t>
  </si>
  <si>
    <t xml:space="preserve">media a firme</t>
  </si>
  <si>
    <t xml:space="preserve">PROYECTO:</t>
  </si>
  <si>
    <t xml:space="preserve">Nota: Las estimaciones aquí presentadas, son realizadas en promedio de acuerdo a distintos autores, el uso e interpretación de los resultados debe ser exclusivo del especialista en Geotécnia</t>
  </si>
  <si>
    <t xml:space="preserve">SI</t>
  </si>
  <si>
    <t xml:space="preserve">Grueso</t>
  </si>
  <si>
    <t xml:space="preserve">densa</t>
  </si>
  <si>
    <t xml:space="preserve">firme</t>
  </si>
  <si>
    <t xml:space="preserve">ESTIMACIÓN ANGULO DEF FRICCIÓN SUELOS GRANULARES</t>
  </si>
  <si>
    <t xml:space="preserve">ESTIMACIÓN GRADO DE FRICCIÓN SUELOS COHESIVOS</t>
  </si>
  <si>
    <t xml:space="preserve">ESTIMACIÓN DE LA COHESIÓN PARAS SUELOS FINOS</t>
  </si>
  <si>
    <t xml:space="preserve">LOCALIZACIÓN:</t>
  </si>
  <si>
    <t xml:space="preserve">PROFUNDIDAD, m</t>
  </si>
  <si>
    <t xml:space="preserve">NO</t>
  </si>
  <si>
    <t xml:space="preserve">Fino</t>
  </si>
  <si>
    <t xml:space="preserve">Peso Unitario de suelo γ (kN/m3)</t>
  </si>
  <si>
    <t xml:space="preserve">densa a muy densa</t>
  </si>
  <si>
    <t xml:space="preserve">firme a muy firme</t>
  </si>
  <si>
    <t xml:space="preserve">DUMHM</t>
  </si>
  <si>
    <t xml:space="preserve">TERZAGHI &amp; PECK</t>
  </si>
  <si>
    <t xml:space="preserve">OSAKI (1959)</t>
  </si>
  <si>
    <t xml:space="preserve">MEYERHOF (1965)</t>
  </si>
  <si>
    <t xml:space="preserve">KISHIDA (1969)</t>
  </si>
  <si>
    <t xml:space="preserve">MUROMACHI (1974)</t>
  </si>
  <si>
    <t xml:space="preserve">PECK (1975), DAS (1995) Y WOFF (1989)</t>
  </si>
  <si>
    <t xml:space="preserve">KATANAKA Y UCHIDA (1996)</t>
  </si>
  <si>
    <t xml:space="preserve">MONTENEGRO &amp; GONZALES (2014)</t>
  </si>
  <si>
    <t xml:space="preserve">Schmertmann 1975</t>
  </si>
  <si>
    <t xml:space="preserve">LIBRO JUAREZ BADILLO</t>
  </si>
  <si>
    <t xml:space="preserve">PROMEDIO</t>
  </si>
  <si>
    <t xml:space="preserve">Terzaghi y Peck (1948)</t>
  </si>
  <si>
    <t xml:space="preserve">Struod (1974)</t>
  </si>
  <si>
    <t xml:space="preserve">Bowles (….)</t>
  </si>
  <si>
    <t xml:space="preserve"> Navfac (1971)</t>
  </si>
  <si>
    <t xml:space="preserve">Promedio</t>
  </si>
  <si>
    <t xml:space="preserve">COORDENADAS, m</t>
  </si>
  <si>
    <t xml:space="preserve">NIVEL FRÉATCO Nf</t>
  </si>
  <si>
    <t xml:space="preserve">Lect. Inicial:</t>
  </si>
  <si>
    <t xml:space="preserve">Lect. Final:</t>
  </si>
  <si>
    <t xml:space="preserve">ESTADO DEL TIEMPO</t>
  </si>
  <si>
    <t xml:space="preserve">Cohesivo</t>
  </si>
  <si>
    <t xml:space="preserve">Granular</t>
  </si>
  <si>
    <t xml:space="preserve">muy densa</t>
  </si>
  <si>
    <t xml:space="preserve">muy firme</t>
  </si>
  <si>
    <t xml:space="preserve">Capacidad de carga ultima para suelos granulares Meyerhof 1965</t>
  </si>
  <si>
    <t xml:space="preserve">qadm Cohesive Soils - Meyerhof 1956 (modificado por Bowles 1996)</t>
  </si>
  <si>
    <t xml:space="preserve">con Kulhawy y Mayne 1990</t>
  </si>
  <si>
    <t xml:space="preserve">%PASA 200</t>
  </si>
  <si>
    <t xml:space="preserve">ɸ</t>
  </si>
  <si>
    <t xml:space="preserve">c´</t>
  </si>
  <si>
    <t xml:space="preserve">ULTIMOS 30 CM</t>
  </si>
  <si>
    <t xml:space="preserve">CRITERIO</t>
  </si>
  <si>
    <t xml:space="preserve">%PASA 200&gt;50%</t>
  </si>
  <si>
    <t xml:space="preserve">%PASA 200&lt;50%</t>
  </si>
  <si>
    <r>
      <rPr>
        <b val="true"/>
        <i val="true"/>
        <sz val="14"/>
        <color theme="1"/>
        <rFont val="Times New Roman"/>
        <family val="1"/>
        <charset val="1"/>
      </rPr>
      <t xml:space="preserve">σ</t>
    </r>
    <r>
      <rPr>
        <b val="true"/>
        <i val="true"/>
        <sz val="14"/>
        <color theme="1"/>
        <rFont val="Calibri"/>
        <family val="2"/>
        <charset val="1"/>
      </rPr>
      <t xml:space="preserve">´</t>
    </r>
  </si>
  <si>
    <t xml:space="preserve">PROF. m</t>
  </si>
  <si>
    <t xml:space="preserve">Muestra No</t>
  </si>
  <si>
    <t xml:space="preserve">Tipo</t>
  </si>
  <si>
    <t xml:space="preserve">Avance SPT</t>
  </si>
  <si>
    <t xml:space="preserve">SUCS</t>
  </si>
  <si>
    <t xml:space="preserve">Descripción del Subsuelo</t>
  </si>
  <si>
    <t xml:space="preserve">Nf</t>
  </si>
  <si>
    <t xml:space="preserve">Simbolo</t>
  </si>
  <si>
    <r>
      <rPr>
        <b val="true"/>
        <sz val="10"/>
        <color theme="1"/>
        <rFont val="Arial"/>
        <family val="2"/>
        <charset val="1"/>
      </rPr>
      <t xml:space="preserve">N</t>
    </r>
    <r>
      <rPr>
        <b val="true"/>
        <vertAlign val="subscript"/>
        <sz val="10"/>
        <color theme="1"/>
        <rFont val="Arial"/>
        <family val="2"/>
        <charset val="1"/>
      </rPr>
      <t xml:space="preserve">60</t>
    </r>
  </si>
  <si>
    <r>
      <rPr>
        <b val="true"/>
        <sz val="10"/>
        <color theme="1"/>
        <rFont val="Arial"/>
        <family val="2"/>
        <charset val="1"/>
      </rPr>
      <t xml:space="preserve">(N</t>
    </r>
    <r>
      <rPr>
        <b val="true"/>
        <vertAlign val="subscript"/>
        <sz val="10"/>
        <color theme="1"/>
        <rFont val="Arial"/>
        <family val="2"/>
        <charset val="1"/>
      </rPr>
      <t xml:space="preserve">1</t>
    </r>
    <r>
      <rPr>
        <b val="true"/>
        <sz val="10"/>
        <color theme="1"/>
        <rFont val="Arial"/>
        <family val="2"/>
        <charset val="1"/>
      </rPr>
      <t xml:space="preserve">)</t>
    </r>
    <r>
      <rPr>
        <b val="true"/>
        <vertAlign val="subscript"/>
        <sz val="10"/>
        <color theme="1"/>
        <rFont val="Arial"/>
        <family val="2"/>
        <charset val="1"/>
      </rPr>
      <t xml:space="preserve">60</t>
    </r>
  </si>
  <si>
    <r>
      <rPr>
        <b val="true"/>
        <sz val="10"/>
        <color theme="1"/>
        <rFont val="Arial"/>
        <family val="2"/>
        <charset val="1"/>
      </rPr>
      <t xml:space="preserve">Gráfica </t>
    </r>
    <r>
      <rPr>
        <b val="true"/>
        <i val="true"/>
        <sz val="10"/>
        <color theme="1"/>
        <rFont val="Arial"/>
        <family val="2"/>
        <charset val="1"/>
      </rPr>
      <t xml:space="preserve">N</t>
    </r>
    <r>
      <rPr>
        <b val="true"/>
        <i val="true"/>
        <vertAlign val="subscript"/>
        <sz val="10"/>
        <color theme="1"/>
        <rFont val="Arial"/>
        <family val="2"/>
        <charset val="1"/>
      </rPr>
      <t xml:space="preserve">60</t>
    </r>
    <r>
      <rPr>
        <b val="true"/>
        <i val="true"/>
        <sz val="10"/>
        <color theme="1"/>
        <rFont val="Arial"/>
        <family val="2"/>
        <charset val="1"/>
      </rPr>
      <t xml:space="preserve"> ; (N1)</t>
    </r>
    <r>
      <rPr>
        <b val="true"/>
        <i val="true"/>
        <vertAlign val="subscript"/>
        <sz val="10"/>
        <color theme="1"/>
        <rFont val="Arial"/>
        <family val="2"/>
        <charset val="1"/>
      </rPr>
      <t xml:space="preserve">60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</si>
  <si>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γ</t>
    </r>
    <r>
      <rPr>
        <b val="true"/>
        <i val="true"/>
        <vertAlign val="subscript"/>
        <sz val="11"/>
        <color theme="1"/>
        <rFont val="Calibri"/>
        <family val="2"/>
        <charset val="1"/>
      </rPr>
      <t xml:space="preserve">h</t>
    </r>
    <r>
      <rPr>
        <b val="true"/>
        <i val="true"/>
        <sz val="11"/>
        <color theme="1"/>
        <rFont val="Calibri"/>
        <family val="2"/>
        <charset val="1"/>
      </rPr>
      <t xml:space="preserve"> </t>
    </r>
    <r>
      <rPr>
        <b val="true"/>
        <sz val="10"/>
        <color theme="1"/>
        <rFont val="Calibri"/>
        <family val="2"/>
        <charset val="1"/>
      </rPr>
      <t xml:space="preserve">kN/m</t>
    </r>
    <r>
      <rPr>
        <b val="true"/>
        <vertAlign val="superscript"/>
        <sz val="10"/>
        <color theme="1"/>
        <rFont val="Calibri"/>
        <family val="2"/>
        <charset val="1"/>
      </rPr>
      <t xml:space="preserve">3</t>
    </r>
  </si>
  <si>
    <r>
      <rPr>
        <b val="true"/>
        <i val="true"/>
        <sz val="11"/>
        <color theme="1"/>
        <rFont val="Arial"/>
        <family val="2"/>
        <charset val="1"/>
      </rPr>
      <t xml:space="preserve">ɸ </t>
    </r>
    <r>
      <rPr>
        <b val="true"/>
        <sz val="11"/>
        <color theme="1"/>
        <rFont val="Arial"/>
        <family val="2"/>
        <charset val="1"/>
      </rPr>
      <t xml:space="preserve">(°)</t>
    </r>
  </si>
  <si>
    <r>
      <rPr>
        <b val="true"/>
        <i val="true"/>
        <sz val="11"/>
        <color theme="1"/>
        <rFont val="Arial"/>
        <family val="2"/>
        <charset val="1"/>
      </rPr>
      <t xml:space="preserve">c´</t>
    </r>
    <r>
      <rPr>
        <b val="true"/>
        <i val="true"/>
        <sz val="10"/>
        <color theme="1"/>
        <rFont val="Arial"/>
        <family val="2"/>
        <charset val="1"/>
      </rPr>
      <t xml:space="preserve"> </t>
    </r>
    <r>
      <rPr>
        <b val="true"/>
        <i val="true"/>
        <sz val="9"/>
        <color theme="1"/>
        <rFont val="Arial"/>
        <family val="2"/>
        <charset val="1"/>
      </rPr>
      <t xml:space="preserve"> </t>
    </r>
    <r>
      <rPr>
        <b val="true"/>
        <sz val="9"/>
        <color theme="1"/>
        <rFont val="Arial"/>
        <family val="2"/>
        <charset val="1"/>
      </rPr>
      <t xml:space="preserve">kg/cm</t>
    </r>
    <r>
      <rPr>
        <b val="true"/>
        <vertAlign val="superscript"/>
        <sz val="9"/>
        <color theme="1"/>
        <rFont val="Arial"/>
        <family val="2"/>
        <charset val="1"/>
      </rPr>
      <t xml:space="preserve">2</t>
    </r>
  </si>
  <si>
    <r>
      <rPr>
        <b val="true"/>
        <i val="true"/>
        <sz val="10"/>
        <color theme="1"/>
        <rFont val="Arial"/>
        <family val="2"/>
        <charset val="1"/>
      </rPr>
      <t xml:space="preserve">E</t>
    </r>
    <r>
      <rPr>
        <b val="true"/>
        <sz val="10"/>
        <color theme="1"/>
        <rFont val="Arial"/>
        <family val="2"/>
        <charset val="1"/>
      </rPr>
      <t xml:space="preserve"> </t>
    </r>
    <r>
      <rPr>
        <b val="true"/>
        <sz val="9"/>
        <color theme="1"/>
        <rFont val="Arial"/>
        <family val="2"/>
        <charset val="1"/>
      </rPr>
      <t xml:space="preserve">kg/cm</t>
    </r>
    <r>
      <rPr>
        <b val="true"/>
        <vertAlign val="superscript"/>
        <sz val="9"/>
        <color theme="1"/>
        <rFont val="Arial"/>
        <family val="2"/>
        <charset val="1"/>
      </rPr>
      <t xml:space="preserve">2</t>
    </r>
  </si>
  <si>
    <r>
      <rPr>
        <b val="true"/>
        <i val="true"/>
        <sz val="12"/>
        <color theme="1"/>
        <rFont val="Calibri"/>
        <family val="2"/>
        <charset val="1"/>
      </rPr>
      <t xml:space="preserve">μ</t>
    </r>
    <r>
      <rPr>
        <b val="true"/>
        <i val="true"/>
        <vertAlign val="subscript"/>
        <sz val="12"/>
        <color theme="1"/>
        <rFont val="Arial"/>
        <family val="2"/>
        <charset val="1"/>
      </rPr>
      <t xml:space="preserve">s</t>
    </r>
  </si>
  <si>
    <r>
      <rPr>
        <b val="true"/>
        <i val="true"/>
        <sz val="10"/>
        <color theme="1"/>
        <rFont val="Arial"/>
        <family val="2"/>
        <charset val="1"/>
      </rPr>
      <t xml:space="preserve">q</t>
    </r>
    <r>
      <rPr>
        <b val="true"/>
        <i val="true"/>
        <vertAlign val="subscript"/>
        <sz val="10"/>
        <color theme="1"/>
        <rFont val="Arial"/>
        <family val="2"/>
        <charset val="1"/>
      </rPr>
      <t xml:space="preserve">amd = </t>
    </r>
    <r>
      <rPr>
        <b val="true"/>
        <i val="true"/>
        <sz val="10"/>
        <color theme="1"/>
        <rFont val="Arial"/>
        <family val="2"/>
        <charset val="1"/>
      </rPr>
      <t xml:space="preserve">Capacidad de carga admisible</t>
    </r>
    <r>
      <rPr>
        <b val="true"/>
        <sz val="10"/>
        <color theme="1"/>
        <rFont val="Arial"/>
        <family val="2"/>
        <charset val="1"/>
      </rPr>
      <t xml:space="preserve"> (</t>
    </r>
    <r>
      <rPr>
        <b val="true"/>
        <sz val="9"/>
        <color theme="1"/>
        <rFont val="Arial"/>
        <family val="2"/>
        <charset val="1"/>
      </rPr>
      <t xml:space="preserve">Meyerhof 1956 / 1965),</t>
    </r>
    <r>
      <rPr>
        <b val="true"/>
        <sz val="10"/>
        <color theme="1"/>
        <rFont val="Arial"/>
        <family val="2"/>
        <charset val="1"/>
      </rPr>
      <t xml:space="preserve">  kg/cm</t>
    </r>
    <r>
      <rPr>
        <b val="true"/>
        <vertAlign val="superscript"/>
        <sz val="10"/>
        <color theme="1"/>
        <rFont val="Arial"/>
        <family val="2"/>
        <charset val="1"/>
      </rPr>
      <t xml:space="preserve">2</t>
    </r>
  </si>
  <si>
    <r>
      <rPr>
        <b val="true"/>
        <sz val="10"/>
        <color theme="1"/>
        <rFont val="Calibri"/>
        <family val="2"/>
        <charset val="1"/>
      </rPr>
      <t xml:space="preserve"> kg/cm</t>
    </r>
    <r>
      <rPr>
        <b val="true"/>
        <vertAlign val="superscript"/>
        <sz val="10"/>
        <color theme="1"/>
        <rFont val="Calibri"/>
        <family val="2"/>
        <charset val="1"/>
      </rPr>
      <t xml:space="preserve">2</t>
    </r>
    <r>
      <rPr>
        <b val="true"/>
        <sz val="10"/>
        <color theme="1"/>
        <rFont val="Calibri"/>
        <family val="2"/>
        <charset val="1"/>
      </rPr>
      <t xml:space="preserve">)</t>
    </r>
  </si>
  <si>
    <r>
      <rPr>
        <sz val="10"/>
        <color theme="1"/>
        <rFont val="Calibri"/>
        <family val="2"/>
        <charset val="1"/>
      </rPr>
      <t xml:space="preserve">FACTOR DE CORRECCIÓN PARA SUELOS GRANULARES </t>
    </r>
    <r>
      <rPr>
        <i val="true"/>
        <sz val="10"/>
        <color theme="1"/>
        <rFont val="Calibri"/>
        <family val="2"/>
        <charset val="1"/>
      </rPr>
      <t xml:space="preserve">CN</t>
    </r>
  </si>
  <si>
    <r>
      <rPr>
        <i val="true"/>
        <sz val="8"/>
        <color theme="1"/>
        <rFont val="Calibri"/>
        <family val="2"/>
        <charset val="1"/>
      </rPr>
      <t xml:space="preserve">E kg/cm</t>
    </r>
    <r>
      <rPr>
        <i val="true"/>
        <vertAlign val="superscript"/>
        <sz val="8"/>
        <color theme="1"/>
        <rFont val="Calibri"/>
        <family val="2"/>
        <charset val="1"/>
      </rPr>
      <t xml:space="preserve">2</t>
    </r>
  </si>
  <si>
    <t xml:space="preserve">B, m</t>
  </si>
  <si>
    <t xml:space="preserve">Rw2</t>
  </si>
  <si>
    <t xml:space="preserve">Factor de profundidad</t>
  </si>
  <si>
    <t xml:space="preserve">Meyerhof 1956</t>
  </si>
  <si>
    <t xml:space="preserve">0,15 m</t>
  </si>
  <si>
    <t xml:space="preserve"> kg/cm2</t>
  </si>
  <si>
    <t xml:space="preserve">PROF.</t>
  </si>
  <si>
    <t xml:space="preserve">Wet</t>
  </si>
  <si>
    <t xml:space="preserve">sat</t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</si>
  <si>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H</t>
    </r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</si>
  <si>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B</t>
    </r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</si>
  <si>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S</t>
    </r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</si>
  <si>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R</t>
    </r>
  </si>
  <si>
    <r>
      <rPr>
        <i val="true"/>
        <sz val="9"/>
        <color theme="1"/>
        <rFont val="Arial"/>
        <family val="2"/>
        <charset val="1"/>
      </rPr>
      <t xml:space="preserve">N</t>
    </r>
    <r>
      <rPr>
        <i val="true"/>
        <vertAlign val="subscript"/>
        <sz val="9"/>
        <color theme="1"/>
        <rFont val="Arial"/>
        <family val="2"/>
        <charset val="1"/>
      </rPr>
      <t xml:space="preserve">60</t>
    </r>
  </si>
  <si>
    <r>
      <rPr>
        <i val="true"/>
        <sz val="9"/>
        <color theme="1"/>
        <rFont val="Arial"/>
        <family val="2"/>
        <charset val="1"/>
      </rPr>
      <t xml:space="preserve">N</t>
    </r>
    <r>
      <rPr>
        <i val="true"/>
        <vertAlign val="subscript"/>
        <sz val="9"/>
        <color theme="1"/>
        <rFont val="Arial"/>
        <family val="2"/>
        <charset val="1"/>
      </rPr>
      <t xml:space="preserve">F</t>
    </r>
  </si>
  <si>
    <r>
      <rPr>
        <sz val="9"/>
        <color theme="1"/>
        <rFont val="Times New Roman"/>
        <family val="1"/>
        <charset val="1"/>
      </rPr>
      <t xml:space="preserve">γ (kN/m</t>
    </r>
    <r>
      <rPr>
        <vertAlign val="superscript"/>
        <sz val="9"/>
        <color theme="1"/>
        <rFont val="Times New Roman"/>
        <family val="1"/>
        <charset val="1"/>
      </rPr>
      <t xml:space="preserve">3</t>
    </r>
    <r>
      <rPr>
        <sz val="9"/>
        <color theme="1"/>
        <rFont val="Times New Roman"/>
        <family val="1"/>
        <charset val="1"/>
      </rPr>
      <t xml:space="preserve">)</t>
    </r>
  </si>
  <si>
    <r>
      <rPr>
        <i val="true"/>
        <sz val="9"/>
        <color theme="1"/>
        <rFont val="Times New Roman"/>
        <family val="1"/>
        <charset val="1"/>
      </rPr>
      <t xml:space="preserve">σ</t>
    </r>
    <r>
      <rPr>
        <sz val="9"/>
        <color theme="1"/>
        <rFont val="Times New Roman"/>
        <family val="1"/>
        <charset val="1"/>
      </rPr>
      <t xml:space="preserve"> (kN/m</t>
    </r>
    <r>
      <rPr>
        <vertAlign val="superscript"/>
        <sz val="9"/>
        <color theme="1"/>
        <rFont val="Times New Roman"/>
        <family val="1"/>
        <charset val="1"/>
      </rPr>
      <t xml:space="preserve">2</t>
    </r>
    <r>
      <rPr>
        <sz val="9"/>
        <color theme="1"/>
        <rFont val="Times New Roman"/>
        <family val="1"/>
        <charset val="1"/>
      </rPr>
      <t xml:space="preserve">)</t>
    </r>
  </si>
  <si>
    <r>
      <rPr>
        <i val="true"/>
        <sz val="8"/>
        <color theme="1"/>
        <rFont val="Calibri"/>
        <family val="2"/>
        <charset val="1"/>
      </rPr>
      <t xml:space="preserve">μ</t>
    </r>
    <r>
      <rPr>
        <i val="true"/>
        <sz val="8"/>
        <color theme="1"/>
        <rFont val="Times New Roman"/>
        <family val="1"/>
        <charset val="1"/>
      </rPr>
      <t xml:space="preserve">v</t>
    </r>
    <r>
      <rPr>
        <sz val="8"/>
        <color theme="1"/>
        <rFont val="Times New Roman"/>
        <family val="1"/>
        <charset val="1"/>
      </rPr>
      <t xml:space="preserve"> (kN/m</t>
    </r>
    <r>
      <rPr>
        <vertAlign val="superscript"/>
        <sz val="8"/>
        <color theme="1"/>
        <rFont val="Times New Roman"/>
        <family val="1"/>
        <charset val="1"/>
      </rPr>
      <t xml:space="preserve">2</t>
    </r>
    <r>
      <rPr>
        <sz val="8"/>
        <color theme="1"/>
        <rFont val="Times New Roman"/>
        <family val="1"/>
        <charset val="1"/>
      </rPr>
      <t xml:space="preserve">)</t>
    </r>
  </si>
  <si>
    <r>
      <rPr>
        <i val="true"/>
        <sz val="8"/>
        <color theme="1"/>
        <rFont val="Times New Roman"/>
        <family val="1"/>
        <charset val="1"/>
      </rPr>
      <t xml:space="preserve">σ</t>
    </r>
    <r>
      <rPr>
        <i val="true"/>
        <sz val="8"/>
        <color theme="1"/>
        <rFont val="Calibri"/>
        <family val="2"/>
        <charset val="1"/>
      </rPr>
      <t xml:space="preserve">´</t>
    </r>
    <r>
      <rPr>
        <i val="true"/>
        <sz val="8"/>
        <color theme="1"/>
        <rFont val="Times New Roman"/>
        <family val="1"/>
        <charset val="1"/>
      </rPr>
      <t xml:space="preserve"> </t>
    </r>
    <r>
      <rPr>
        <sz val="8"/>
        <color theme="1"/>
        <rFont val="Times New Roman"/>
        <family val="1"/>
        <charset val="1"/>
      </rPr>
      <t xml:space="preserve">(kN/m</t>
    </r>
    <r>
      <rPr>
        <vertAlign val="superscript"/>
        <sz val="8"/>
        <color theme="1"/>
        <rFont val="Times New Roman"/>
        <family val="1"/>
        <charset val="1"/>
      </rPr>
      <t xml:space="preserve">2</t>
    </r>
    <r>
      <rPr>
        <sz val="8"/>
        <color theme="1"/>
        <rFont val="Times New Roman"/>
        <family val="1"/>
        <charset val="1"/>
      </rPr>
      <t xml:space="preserve">)</t>
    </r>
  </si>
  <si>
    <r>
      <rPr>
        <i val="true"/>
        <sz val="8"/>
        <color theme="1"/>
        <rFont val="Times New Roman"/>
        <family val="1"/>
        <charset val="1"/>
      </rPr>
      <t xml:space="preserve">σ</t>
    </r>
    <r>
      <rPr>
        <i val="true"/>
        <sz val="8"/>
        <color theme="1"/>
        <rFont val="Calibri"/>
        <family val="2"/>
        <charset val="1"/>
      </rPr>
      <t xml:space="preserve">´/ Pa</t>
    </r>
    <r>
      <rPr>
        <i val="true"/>
        <sz val="8"/>
        <color theme="1"/>
        <rFont val="Times New Roman"/>
        <family val="1"/>
        <charset val="1"/>
      </rPr>
      <t xml:space="preserve"> </t>
    </r>
    <r>
      <rPr>
        <sz val="8"/>
        <color theme="1"/>
        <rFont val="Times New Roman"/>
        <family val="1"/>
        <charset val="1"/>
      </rPr>
      <t xml:space="preserve">(kN/m</t>
    </r>
    <r>
      <rPr>
        <vertAlign val="superscript"/>
        <sz val="8"/>
        <color theme="1"/>
        <rFont val="Times New Roman"/>
        <family val="1"/>
        <charset val="1"/>
      </rPr>
      <t xml:space="preserve">2</t>
    </r>
    <r>
      <rPr>
        <sz val="8"/>
        <color theme="1"/>
        <rFont val="Times New Roman"/>
        <family val="1"/>
        <charset val="1"/>
      </rPr>
      <t xml:space="preserve">)</t>
    </r>
  </si>
  <si>
    <t xml:space="preserve">González</t>
  </si>
  <si>
    <t xml:space="preserve">Factor CN, Liao &amp; Whitman 86 / Kayen 92</t>
  </si>
  <si>
    <t xml:space="preserve">Meyerhof &amp; Ishihara</t>
  </si>
  <si>
    <t xml:space="preserve">Peck</t>
  </si>
  <si>
    <t xml:space="preserve">Schmertman</t>
  </si>
  <si>
    <t xml:space="preserve">Seed</t>
  </si>
  <si>
    <t xml:space="preserve">Seed &amp; Idriss (Marcuson)</t>
  </si>
  <si>
    <t xml:space="preserve">Skempton</t>
  </si>
  <si>
    <t xml:space="preserve">Bazaraa</t>
  </si>
  <si>
    <r>
      <rPr>
        <sz val="8"/>
        <color theme="1"/>
        <rFont val="Calibri"/>
        <family val="2"/>
        <charset val="1"/>
      </rPr>
      <t xml:space="preserve">Promedio</t>
    </r>
    <r>
      <rPr>
        <i val="true"/>
        <sz val="8"/>
        <color theme="1"/>
        <rFont val="Calibri"/>
        <family val="2"/>
        <charset val="1"/>
      </rPr>
      <t xml:space="preserve"> CN</t>
    </r>
  </si>
  <si>
    <r>
      <rPr>
        <i val="true"/>
        <sz val="8"/>
        <color theme="1"/>
        <rFont val="Calibri"/>
        <family val="2"/>
        <charset val="1"/>
      </rPr>
      <t xml:space="preserve">(N1)</t>
    </r>
    <r>
      <rPr>
        <i val="true"/>
        <vertAlign val="subscript"/>
        <sz val="8"/>
        <color theme="1"/>
        <rFont val="Calibri"/>
        <family val="2"/>
        <charset val="1"/>
      </rPr>
      <t xml:space="preserve">60</t>
    </r>
  </si>
  <si>
    <t xml:space="preserve">OCR</t>
  </si>
  <si>
    <t xml:space="preserve">qu kPa</t>
  </si>
  <si>
    <t xml:space="preserve">Cu kPa</t>
  </si>
  <si>
    <t xml:space="preserve">Beguemnn 1974 (gravas y arenas)</t>
  </si>
  <si>
    <t xml:space="preserve">Webb 1974 ( arenas)</t>
  </si>
  <si>
    <t xml:space="preserve">Meigh y Nixon 1962 - Arenas</t>
  </si>
  <si>
    <t xml:space="preserve">D´Apolonia 1970 (arenas normalmente conso)</t>
  </si>
  <si>
    <t xml:space="preserve">Bowles 1988 - Arenas</t>
  </si>
  <si>
    <t xml:space="preserve">Shcmertmann 1970 - Arenas</t>
  </si>
  <si>
    <t xml:space="preserve">Braja Das - Arena</t>
  </si>
  <si>
    <t xml:space="preserve">Denver 1982</t>
  </si>
  <si>
    <t xml:space="preserve">Meigh y Nixon 1961 (finos)</t>
  </si>
  <si>
    <t xml:space="preserve">Braja Das - Finos</t>
  </si>
  <si>
    <t xml:space="preserve">Butler 1974 - Finos</t>
  </si>
  <si>
    <r>
      <rPr>
        <i val="true"/>
        <sz val="10"/>
        <color theme="1"/>
        <rFont val="Calibri"/>
        <family val="2"/>
        <charset val="1"/>
      </rPr>
      <t xml:space="preserve">μ</t>
    </r>
    <r>
      <rPr>
        <i val="true"/>
        <vertAlign val="subscript"/>
        <sz val="10"/>
        <color theme="1"/>
        <rFont val="Calibri"/>
        <family val="2"/>
        <charset val="1"/>
      </rPr>
      <t xml:space="preserve">s</t>
    </r>
    <r>
      <rPr>
        <sz val="8"/>
        <color theme="1"/>
        <rFont val="Calibri"/>
        <family val="2"/>
        <charset val="1"/>
      </rPr>
      <t xml:space="preserve"> granular</t>
    </r>
  </si>
  <si>
    <r>
      <rPr>
        <i val="true"/>
        <sz val="10"/>
        <color theme="1"/>
        <rFont val="Calibri"/>
        <family val="2"/>
        <charset val="1"/>
      </rPr>
      <t xml:space="preserve">μ</t>
    </r>
    <r>
      <rPr>
        <i val="true"/>
        <vertAlign val="subscript"/>
        <sz val="10"/>
        <color theme="1"/>
        <rFont val="Calibri"/>
        <family val="2"/>
        <charset val="1"/>
      </rPr>
      <t xml:space="preserve">s</t>
    </r>
    <r>
      <rPr>
        <sz val="8"/>
        <color theme="1"/>
        <rFont val="Calibri"/>
        <family val="2"/>
        <charset val="1"/>
      </rPr>
      <t xml:space="preserve"> fino</t>
    </r>
  </si>
  <si>
    <r>
      <rPr>
        <i val="true"/>
        <sz val="12"/>
        <color theme="1"/>
        <rFont val="Calibri"/>
        <family val="2"/>
        <charset val="1"/>
      </rPr>
      <t xml:space="preserve">μ</t>
    </r>
    <r>
      <rPr>
        <i val="true"/>
        <vertAlign val="subscript"/>
        <sz val="12"/>
        <color theme="1"/>
        <rFont val="Calibri"/>
        <family val="2"/>
        <charset val="1"/>
      </rPr>
      <t xml:space="preserve">s</t>
    </r>
  </si>
  <si>
    <t xml:space="preserve">N´</t>
  </si>
  <si>
    <r>
      <rPr>
        <i val="true"/>
        <sz val="8"/>
        <color theme="1"/>
        <rFont val="Calibri"/>
        <family val="2"/>
        <charset val="1"/>
      </rPr>
      <t xml:space="preserve">Cw1</t>
    </r>
    <r>
      <rPr>
        <i val="true"/>
        <vertAlign val="subscript"/>
        <sz val="8"/>
        <color theme="1"/>
        <rFont val="Calibri"/>
        <family val="2"/>
        <charset val="1"/>
      </rPr>
      <t xml:space="preserve">-1</t>
    </r>
  </si>
  <si>
    <r>
      <rPr>
        <i val="true"/>
        <sz val="8"/>
        <color theme="1"/>
        <rFont val="Calibri"/>
        <family val="2"/>
        <charset val="1"/>
      </rPr>
      <t xml:space="preserve">Cw1</t>
    </r>
    <r>
      <rPr>
        <i val="true"/>
        <vertAlign val="subscript"/>
        <sz val="8"/>
        <color theme="1"/>
        <rFont val="Calibri"/>
        <family val="2"/>
        <charset val="1"/>
      </rPr>
      <t xml:space="preserve">-2</t>
    </r>
  </si>
  <si>
    <r>
      <rPr>
        <i val="true"/>
        <sz val="8"/>
        <color theme="1"/>
        <rFont val="Calibri"/>
        <family val="2"/>
        <charset val="1"/>
      </rPr>
      <t xml:space="preserve">Cw1</t>
    </r>
    <r>
      <rPr>
        <i val="true"/>
        <vertAlign val="subscript"/>
        <sz val="8"/>
        <color theme="1"/>
        <rFont val="Calibri"/>
        <family val="2"/>
        <charset val="1"/>
      </rPr>
      <t xml:space="preserve">-3</t>
    </r>
  </si>
  <si>
    <r>
      <rPr>
        <i val="true"/>
        <sz val="8"/>
        <color theme="1"/>
        <rFont val="Calibri"/>
        <family val="2"/>
        <charset val="1"/>
      </rPr>
      <t xml:space="preserve">Cw2</t>
    </r>
    <r>
      <rPr>
        <i val="true"/>
        <vertAlign val="subscript"/>
        <sz val="8"/>
        <color theme="1"/>
        <rFont val="Calibri"/>
        <family val="2"/>
        <charset val="1"/>
      </rPr>
      <t xml:space="preserve">-1</t>
    </r>
  </si>
  <si>
    <r>
      <rPr>
        <i val="true"/>
        <sz val="8"/>
        <color theme="1"/>
        <rFont val="Calibri"/>
        <family val="2"/>
        <charset val="1"/>
      </rPr>
      <t xml:space="preserve">Cw2</t>
    </r>
    <r>
      <rPr>
        <i val="true"/>
        <vertAlign val="subscript"/>
        <sz val="8"/>
        <color theme="1"/>
        <rFont val="Calibri"/>
        <family val="2"/>
        <charset val="1"/>
      </rPr>
      <t xml:space="preserve">-2</t>
    </r>
  </si>
  <si>
    <r>
      <rPr>
        <i val="true"/>
        <sz val="8"/>
        <color theme="1"/>
        <rFont val="Calibri"/>
        <family val="2"/>
        <charset val="1"/>
      </rPr>
      <t xml:space="preserve">Cw2</t>
    </r>
    <r>
      <rPr>
        <i val="true"/>
        <vertAlign val="subscript"/>
        <sz val="8"/>
        <color theme="1"/>
        <rFont val="Calibri"/>
        <family val="2"/>
        <charset val="1"/>
      </rPr>
      <t xml:space="preserve">-3</t>
    </r>
  </si>
  <si>
    <t xml:space="preserve">Fd'1</t>
  </si>
  <si>
    <t xml:space="preserve">Fd'2</t>
  </si>
  <si>
    <t xml:space="preserve">Fd'3</t>
  </si>
  <si>
    <t xml:space="preserve">B</t>
  </si>
  <si>
    <t xml:space="preserve">B=</t>
  </si>
  <si>
    <t xml:space="preserve">SIM_1</t>
  </si>
  <si>
    <t xml:space="preserve">INDICE(SIM_0;COINCIDIR($BA$17;GRANULAR;0))</t>
  </si>
  <si>
    <t xml:space="preserve">SIM_2</t>
  </si>
  <si>
    <t xml:space="preserve">INDICE(SIM_0;COINCIDIR($BA$18;GRANULAR;0))</t>
  </si>
  <si>
    <t xml:space="preserve">SIM_3</t>
  </si>
  <si>
    <t xml:space="preserve">INDICE(SIM_0;COINCIDIR($BA$19;GRANULAR;0))</t>
  </si>
  <si>
    <t xml:space="preserve">SIM_4</t>
  </si>
  <si>
    <t xml:space="preserve">SIM_5</t>
  </si>
  <si>
    <t xml:space="preserve">SIM_6</t>
  </si>
  <si>
    <t xml:space="preserve">SIM_7</t>
  </si>
  <si>
    <t xml:space="preserve">SIM_8</t>
  </si>
  <si>
    <t xml:space="preserve">SIM_9</t>
  </si>
  <si>
    <t xml:space="preserve">SIM_10</t>
  </si>
  <si>
    <t xml:space="preserve">SIM_11</t>
  </si>
  <si>
    <t xml:space="preserve">SIM_12</t>
  </si>
  <si>
    <t xml:space="preserve">SIM_13</t>
  </si>
  <si>
    <t xml:space="preserve">SIM_14</t>
  </si>
  <si>
    <t xml:space="preserve">SIM_15</t>
  </si>
  <si>
    <t xml:space="preserve">SIM_16</t>
  </si>
  <si>
    <t xml:space="preserve">SIM_17</t>
  </si>
  <si>
    <t xml:space="preserve">SIM_18</t>
  </si>
  <si>
    <t xml:space="preserve">SIM_19</t>
  </si>
  <si>
    <t xml:space="preserve">SIM_20</t>
  </si>
  <si>
    <t xml:space="preserve">SIM_21</t>
  </si>
  <si>
    <t xml:space="preserve">SIM_22</t>
  </si>
  <si>
    <t xml:space="preserve">SIM_23</t>
  </si>
  <si>
    <t xml:space="preserve">SIM_24</t>
  </si>
  <si>
    <t xml:space="preserve">SIM_25</t>
  </si>
  <si>
    <t xml:space="preserve">SIM_26</t>
  </si>
  <si>
    <t xml:space="preserve">SIM_27</t>
  </si>
  <si>
    <t xml:space="preserve">SIM_28</t>
  </si>
  <si>
    <t xml:space="preserve">SIM_29</t>
  </si>
  <si>
    <t xml:space="preserve">SIM_30</t>
  </si>
  <si>
    <t xml:space="preserve">SIM_31</t>
  </si>
  <si>
    <t xml:space="preserve">SIM_32</t>
  </si>
  <si>
    <t xml:space="preserve">SIM_33</t>
  </si>
  <si>
    <t xml:space="preserve">SIM_34</t>
  </si>
  <si>
    <t xml:space="preserve">SIM_35</t>
  </si>
  <si>
    <t xml:space="preserve">SIM_36</t>
  </si>
  <si>
    <t xml:space="preserve">SIM_37</t>
  </si>
  <si>
    <t xml:space="preserve">SIM_38</t>
  </si>
  <si>
    <t xml:space="preserve">SIM_39</t>
  </si>
  <si>
    <t xml:space="preserve">SIM_40</t>
  </si>
  <si>
    <t xml:space="preserve">SIM_41</t>
  </si>
  <si>
    <t xml:space="preserve">SIM_42</t>
  </si>
  <si>
    <t xml:space="preserve">SIM_43</t>
  </si>
  <si>
    <t xml:space="preserve">SIM_44</t>
  </si>
  <si>
    <t xml:space="preserve">SIM_45</t>
  </si>
  <si>
    <t xml:space="preserve">SIM_46</t>
  </si>
  <si>
    <t xml:space="preserve">SIM_47</t>
  </si>
  <si>
    <t xml:space="preserve">SIM_48</t>
  </si>
  <si>
    <t xml:space="preserve">SIM_49</t>
  </si>
  <si>
    <t xml:space="preserve">SIM_50</t>
  </si>
  <si>
    <t xml:space="preserve">SIM_51</t>
  </si>
  <si>
    <t xml:space="preserve">SIM_52</t>
  </si>
  <si>
    <t xml:space="preserve">SIM_53</t>
  </si>
  <si>
    <t xml:space="preserve">SIM_54</t>
  </si>
  <si>
    <t xml:space="preserve">SIM_55</t>
  </si>
  <si>
    <t xml:space="preserve">SIM_56</t>
  </si>
  <si>
    <t xml:space="preserve">SIM_57</t>
  </si>
  <si>
    <t xml:space="preserve">SIM_58</t>
  </si>
  <si>
    <t xml:space="preserve">SIM_59</t>
  </si>
  <si>
    <t xml:space="preserve">SIM_60</t>
  </si>
  <si>
    <t xml:space="preserve">SIM_61</t>
  </si>
  <si>
    <t xml:space="preserve">SIM_62</t>
  </si>
  <si>
    <t xml:space="preserve">SIM_63</t>
  </si>
  <si>
    <t xml:space="preserve">SIM_64</t>
  </si>
  <si>
    <t xml:space="preserve">SIM_65</t>
  </si>
  <si>
    <t xml:space="preserve">SIM_66</t>
  </si>
  <si>
    <t xml:space="preserve">SIM_67</t>
  </si>
  <si>
    <t xml:space="preserve">SIM_68</t>
  </si>
  <si>
    <t xml:space="preserve">SIM_69</t>
  </si>
  <si>
    <t xml:space="preserve">SIM_70</t>
  </si>
  <si>
    <t xml:space="preserve">SIM_71</t>
  </si>
  <si>
    <t xml:space="preserve">SIM_72</t>
  </si>
  <si>
    <t xml:space="preserve">SIM_73</t>
  </si>
  <si>
    <t xml:space="preserve">SIM_74</t>
  </si>
  <si>
    <t xml:space="preserve">SIM_75</t>
  </si>
  <si>
    <t xml:space="preserve">SIM_76</t>
  </si>
  <si>
    <t xml:space="preserve">SIM_77</t>
  </si>
  <si>
    <t xml:space="preserve">SIM_78</t>
  </si>
  <si>
    <t xml:space="preserve">SIM_79</t>
  </si>
  <si>
    <t xml:space="preserve">SIM_80</t>
  </si>
  <si>
    <t xml:space="preserve">SIM_81</t>
  </si>
  <si>
    <t xml:space="preserve">SIM_82</t>
  </si>
  <si>
    <t xml:space="preserve">SIM_83</t>
  </si>
  <si>
    <t xml:space="preserve">SIM_84</t>
  </si>
  <si>
    <t xml:space="preserve">SIM_85</t>
  </si>
  <si>
    <t xml:space="preserve">SIM_86</t>
  </si>
  <si>
    <t xml:space="preserve">SIM_87</t>
  </si>
  <si>
    <t xml:space="preserve">SIM_88</t>
  </si>
  <si>
    <t xml:space="preserve">SIM_89</t>
  </si>
  <si>
    <t xml:space="preserve">SIM_90</t>
  </si>
  <si>
    <t xml:space="preserve">SIM_91</t>
  </si>
  <si>
    <t xml:space="preserve">SIM_92</t>
  </si>
  <si>
    <t xml:space="preserve">SIM_93</t>
  </si>
  <si>
    <t xml:space="preserve">SIM_94</t>
  </si>
  <si>
    <t xml:space="preserve">SIM_95</t>
  </si>
  <si>
    <t xml:space="preserve">SIM_96</t>
  </si>
  <si>
    <t xml:space="preserve">SIM_97</t>
  </si>
  <si>
    <t xml:space="preserve">SIM_98</t>
  </si>
  <si>
    <t xml:space="preserve">SIM_99</t>
  </si>
  <si>
    <t xml:space="preserve">SIM_100</t>
  </si>
  <si>
    <t xml:space="preserve">EQUIPO DE PERFORACIÓN</t>
  </si>
  <si>
    <t xml:space="preserve">DATOS DE CAMPO</t>
  </si>
  <si>
    <t xml:space="preserve">Eficiencia del Martillo SPT %:</t>
  </si>
  <si>
    <t xml:space="preserve">Masa del Martillo, kg:</t>
  </si>
  <si>
    <t xml:space="preserve">Caida, m</t>
  </si>
  <si>
    <t xml:space="preserve">Cl</t>
  </si>
  <si>
    <t xml:space="preserve">Calicata</t>
  </si>
  <si>
    <t xml:space="preserve">C:</t>
  </si>
  <si>
    <t xml:space="preserve">Muestra cuchara partida</t>
  </si>
  <si>
    <t xml:space="preserve">Sh:</t>
  </si>
  <si>
    <t xml:space="preserve">Muestra Inalterada (shelby)</t>
  </si>
  <si>
    <t xml:space="preserve">Nivel Freático Final:</t>
  </si>
  <si>
    <t xml:space="preserve">↓</t>
  </si>
  <si>
    <r>
      <rPr>
        <i val="true"/>
        <sz val="8"/>
        <color theme="1"/>
        <rFont val="Times New Roman"/>
        <family val="1"/>
        <charset val="1"/>
      </rPr>
      <t xml:space="preserve">γ</t>
    </r>
    <r>
      <rPr>
        <i val="true"/>
        <vertAlign val="subscript"/>
        <sz val="8"/>
        <color theme="1"/>
        <rFont val="Arial"/>
        <family val="2"/>
        <charset val="1"/>
      </rPr>
      <t xml:space="preserve">h</t>
    </r>
    <r>
      <rPr>
        <sz val="8"/>
        <color theme="1"/>
        <rFont val="Arial"/>
        <family val="2"/>
        <charset val="1"/>
      </rPr>
      <t xml:space="preserve"> = Densidad natural del suelo</t>
    </r>
  </si>
  <si>
    <r>
      <rPr>
        <i val="true"/>
        <sz val="8"/>
        <color theme="1"/>
        <rFont val="Arial"/>
        <family val="2"/>
        <charset val="1"/>
      </rPr>
      <t xml:space="preserve">E </t>
    </r>
    <r>
      <rPr>
        <sz val="8"/>
        <color theme="1"/>
        <rFont val="Arial"/>
        <family val="2"/>
        <charset val="1"/>
      </rPr>
      <t xml:space="preserve">= Módulo de elasticidad</t>
    </r>
  </si>
  <si>
    <r>
      <rPr>
        <sz val="8"/>
        <color theme="1"/>
        <rFont val="Arial"/>
        <family val="2"/>
        <charset val="1"/>
      </rPr>
      <t xml:space="preserve">Nota: Las estimaciones de angulo de fricción y cohesión, deben verificarse con ensayos de laboratorio.</t>
    </r>
    <r>
      <rPr>
        <i val="true"/>
        <sz val="8"/>
        <color theme="1"/>
        <rFont val="Arial"/>
        <family val="2"/>
        <charset val="1"/>
      </rPr>
      <t xml:space="preserve"> qadm</t>
    </r>
    <r>
      <rPr>
        <sz val="8"/>
        <color theme="1"/>
        <rFont val="Arial"/>
        <family val="2"/>
        <charset val="1"/>
      </rPr>
      <t xml:space="preserve"> estimada, debe verificarse con un analisis más profundo de la capacidad admisible de carga del suelo</t>
    </r>
  </si>
  <si>
    <r>
      <rPr>
        <i val="true"/>
        <sz val="8"/>
        <color theme="1"/>
        <rFont val="Arial"/>
        <family val="2"/>
        <charset val="1"/>
      </rPr>
      <t xml:space="preserve">ɸ (°</t>
    </r>
    <r>
      <rPr>
        <sz val="8"/>
        <color theme="1"/>
        <rFont val="Arial"/>
        <family val="2"/>
        <charset val="1"/>
      </rPr>
      <t xml:space="preserve">) = Ángulo de fricción</t>
    </r>
  </si>
  <si>
    <r>
      <rPr>
        <i val="true"/>
        <sz val="8"/>
        <color theme="1"/>
        <rFont val="Arial"/>
        <family val="2"/>
        <charset val="1"/>
      </rPr>
      <t xml:space="preserve">μ</t>
    </r>
    <r>
      <rPr>
        <i val="true"/>
        <vertAlign val="subscript"/>
        <sz val="8"/>
        <color theme="1"/>
        <rFont val="Arial"/>
        <family val="2"/>
        <charset val="1"/>
      </rPr>
      <t xml:space="preserve">s</t>
    </r>
    <r>
      <rPr>
        <sz val="8"/>
        <color theme="1"/>
        <rFont val="Arial"/>
        <family val="2"/>
        <charset val="1"/>
      </rPr>
      <t xml:space="preserve"> = Módulo de Poisson</t>
    </r>
  </si>
  <si>
    <t xml:space="preserve">REALIZÓ</t>
  </si>
  <si>
    <t xml:space="preserve">APROBÓ</t>
  </si>
  <si>
    <r>
      <rPr>
        <i val="true"/>
        <sz val="8"/>
        <color theme="1"/>
        <rFont val="Arial"/>
        <family val="2"/>
        <charset val="1"/>
      </rPr>
      <t xml:space="preserve">c´ </t>
    </r>
    <r>
      <rPr>
        <sz val="8"/>
        <color theme="1"/>
        <rFont val="Arial"/>
        <family val="2"/>
        <charset val="1"/>
      </rPr>
      <t xml:space="preserve">= Cohesión no dredana</t>
    </r>
  </si>
  <si>
    <t xml:space="preserve">qamd =  Meyerhof 1695 para granular/ 1956 para finos (modificado por Bowles 1996)</t>
  </si>
  <si>
    <t xml:space="preserve">ARENA</t>
  </si>
  <si>
    <t xml:space="preserve">GRAVAS</t>
  </si>
  <si>
    <t xml:space="preserve">CL</t>
  </si>
  <si>
    <t xml:space="preserve">CH</t>
  </si>
  <si>
    <t xml:space="preserve">I I I I I I I I I</t>
  </si>
  <si>
    <t xml:space="preserve">ML</t>
  </si>
  <si>
    <t xml:space="preserve">SIM_0</t>
  </si>
  <si>
    <t xml:space="preserve">MH</t>
  </si>
  <si>
    <t xml:space="preserve">S</t>
  </si>
  <si>
    <t xml:space="preserve">G</t>
  </si>
  <si>
    <t xml:space="preserve">X</t>
  </si>
  <si>
    <t xml:space="preserve">I : I : I : I : I</t>
  </si>
  <si>
    <t xml:space="preserve">OL</t>
  </si>
  <si>
    <t xml:space="preserve">٪٪٪٪٪٪٪</t>
  </si>
  <si>
    <t xml:space="preserve">OH</t>
  </si>
  <si>
    <t xml:space="preserve">ŴŴŴŴŴŴ</t>
  </si>
  <si>
    <t xml:space="preserve">PT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</si>
</sst>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General"/>
    <numFmt numFmtId="167" formatCode="dd/mm/yyyy"/>
    <numFmt numFmtId="168" formatCode="@"/>
    <numFmt numFmtId="169" formatCode="0.0"/>
    <numFmt numFmtId="170" formatCode="0.0\m"/>
    <numFmt numFmtId="171" formatCode="0.000"/>
    <numFmt numFmtId="172" formatCode="0.0&quot; ↓&quot;"/>
    <numFmt numFmtId="173" formatCode="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8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vertAlign val="subscript"/>
      <sz val="11"/>
      <color theme="1"/>
      <name val="Calibri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9"/>
      <color rgb="FF0000F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sz val="9"/>
      <color theme="1"/>
      <name val="Malgun Gothic"/>
      <family val="2"/>
      <charset val="1"/>
    </font>
    <font>
      <sz val="9"/>
      <color theme="1"/>
      <name val="Calibri"/>
      <family val="2"/>
      <charset val="1"/>
    </font>
    <font>
      <b val="true"/>
      <sz val="8"/>
      <color theme="1"/>
      <name val="Malgun Gothic"/>
      <family val="2"/>
      <charset val="1"/>
    </font>
    <font>
      <b val="true"/>
      <sz val="9"/>
      <color theme="1"/>
      <name val="Malgun Gothic"/>
      <family val="2"/>
      <charset val="1"/>
    </font>
    <font>
      <u val="single"/>
      <sz val="9"/>
      <color theme="1"/>
      <name val="Arial"/>
      <family val="2"/>
      <charset val="1"/>
    </font>
    <font>
      <sz val="12"/>
      <name val="Arial"/>
      <family val="2"/>
      <charset val="1"/>
    </font>
    <font>
      <b val="true"/>
      <i val="true"/>
      <sz val="14"/>
      <color theme="1"/>
      <name val="Times New Roman"/>
      <family val="1"/>
      <charset val="1"/>
    </font>
    <font>
      <b val="true"/>
      <i val="true"/>
      <sz val="14"/>
      <color theme="1"/>
      <name val="Calibri"/>
      <family val="2"/>
      <charset val="1"/>
    </font>
    <font>
      <b val="true"/>
      <vertAlign val="subscript"/>
      <sz val="10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b val="true"/>
      <i val="true"/>
      <vertAlign val="subscript"/>
      <sz val="10"/>
      <color theme="1"/>
      <name val="Arial"/>
      <family val="2"/>
      <charset val="1"/>
    </font>
    <font>
      <b val="true"/>
      <i val="true"/>
      <sz val="11"/>
      <color theme="1"/>
      <name val="Times New Roman"/>
      <family val="1"/>
      <charset val="1"/>
    </font>
    <font>
      <b val="true"/>
      <i val="true"/>
      <vertAlign val="subscript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vertAlign val="superscript"/>
      <sz val="10"/>
      <color theme="1"/>
      <name val="Calibri"/>
      <family val="2"/>
      <charset val="1"/>
    </font>
    <font>
      <b val="true"/>
      <i val="true"/>
      <sz val="11"/>
      <color theme="1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b val="true"/>
      <vertAlign val="superscript"/>
      <sz val="9"/>
      <color theme="1"/>
      <name val="Arial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i val="true"/>
      <vertAlign val="subscript"/>
      <sz val="12"/>
      <color theme="1"/>
      <name val="Arial"/>
      <family val="2"/>
      <charset val="1"/>
    </font>
    <font>
      <b val="true"/>
      <vertAlign val="superscript"/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i val="true"/>
      <sz val="8"/>
      <color theme="1"/>
      <name val="Calibri"/>
      <family val="2"/>
      <charset val="1"/>
    </font>
    <font>
      <i val="true"/>
      <vertAlign val="superscript"/>
      <sz val="8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theme="0"/>
      <name val="Arial"/>
      <family val="2"/>
      <charset val="1"/>
    </font>
    <font>
      <vertAlign val="subscript"/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i val="true"/>
      <vertAlign val="subscript"/>
      <sz val="9"/>
      <color theme="1"/>
      <name val="Arial"/>
      <family val="2"/>
      <charset val="1"/>
    </font>
    <font>
      <sz val="9"/>
      <color theme="1"/>
      <name val="Times New Roman"/>
      <family val="1"/>
      <charset val="1"/>
    </font>
    <font>
      <vertAlign val="superscript"/>
      <sz val="9"/>
      <color theme="1"/>
      <name val="Times New Roman"/>
      <family val="1"/>
      <charset val="1"/>
    </font>
    <font>
      <i val="true"/>
      <sz val="9"/>
      <color theme="1"/>
      <name val="Times New Roman"/>
      <family val="1"/>
      <charset val="1"/>
    </font>
    <font>
      <i val="true"/>
      <sz val="8"/>
      <color theme="1"/>
      <name val="Times New Roman"/>
      <family val="1"/>
      <charset val="1"/>
    </font>
    <font>
      <sz val="8"/>
      <color theme="1"/>
      <name val="Times New Roman"/>
      <family val="1"/>
      <charset val="1"/>
    </font>
    <font>
      <vertAlign val="superscript"/>
      <sz val="8"/>
      <color theme="1"/>
      <name val="Times New Roman"/>
      <family val="1"/>
      <charset val="1"/>
    </font>
    <font>
      <sz val="8"/>
      <color theme="1"/>
      <name val="Malgun Gothic"/>
      <family val="2"/>
      <charset val="1"/>
    </font>
    <font>
      <i val="true"/>
      <vertAlign val="subscript"/>
      <sz val="8"/>
      <color theme="1"/>
      <name val="Calibri"/>
      <family val="2"/>
      <charset val="1"/>
    </font>
    <font>
      <i val="true"/>
      <vertAlign val="subscript"/>
      <sz val="10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i val="true"/>
      <vertAlign val="subscript"/>
      <sz val="12"/>
      <color theme="1"/>
      <name val="Calibri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7"/>
      <color theme="0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sz val="14"/>
      <color theme="1"/>
      <name val="Calibri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i val="true"/>
      <sz val="8"/>
      <name val="Arial"/>
      <family val="2"/>
      <charset val="1"/>
    </font>
    <font>
      <sz val="10"/>
      <color rgb="FFFF0000"/>
      <name val="Arial"/>
      <family val="2"/>
      <charset val="1"/>
    </font>
    <font>
      <sz val="7"/>
      <color theme="1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i val="true"/>
      <vertAlign val="subscript"/>
      <sz val="8"/>
      <color theme="1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11"/>
      <color theme="1"/>
      <name val="Noto Sans Devanaga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9"/>
      <color rgb="FF000000"/>
      <name val="Arial"/>
      <family val="2"/>
    </font>
    <font>
      <sz val="7"/>
      <color rgb="FF000000"/>
      <name val="Arial"/>
      <family val="2"/>
    </font>
    <font>
      <sz val="3.75"/>
      <color rgb="FFFFFFFF"/>
      <name val="Arial"/>
      <family val="2"/>
    </font>
    <font>
      <sz val="8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0F0F0"/>
      </patternFill>
    </fill>
    <fill>
      <patternFill patternType="solid">
        <fgColor theme="7" tint="0.7999"/>
        <bgColor rgb="FFF0F0F0"/>
      </patternFill>
    </fill>
    <fill>
      <patternFill patternType="solid">
        <fgColor theme="3" tint="0.7999"/>
        <bgColor rgb="FFDAE3F3"/>
      </patternFill>
    </fill>
    <fill>
      <patternFill patternType="solid">
        <fgColor rgb="FFFFFF99"/>
        <bgColor rgb="FFFFE699"/>
      </patternFill>
    </fill>
    <fill>
      <patternFill patternType="solid">
        <fgColor theme="5" tint="0.5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7999"/>
        <bgColor rgb="FFDAE3F3"/>
      </patternFill>
    </fill>
    <fill>
      <patternFill patternType="solid">
        <fgColor theme="7" tint="0.5999"/>
        <bgColor rgb="FFFFFF99"/>
      </patternFill>
    </fill>
    <fill>
      <patternFill patternType="solid">
        <fgColor theme="2" tint="-0.1"/>
        <bgColor rgb="FFD6DCE5"/>
      </patternFill>
    </fill>
    <fill>
      <patternFill patternType="solid">
        <fgColor theme="8" tint="0.7999"/>
        <bgColor rgb="FFDEEBF7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C000"/>
      </patternFill>
    </fill>
    <fill>
      <patternFill patternType="solid">
        <fgColor theme="9" tint="0.5999"/>
        <bgColor rgb="FFD0CECE"/>
      </patternFill>
    </fill>
    <fill>
      <patternFill patternType="solid">
        <fgColor rgb="FF00B0F0"/>
        <bgColor rgb="FF33CCCC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25"/>
        <bgColor rgb="FFD0CECE"/>
      </patternFill>
    </fill>
    <fill>
      <patternFill patternType="solid">
        <fgColor rgb="FFF0F0F0"/>
        <bgColor rgb="FFDEEBF7"/>
      </patternFill>
    </fill>
  </fills>
  <borders count="8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medium"/>
      <top style="thin"/>
      <bottom style="dotted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dotted"/>
      <bottom style="medium"/>
      <diagonal/>
    </border>
    <border diagonalUp="false" diagonalDown="false">
      <left style="thin"/>
      <right style="medium"/>
      <top style="dotted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hair"/>
      <top style="medium"/>
      <bottom style="medium"/>
      <diagonal/>
    </border>
    <border diagonalUp="false" diagonalDown="false">
      <left style="hair"/>
      <right style="thin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hair"/>
      <top style="thin"/>
      <bottom style="medium"/>
      <diagonal/>
    </border>
    <border diagonalUp="false" diagonalDown="false">
      <left style="thin"/>
      <right style="hair"/>
      <top style="thin"/>
      <bottom style="medium"/>
      <diagonal/>
    </border>
    <border diagonalUp="false" diagonalDown="false">
      <left style="hair"/>
      <right style="medium"/>
      <top style="thin"/>
      <bottom style="medium"/>
      <diagonal/>
    </border>
    <border diagonalUp="false" diagonalDown="false">
      <left style="hair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hair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hair"/>
      <top/>
      <bottom style="medium"/>
      <diagonal/>
    </border>
    <border diagonalUp="true" diagonalDown="false">
      <left style="thin"/>
      <right/>
      <top/>
      <bottom/>
      <diagonal style="thin"/>
    </border>
    <border diagonalUp="true" diagonalDown="false">
      <left/>
      <right style="thin"/>
      <top/>
      <bottom/>
      <diagonal style="thin"/>
    </border>
    <border diagonalUp="true" diagonalDown="false">
      <left style="thin"/>
      <right/>
      <top/>
      <bottom/>
      <diagonal style="medium"/>
    </border>
    <border diagonalUp="true" diagonalDown="false">
      <left/>
      <right style="thin"/>
      <top/>
      <bottom/>
      <diagonal style="medium"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2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3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5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2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2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2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8" fillId="2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5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7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5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2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2" borderId="3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6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8" fillId="2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8" fillId="2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3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24" fillId="2" borderId="3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0" xfId="0" applyFont="true" applyBorder="true" applyAlignment="true" applyProtection="true">
      <alignment horizontal="right" vertical="bottom" textRotation="90" wrapText="false" indent="0" shrinkToFit="false"/>
      <protection locked="false" hidden="false"/>
    </xf>
    <xf numFmtId="165" fontId="8" fillId="2" borderId="0" xfId="0" applyFont="true" applyBorder="true" applyAlignment="true" applyProtection="true">
      <alignment horizontal="right" vertical="bottom" textRotation="9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right" vertical="bottom" textRotation="90" wrapText="false" indent="0" shrinkToFit="false"/>
      <protection locked="false" hidden="false"/>
    </xf>
    <xf numFmtId="164" fontId="5" fillId="2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5" fillId="2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2" borderId="1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4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6" fillId="8" borderId="3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8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1" fillId="8" borderId="4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6" fillId="8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6" fillId="8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8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9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8" borderId="4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7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2" borderId="1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7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2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4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8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9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7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8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8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8" borderId="4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2" borderId="1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7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1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1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3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4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3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0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4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2" borderId="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8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62" fillId="11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62" fillId="2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62" fillId="11" borderId="4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62" fillId="2" borderId="4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62" fillId="11" borderId="1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62" fillId="2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7" fillId="7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7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2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2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3" fillId="2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4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4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4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4" fillId="10" borderId="5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10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1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10" borderId="4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3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7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4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5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2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7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6" fillId="12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5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5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5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7" fillId="2" borderId="5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5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2" fontId="15" fillId="2" borderId="5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8" fillId="2" borderId="5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2" borderId="5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59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7" fillId="2" borderId="5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5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62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9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0" fillId="2" borderId="1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70" fillId="2" borderId="13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70" fillId="2" borderId="1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62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62" fillId="2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9" fillId="2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1" fillId="2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72" fillId="2" borderId="6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7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6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2" borderId="1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1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3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6" fillId="2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4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2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6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6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6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5" fillId="2" borderId="6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6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6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7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6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2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2" borderId="6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6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6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2" borderId="6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2" borderId="6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7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2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2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5" fillId="2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6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7" fillId="2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2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1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2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1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1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1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2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8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8" fillId="2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4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6" fillId="2" borderId="6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4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71" fontId="7" fillId="2" borderId="6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0" fillId="2" borderId="1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2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6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73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7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6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6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6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8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7" fillId="2" borderId="7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9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7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4" fillId="2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7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6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4" fillId="5" borderId="5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5" borderId="7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6" fillId="5" borderId="76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5" borderId="7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5" borderId="77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5" borderId="7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6" fillId="5" borderId="1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5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6" fillId="5" borderId="0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5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5" borderId="79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8" fillId="2" borderId="8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6" fillId="5" borderId="8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5" borderId="8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18" borderId="4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18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4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4">
    <dxf>
      <font>
        <color rgb="FFFFFFFF"/>
      </font>
      <border diagonalUp="false" diagonalDown="false">
        <left style="thin"/>
        <right style="thin"/>
        <top/>
        <bottom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false" diagonalDown="false">
        <left/>
        <right/>
        <top/>
        <bottom style="dashDotDot">
          <color rgb="FF0000FF"/>
        </bottom>
        <diagonal/>
      </border>
    </dxf>
    <dxf>
      <fill>
        <patternFill>
          <bgColor rgb="FFC0EC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0F0F0"/>
      <rgbColor rgb="FF993366"/>
      <rgbColor rgb="FFFFF2CC"/>
      <rgbColor rgb="FFC0ECFC"/>
      <rgbColor rgb="FF660066"/>
      <rgbColor rgb="FFFF8080"/>
      <rgbColor rgb="FF0066CC"/>
      <rgbColor rgb="FFD6DCE5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B0F0"/>
      <rgbColor rgb="FFDEEBF7"/>
      <rgbColor rgb="FFC5E0B4"/>
      <rgbColor rgb="FFFFFF99"/>
      <rgbColor rgb="FFD0CECE"/>
      <rgbColor rgb="FFF4B183"/>
      <rgbColor rgb="FFDAE3F3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15884476534296"/>
          <c:y val="0.0155324167289881"/>
          <c:w val="0.803128760529483"/>
          <c:h val="0.9812748087211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'REGISTRO DE PERFORACIÓN '!$BP$15</c:f>
              <c:strCache>
                <c:ptCount val="1"/>
                <c:pt idx="0">
                  <c:v>(N1)60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round/>
            </a:ln>
          </c:spPr>
          <c:marker>
            <c:symbol val="circle"/>
            <c:size val="9"/>
            <c:spPr>
              <a:solidFill>
                <a:srgbClr val="ff0000"/>
              </a:solidFill>
            </c:spPr>
          </c:marker>
          <c:dPt>
            <c:idx val="10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2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3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4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6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7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8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99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Lbls>
            <c:dLbl>
              <c:idx val="1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6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7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8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99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'REGISTRO DE PERFORACIÓN '!$BP$18:$BP$117</c:f>
              <c:numCache>
                <c:formatCode>0</c:formatCode>
                <c:ptCount val="100"/>
              </c:numCache>
            </c:numRef>
          </c:xVal>
          <c:yVal>
            <c:numRef>
              <c:f>'REGISTRO DE PERFORACIÓN '!$BO$18:$BO$117</c:f>
              <c:numCache>
                <c:formatCode>0.00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</c:v>
                </c:pt>
                <c:pt idx="22">
                  <c:v>2.3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4.1</c:v>
                </c:pt>
                <c:pt idx="41">
                  <c:v>4.2</c:v>
                </c:pt>
                <c:pt idx="42">
                  <c:v>4.3</c:v>
                </c:pt>
                <c:pt idx="43">
                  <c:v>4.4</c:v>
                </c:pt>
                <c:pt idx="44">
                  <c:v>4.5</c:v>
                </c:pt>
                <c:pt idx="45">
                  <c:v>4.6</c:v>
                </c:pt>
                <c:pt idx="46">
                  <c:v>4.7</c:v>
                </c:pt>
                <c:pt idx="47">
                  <c:v>4.8</c:v>
                </c:pt>
                <c:pt idx="48">
                  <c:v>4.9</c:v>
                </c:pt>
                <c:pt idx="49">
                  <c:v>5</c:v>
                </c:pt>
                <c:pt idx="50">
                  <c:v>5.1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6.09999999999999</c:v>
                </c:pt>
                <c:pt idx="61">
                  <c:v>6.19999999999999</c:v>
                </c:pt>
                <c:pt idx="62">
                  <c:v>6.29999999999999</c:v>
                </c:pt>
                <c:pt idx="63">
                  <c:v>6.39999999999999</c:v>
                </c:pt>
                <c:pt idx="64">
                  <c:v>6.49999999999999</c:v>
                </c:pt>
                <c:pt idx="65">
                  <c:v>6.59999999999999</c:v>
                </c:pt>
                <c:pt idx="66">
                  <c:v>6.69999999999999</c:v>
                </c:pt>
                <c:pt idx="67">
                  <c:v>6.79999999999999</c:v>
                </c:pt>
                <c:pt idx="68">
                  <c:v>6.89999999999999</c:v>
                </c:pt>
                <c:pt idx="69">
                  <c:v>6.99999999999999</c:v>
                </c:pt>
                <c:pt idx="70">
                  <c:v>7.09999999999999</c:v>
                </c:pt>
                <c:pt idx="71">
                  <c:v>7.19999999999999</c:v>
                </c:pt>
                <c:pt idx="72">
                  <c:v>7.29999999999999</c:v>
                </c:pt>
                <c:pt idx="73">
                  <c:v>7.39999999999999</c:v>
                </c:pt>
                <c:pt idx="74">
                  <c:v>7.49999999999999</c:v>
                </c:pt>
                <c:pt idx="75">
                  <c:v>7.59999999999999</c:v>
                </c:pt>
                <c:pt idx="76">
                  <c:v>7.69999999999999</c:v>
                </c:pt>
                <c:pt idx="77">
                  <c:v>7.79999999999999</c:v>
                </c:pt>
                <c:pt idx="78">
                  <c:v>7.89999999999999</c:v>
                </c:pt>
                <c:pt idx="79">
                  <c:v>7.99999999999999</c:v>
                </c:pt>
                <c:pt idx="80">
                  <c:v>8.09999999999999</c:v>
                </c:pt>
                <c:pt idx="81">
                  <c:v>8.19999999999999</c:v>
                </c:pt>
                <c:pt idx="82">
                  <c:v>8.29999999999999</c:v>
                </c:pt>
                <c:pt idx="83">
                  <c:v>8.39999999999999</c:v>
                </c:pt>
                <c:pt idx="84">
                  <c:v>8.49999999999999</c:v>
                </c:pt>
                <c:pt idx="85">
                  <c:v>8.59999999999999</c:v>
                </c:pt>
                <c:pt idx="86">
                  <c:v>8.69999999999999</c:v>
                </c:pt>
                <c:pt idx="87">
                  <c:v>8.79999999999999</c:v>
                </c:pt>
                <c:pt idx="88">
                  <c:v>8.89999999999998</c:v>
                </c:pt>
                <c:pt idx="89">
                  <c:v>8.99999999999998</c:v>
                </c:pt>
                <c:pt idx="90">
                  <c:v>9.09999999999998</c:v>
                </c:pt>
                <c:pt idx="91">
                  <c:v>9.19999999999998</c:v>
                </c:pt>
                <c:pt idx="92">
                  <c:v>9.29999999999998</c:v>
                </c:pt>
                <c:pt idx="93">
                  <c:v>9.39999999999998</c:v>
                </c:pt>
                <c:pt idx="94">
                  <c:v>9.49999999999998</c:v>
                </c:pt>
                <c:pt idx="95">
                  <c:v>9.59999999999998</c:v>
                </c:pt>
                <c:pt idx="96">
                  <c:v>9.69999999999998</c:v>
                </c:pt>
                <c:pt idx="97">
                  <c:v>9.79999999999998</c:v>
                </c:pt>
                <c:pt idx="98">
                  <c:v>9.89999999999998</c:v>
                </c:pt>
                <c:pt idx="99">
                  <c:v>9.99999999999998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'REGISTRO DE PERFORACIÓN '!$BQ$15</c:f>
              <c:strCache>
                <c:ptCount val="1"/>
                <c:pt idx="0">
                  <c:v>N60</c:v>
                </c:pt>
              </c:strCache>
            </c:strRef>
          </c:tx>
          <c:spPr>
            <a:solidFill>
              <a:srgbClr val="0000ff"/>
            </a:solidFill>
            <a:ln w="19080">
              <a:solidFill>
                <a:srgbClr val="0000ff"/>
              </a:solidFill>
              <a:round/>
            </a:ln>
          </c:spPr>
          <c:marker>
            <c:symbol val="triangle"/>
            <c:size val="8"/>
            <c:spPr>
              <a:solidFill>
                <a:srgbClr val="0000ff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'REGISTRO DE PERFORACIÓN '!$BQ$18:$BQ$117</c:f>
              <c:numCache>
                <c:formatCode>General</c:formatCode>
                <c:ptCount val="100"/>
              </c:numCache>
            </c:numRef>
          </c:xVal>
          <c:yVal>
            <c:numRef>
              <c:f>'REGISTRO DE PERFORACIÓN '!$BO$18:$BO$117</c:f>
              <c:numCache>
                <c:formatCode>0.00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</c:v>
                </c:pt>
                <c:pt idx="22">
                  <c:v>2.3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4.1</c:v>
                </c:pt>
                <c:pt idx="41">
                  <c:v>4.2</c:v>
                </c:pt>
                <c:pt idx="42">
                  <c:v>4.3</c:v>
                </c:pt>
                <c:pt idx="43">
                  <c:v>4.4</c:v>
                </c:pt>
                <c:pt idx="44">
                  <c:v>4.5</c:v>
                </c:pt>
                <c:pt idx="45">
                  <c:v>4.6</c:v>
                </c:pt>
                <c:pt idx="46">
                  <c:v>4.7</c:v>
                </c:pt>
                <c:pt idx="47">
                  <c:v>4.8</c:v>
                </c:pt>
                <c:pt idx="48">
                  <c:v>4.9</c:v>
                </c:pt>
                <c:pt idx="49">
                  <c:v>5</c:v>
                </c:pt>
                <c:pt idx="50">
                  <c:v>5.1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6.09999999999999</c:v>
                </c:pt>
                <c:pt idx="61">
                  <c:v>6.19999999999999</c:v>
                </c:pt>
                <c:pt idx="62">
                  <c:v>6.29999999999999</c:v>
                </c:pt>
                <c:pt idx="63">
                  <c:v>6.39999999999999</c:v>
                </c:pt>
                <c:pt idx="64">
                  <c:v>6.49999999999999</c:v>
                </c:pt>
                <c:pt idx="65">
                  <c:v>6.59999999999999</c:v>
                </c:pt>
                <c:pt idx="66">
                  <c:v>6.69999999999999</c:v>
                </c:pt>
                <c:pt idx="67">
                  <c:v>6.79999999999999</c:v>
                </c:pt>
                <c:pt idx="68">
                  <c:v>6.89999999999999</c:v>
                </c:pt>
                <c:pt idx="69">
                  <c:v>6.99999999999999</c:v>
                </c:pt>
                <c:pt idx="70">
                  <c:v>7.09999999999999</c:v>
                </c:pt>
                <c:pt idx="71">
                  <c:v>7.19999999999999</c:v>
                </c:pt>
                <c:pt idx="72">
                  <c:v>7.29999999999999</c:v>
                </c:pt>
                <c:pt idx="73">
                  <c:v>7.39999999999999</c:v>
                </c:pt>
                <c:pt idx="74">
                  <c:v>7.49999999999999</c:v>
                </c:pt>
                <c:pt idx="75">
                  <c:v>7.59999999999999</c:v>
                </c:pt>
                <c:pt idx="76">
                  <c:v>7.69999999999999</c:v>
                </c:pt>
                <c:pt idx="77">
                  <c:v>7.79999999999999</c:v>
                </c:pt>
                <c:pt idx="78">
                  <c:v>7.89999999999999</c:v>
                </c:pt>
                <c:pt idx="79">
                  <c:v>7.99999999999999</c:v>
                </c:pt>
                <c:pt idx="80">
                  <c:v>8.09999999999999</c:v>
                </c:pt>
                <c:pt idx="81">
                  <c:v>8.19999999999999</c:v>
                </c:pt>
                <c:pt idx="82">
                  <c:v>8.29999999999999</c:v>
                </c:pt>
                <c:pt idx="83">
                  <c:v>8.39999999999999</c:v>
                </c:pt>
                <c:pt idx="84">
                  <c:v>8.49999999999999</c:v>
                </c:pt>
                <c:pt idx="85">
                  <c:v>8.59999999999999</c:v>
                </c:pt>
                <c:pt idx="86">
                  <c:v>8.69999999999999</c:v>
                </c:pt>
                <c:pt idx="87">
                  <c:v>8.79999999999999</c:v>
                </c:pt>
                <c:pt idx="88">
                  <c:v>8.89999999999998</c:v>
                </c:pt>
                <c:pt idx="89">
                  <c:v>8.99999999999998</c:v>
                </c:pt>
                <c:pt idx="90">
                  <c:v>9.09999999999998</c:v>
                </c:pt>
                <c:pt idx="91">
                  <c:v>9.19999999999998</c:v>
                </c:pt>
                <c:pt idx="92">
                  <c:v>9.29999999999998</c:v>
                </c:pt>
                <c:pt idx="93">
                  <c:v>9.39999999999998</c:v>
                </c:pt>
                <c:pt idx="94">
                  <c:v>9.49999999999998</c:v>
                </c:pt>
                <c:pt idx="95">
                  <c:v>9.59999999999998</c:v>
                </c:pt>
                <c:pt idx="96">
                  <c:v>9.69999999999998</c:v>
                </c:pt>
                <c:pt idx="97">
                  <c:v>9.79999999999998</c:v>
                </c:pt>
                <c:pt idx="98">
                  <c:v>9.89999999999998</c:v>
                </c:pt>
                <c:pt idx="99">
                  <c:v>9.99999999999998</c:v>
                </c:pt>
              </c:numCache>
            </c:numRef>
          </c:yVal>
          <c:smooth val="0"/>
        </c:ser>
        <c:axId val="19934461"/>
        <c:axId val="25765897"/>
      </c:scatterChart>
      <c:valAx>
        <c:axId val="19934461"/>
        <c:scaling>
          <c:orientation val="minMax"/>
          <c:max val="70"/>
          <c:min val="0"/>
        </c:scaling>
        <c:delete val="0"/>
        <c:axPos val="b"/>
        <c:majorGridlines>
          <c:spPr>
            <a:ln w="3240">
              <a:solidFill>
                <a:srgbClr val="000000"/>
              </a:solidFill>
              <a:prstDash val="sysDot"/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lang="es-VE" sz="7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5765897"/>
        <c:crosses val="autoZero"/>
        <c:crossBetween val="midCat"/>
        <c:majorUnit val="10"/>
        <c:minorUnit val="1"/>
      </c:valAx>
      <c:valAx>
        <c:axId val="25765897"/>
        <c:scaling>
          <c:orientation val="maxMin"/>
          <c:max val="10"/>
        </c:scaling>
        <c:delete val="0"/>
        <c:axPos val="l"/>
        <c:numFmt formatCode="0.00" sourceLinked="0"/>
        <c:majorTickMark val="out"/>
        <c:minorTickMark val="none"/>
        <c:tickLblPos val="high"/>
        <c:spPr>
          <a:ln w="6480">
            <a:noFill/>
          </a:ln>
        </c:spPr>
        <c:txPr>
          <a:bodyPr/>
          <a:lstStyle/>
          <a:p>
            <a:pPr>
              <a:defRPr b="0" sz="375" spc="-1" strike="noStrike">
                <a:solidFill>
                  <a:srgbClr val="ffffff"/>
                </a:solidFill>
                <a:latin typeface="Arial"/>
                <a:ea typeface="Arial"/>
              </a:defRPr>
            </a:pPr>
          </a:p>
        </c:txPr>
        <c:crossAx val="19934461"/>
        <c:crosses val="autoZero"/>
        <c:crossBetween val="midCat"/>
        <c:majorUnit val="1"/>
        <c:minorUnit val="0.5"/>
      </c:valAx>
      <c:spPr>
        <a:noFill/>
        <a:ln w="12600">
          <a:noFill/>
        </a:ln>
      </c:spPr>
    </c:plotArea>
    <c:legend>
      <c:legendPos val="b"/>
      <c:layout>
        <c:manualLayout>
          <c:xMode val="edge"/>
          <c:yMode val="edge"/>
          <c:x val="0.305562244160848"/>
          <c:y val="0.952386428982174"/>
          <c:w val="0.682803468208093"/>
          <c:h val="0.036458782598694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wmf"/><Relationship Id="rId4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393120</xdr:colOff>
      <xdr:row>15</xdr:row>
      <xdr:rowOff>19080</xdr:rowOff>
    </xdr:from>
    <xdr:to>
      <xdr:col>26</xdr:col>
      <xdr:colOff>102960</xdr:colOff>
      <xdr:row>116</xdr:row>
      <xdr:rowOff>18360</xdr:rowOff>
    </xdr:to>
    <xdr:graphicFrame>
      <xdr:nvGraphicFramePr>
        <xdr:cNvPr id="0" name="Chart 7"/>
        <xdr:cNvGraphicFramePr/>
      </xdr:nvGraphicFramePr>
      <xdr:xfrm>
        <a:off x="7163640" y="2933640"/>
        <a:ext cx="1495440" cy="1251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126</xdr:col>
      <xdr:colOff>314280</xdr:colOff>
      <xdr:row>6</xdr:row>
      <xdr:rowOff>19080</xdr:rowOff>
    </xdr:from>
    <xdr:to>
      <xdr:col>129</xdr:col>
      <xdr:colOff>579960</xdr:colOff>
      <xdr:row>7</xdr:row>
      <xdr:rowOff>131400</xdr:rowOff>
    </xdr:to>
    <xdr:pic>
      <xdr:nvPicPr>
        <xdr:cNvPr id="1" name="Imagen 98" descr=""/>
        <xdr:cNvPicPr/>
      </xdr:nvPicPr>
      <xdr:blipFill>
        <a:blip r:embed="rId2"/>
        <a:stretch/>
      </xdr:blipFill>
      <xdr:spPr>
        <a:xfrm>
          <a:off x="80648280" y="1057320"/>
          <a:ext cx="3319200" cy="350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160</xdr:col>
      <xdr:colOff>824760</xdr:colOff>
      <xdr:row>159</xdr:row>
      <xdr:rowOff>0</xdr:rowOff>
    </xdr:from>
    <xdr:to>
      <xdr:col>162</xdr:col>
      <xdr:colOff>30960</xdr:colOff>
      <xdr:row>160</xdr:row>
      <xdr:rowOff>18360</xdr:rowOff>
    </xdr:to>
    <xdr:pic>
      <xdr:nvPicPr>
        <xdr:cNvPr id="2" name="Imagen 555" descr=""/>
        <xdr:cNvPicPr/>
      </xdr:nvPicPr>
      <xdr:blipFill>
        <a:blip r:embed="rId3"/>
        <a:stretch/>
      </xdr:blipFill>
      <xdr:spPr>
        <a:xfrm>
          <a:off x="116016840" y="21212280"/>
          <a:ext cx="772920" cy="1422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160</xdr:col>
      <xdr:colOff>821520</xdr:colOff>
      <xdr:row>155</xdr:row>
      <xdr:rowOff>109440</xdr:rowOff>
    </xdr:from>
    <xdr:to>
      <xdr:col>162</xdr:col>
      <xdr:colOff>27000</xdr:colOff>
      <xdr:row>159</xdr:row>
      <xdr:rowOff>3600</xdr:rowOff>
    </xdr:to>
    <xdr:pic>
      <xdr:nvPicPr>
        <xdr:cNvPr id="3" name="Imagen 556" descr=""/>
        <xdr:cNvPicPr/>
      </xdr:nvPicPr>
      <xdr:blipFill>
        <a:blip r:embed="rId4"/>
        <a:stretch/>
      </xdr:blipFill>
      <xdr:spPr>
        <a:xfrm>
          <a:off x="116013600" y="20826360"/>
          <a:ext cx="772200" cy="389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17</xdr:col>
      <xdr:colOff>88920</xdr:colOff>
      <xdr:row>132</xdr:row>
      <xdr:rowOff>30960</xdr:rowOff>
    </xdr:from>
    <xdr:to>
      <xdr:col>17</xdr:col>
      <xdr:colOff>168840</xdr:colOff>
      <xdr:row>132</xdr:row>
      <xdr:rowOff>120960</xdr:rowOff>
    </xdr:to>
    <xdr:sp>
      <xdr:nvSpPr>
        <xdr:cNvPr id="4" name="Forma libre 107"/>
        <xdr:cNvSpPr/>
      </xdr:nvSpPr>
      <xdr:spPr>
        <a:xfrm rot="18135000">
          <a:off x="5915160" y="17904960"/>
          <a:ext cx="90000" cy="79920"/>
        </a:xfrm>
        <a:custGeom>
          <a:avLst/>
          <a:gdLst>
            <a:gd name="textAreaLeft" fmla="*/ 0 w 90000"/>
            <a:gd name="textAreaRight" fmla="*/ 90720 w 90000"/>
            <a:gd name="textAreaTop" fmla="*/ 0 h 79920"/>
            <a:gd name="textAreaBottom" fmla="*/ 80640 h 7992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126360</xdr:colOff>
      <xdr:row>135</xdr:row>
      <xdr:rowOff>30960</xdr:rowOff>
    </xdr:from>
    <xdr:to>
      <xdr:col>17</xdr:col>
      <xdr:colOff>213120</xdr:colOff>
      <xdr:row>135</xdr:row>
      <xdr:rowOff>102960</xdr:rowOff>
    </xdr:to>
    <xdr:sp>
      <xdr:nvSpPr>
        <xdr:cNvPr id="5" name="Forma libre 109"/>
        <xdr:cNvSpPr/>
      </xdr:nvSpPr>
      <xdr:spPr>
        <a:xfrm>
          <a:off x="5957640" y="18271440"/>
          <a:ext cx="86760" cy="72000"/>
        </a:xfrm>
        <a:custGeom>
          <a:avLst/>
          <a:gdLst>
            <a:gd name="textAreaLeft" fmla="*/ 0 w 86760"/>
            <a:gd name="textAreaRight" fmla="*/ 87480 w 86760"/>
            <a:gd name="textAreaTop" fmla="*/ 0 h 72000"/>
            <a:gd name="textAreaBottom" fmla="*/ 72720 h 72000"/>
          </a:gdLst>
          <a:ahLst/>
          <a:rect l="textAreaLeft" t="textAreaTop" r="textAreaRight" b="textAreaBottom"/>
          <a:pathLst>
            <a:path w="159378" h="143891">
              <a:moveTo>
                <a:pt x="32582" y="16771"/>
              </a:moveTo>
              <a:cubicBezTo>
                <a:pt x="14011" y="30549"/>
                <a:pt x="-4440" y="65416"/>
                <a:pt x="951" y="85784"/>
              </a:cubicBezTo>
              <a:cubicBezTo>
                <a:pt x="6342" y="106152"/>
                <a:pt x="49355" y="132389"/>
                <a:pt x="64931" y="138979"/>
              </a:cubicBezTo>
              <a:cubicBezTo>
                <a:pt x="78230" y="154075"/>
                <a:pt x="121961" y="130713"/>
                <a:pt x="137536" y="118133"/>
              </a:cubicBezTo>
              <a:cubicBezTo>
                <a:pt x="153111" y="105553"/>
                <a:pt x="162577" y="82668"/>
                <a:pt x="158384" y="63498"/>
              </a:cubicBezTo>
              <a:cubicBezTo>
                <a:pt x="154191" y="44328"/>
                <a:pt x="133343" y="10902"/>
                <a:pt x="112376" y="3114"/>
              </a:cubicBezTo>
              <a:cubicBezTo>
                <a:pt x="91409" y="-4674"/>
                <a:pt x="51153" y="2993"/>
                <a:pt x="32582" y="16771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102960</xdr:colOff>
      <xdr:row>136</xdr:row>
      <xdr:rowOff>26280</xdr:rowOff>
    </xdr:from>
    <xdr:to>
      <xdr:col>18</xdr:col>
      <xdr:colOff>222120</xdr:colOff>
      <xdr:row>136</xdr:row>
      <xdr:rowOff>117360</xdr:rowOff>
    </xdr:to>
    <xdr:sp>
      <xdr:nvSpPr>
        <xdr:cNvPr id="6" name="Forma libre 111"/>
        <xdr:cNvSpPr/>
      </xdr:nvSpPr>
      <xdr:spPr>
        <a:xfrm rot="2128800">
          <a:off x="6231600" y="18390240"/>
          <a:ext cx="119160" cy="91080"/>
        </a:xfrm>
        <a:custGeom>
          <a:avLst/>
          <a:gdLst>
            <a:gd name="textAreaLeft" fmla="*/ 0 w 119160"/>
            <a:gd name="textAreaRight" fmla="*/ 119880 w 119160"/>
            <a:gd name="textAreaTop" fmla="*/ 0 h 91080"/>
            <a:gd name="textAreaBottom" fmla="*/ 91800 h 9108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45720</xdr:colOff>
      <xdr:row>133</xdr:row>
      <xdr:rowOff>57240</xdr:rowOff>
    </xdr:from>
    <xdr:to>
      <xdr:col>17</xdr:col>
      <xdr:colOff>90720</xdr:colOff>
      <xdr:row>133</xdr:row>
      <xdr:rowOff>109440</xdr:rowOff>
    </xdr:to>
    <xdr:sp>
      <xdr:nvSpPr>
        <xdr:cNvPr id="7" name="Elipse 113"/>
        <xdr:cNvSpPr/>
      </xdr:nvSpPr>
      <xdr:spPr>
        <a:xfrm flipH="1" rot="19534800">
          <a:off x="5876280" y="18049680"/>
          <a:ext cx="45000" cy="522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114120</xdr:colOff>
      <xdr:row>136</xdr:row>
      <xdr:rowOff>10440</xdr:rowOff>
    </xdr:from>
    <xdr:to>
      <xdr:col>17</xdr:col>
      <xdr:colOff>192240</xdr:colOff>
      <xdr:row>136</xdr:row>
      <xdr:rowOff>110880</xdr:rowOff>
    </xdr:to>
    <xdr:sp>
      <xdr:nvSpPr>
        <xdr:cNvPr id="8" name="Elipse 318"/>
        <xdr:cNvSpPr/>
      </xdr:nvSpPr>
      <xdr:spPr>
        <a:xfrm rot="3288000">
          <a:off x="5933880" y="18385920"/>
          <a:ext cx="100440" cy="78120"/>
        </a:xfrm>
        <a:custGeom>
          <a:avLst/>
          <a:gdLst>
            <a:gd name="textAreaLeft" fmla="*/ 0 w 100440"/>
            <a:gd name="textAreaRight" fmla="*/ 101160 w 100440"/>
            <a:gd name="textAreaTop" fmla="*/ 0 h 78120"/>
            <a:gd name="textAreaBottom" fmla="*/ 78840 h 78120"/>
          </a:gdLst>
          <a:ahLst/>
          <a:rect l="textAreaLeft" t="textAreaTop" r="textAreaRight" b="textAreaBottom"/>
          <a:pathLst>
            <a:path w="126140" h="92331">
              <a:moveTo>
                <a:pt x="338" y="50996"/>
              </a:moveTo>
              <a:cubicBezTo>
                <a:pt x="4346" y="35608"/>
                <a:pt x="52551" y="0"/>
                <a:pt x="87290" y="0"/>
              </a:cubicBezTo>
              <a:cubicBezTo>
                <a:pt x="122029" y="0"/>
                <a:pt x="126140" y="28167"/>
                <a:pt x="126140" y="50996"/>
              </a:cubicBezTo>
              <a:cubicBezTo>
                <a:pt x="126140" y="73825"/>
                <a:pt x="97978" y="92331"/>
                <a:pt x="63239" y="92331"/>
              </a:cubicBezTo>
              <a:cubicBezTo>
                <a:pt x="28500" y="92331"/>
                <a:pt x="-3670" y="66384"/>
                <a:pt x="338" y="50996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200520</xdr:colOff>
      <xdr:row>133</xdr:row>
      <xdr:rowOff>42480</xdr:rowOff>
    </xdr:from>
    <xdr:to>
      <xdr:col>18</xdr:col>
      <xdr:colOff>33480</xdr:colOff>
      <xdr:row>133</xdr:row>
      <xdr:rowOff>108360</xdr:rowOff>
    </xdr:to>
    <xdr:sp>
      <xdr:nvSpPr>
        <xdr:cNvPr id="9" name="Forma libre 117"/>
        <xdr:cNvSpPr/>
      </xdr:nvSpPr>
      <xdr:spPr>
        <a:xfrm rot="17502000">
          <a:off x="6063840" y="18002520"/>
          <a:ext cx="65880" cy="130680"/>
        </a:xfrm>
        <a:custGeom>
          <a:avLst/>
          <a:gdLst>
            <a:gd name="textAreaLeft" fmla="*/ 0 w 65880"/>
            <a:gd name="textAreaRight" fmla="*/ 66600 w 65880"/>
            <a:gd name="textAreaTop" fmla="*/ 0 h 130680"/>
            <a:gd name="textAreaBottom" fmla="*/ 131400 h 130680"/>
          </a:gdLst>
          <a:ahLst/>
          <a:rect l="textAreaLeft" t="textAreaTop" r="textAreaRight" b="textAreaBottom"/>
          <a:pathLst>
            <a:path w="129927" h="124606">
              <a:moveTo>
                <a:pt x="3719" y="2396"/>
              </a:moveTo>
              <a:cubicBezTo>
                <a:pt x="-11856" y="14976"/>
                <a:pt x="25884" y="125203"/>
                <a:pt x="36068" y="124604"/>
              </a:cubicBezTo>
              <a:cubicBezTo>
                <a:pt x="46252" y="124005"/>
                <a:pt x="136710" y="68293"/>
                <a:pt x="129521" y="49123"/>
              </a:cubicBezTo>
              <a:cubicBezTo>
                <a:pt x="122332" y="29953"/>
                <a:pt x="19294" y="-10184"/>
                <a:pt x="3719" y="239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207720</xdr:colOff>
      <xdr:row>134</xdr:row>
      <xdr:rowOff>32040</xdr:rowOff>
    </xdr:from>
    <xdr:to>
      <xdr:col>18</xdr:col>
      <xdr:colOff>35640</xdr:colOff>
      <xdr:row>134</xdr:row>
      <xdr:rowOff>114840</xdr:rowOff>
    </xdr:to>
    <xdr:sp>
      <xdr:nvSpPr>
        <xdr:cNvPr id="10" name="Forma libre 120"/>
        <xdr:cNvSpPr/>
      </xdr:nvSpPr>
      <xdr:spPr>
        <a:xfrm rot="18520200">
          <a:off x="6060240" y="18127080"/>
          <a:ext cx="82800" cy="125640"/>
        </a:xfrm>
        <a:custGeom>
          <a:avLst/>
          <a:gdLst>
            <a:gd name="textAreaLeft" fmla="*/ 0 w 82800"/>
            <a:gd name="textAreaRight" fmla="*/ 83520 w 82800"/>
            <a:gd name="textAreaTop" fmla="*/ 0 h 125640"/>
            <a:gd name="textAreaBottom" fmla="*/ 126360 h 12564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179640</xdr:colOff>
      <xdr:row>135</xdr:row>
      <xdr:rowOff>21960</xdr:rowOff>
    </xdr:from>
    <xdr:to>
      <xdr:col>18</xdr:col>
      <xdr:colOff>226440</xdr:colOff>
      <xdr:row>135</xdr:row>
      <xdr:rowOff>93960</xdr:rowOff>
    </xdr:to>
    <xdr:sp>
      <xdr:nvSpPr>
        <xdr:cNvPr id="11" name="Elipse 122"/>
        <xdr:cNvSpPr/>
      </xdr:nvSpPr>
      <xdr:spPr>
        <a:xfrm rot="13302600">
          <a:off x="6308640" y="18262440"/>
          <a:ext cx="46800" cy="720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19080</xdr:colOff>
      <xdr:row>136</xdr:row>
      <xdr:rowOff>46080</xdr:rowOff>
    </xdr:from>
    <xdr:to>
      <xdr:col>17</xdr:col>
      <xdr:colOff>101160</xdr:colOff>
      <xdr:row>136</xdr:row>
      <xdr:rowOff>113400</xdr:rowOff>
    </xdr:to>
    <xdr:sp>
      <xdr:nvSpPr>
        <xdr:cNvPr id="12" name="Forma libre 124"/>
        <xdr:cNvSpPr/>
      </xdr:nvSpPr>
      <xdr:spPr>
        <a:xfrm rot="17502000">
          <a:off x="5857560" y="18402840"/>
          <a:ext cx="67320" cy="82080"/>
        </a:xfrm>
        <a:custGeom>
          <a:avLst/>
          <a:gdLst>
            <a:gd name="textAreaLeft" fmla="*/ 0 w 67320"/>
            <a:gd name="textAreaRight" fmla="*/ 68040 w 67320"/>
            <a:gd name="textAreaTop" fmla="*/ 0 h 82080"/>
            <a:gd name="textAreaBottom" fmla="*/ 82800 h 82080"/>
          </a:gdLst>
          <a:ahLst/>
          <a:rect l="textAreaLeft" t="textAreaTop" r="textAreaRight" b="textAreaBottom"/>
          <a:pathLst>
            <a:path w="129927" h="124606">
              <a:moveTo>
                <a:pt x="3719" y="2396"/>
              </a:moveTo>
              <a:cubicBezTo>
                <a:pt x="-11856" y="14976"/>
                <a:pt x="25884" y="125203"/>
                <a:pt x="36068" y="124604"/>
              </a:cubicBezTo>
              <a:cubicBezTo>
                <a:pt x="46252" y="124005"/>
                <a:pt x="136710" y="68293"/>
                <a:pt x="129521" y="49123"/>
              </a:cubicBezTo>
              <a:cubicBezTo>
                <a:pt x="122332" y="29953"/>
                <a:pt x="19294" y="-10184"/>
                <a:pt x="3719" y="239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18720</xdr:colOff>
      <xdr:row>134</xdr:row>
      <xdr:rowOff>26280</xdr:rowOff>
    </xdr:from>
    <xdr:to>
      <xdr:col>17</xdr:col>
      <xdr:colOff>163440</xdr:colOff>
      <xdr:row>134</xdr:row>
      <xdr:rowOff>71280</xdr:rowOff>
    </xdr:to>
    <xdr:sp>
      <xdr:nvSpPr>
        <xdr:cNvPr id="13" name="Forma libre 125"/>
        <xdr:cNvSpPr/>
      </xdr:nvSpPr>
      <xdr:spPr>
        <a:xfrm flipH="1" flipV="1">
          <a:off x="5850000" y="18142560"/>
          <a:ext cx="144720" cy="45000"/>
        </a:xfrm>
        <a:custGeom>
          <a:avLst/>
          <a:gdLst>
            <a:gd name="textAreaLeft" fmla="*/ -360 w 144720"/>
            <a:gd name="textAreaRight" fmla="*/ 145080 w 144720"/>
            <a:gd name="textAreaTop" fmla="*/ 360 h 45000"/>
            <a:gd name="textAreaBottom" fmla="*/ 46080 h 45000"/>
          </a:gdLst>
          <a:ahLst/>
          <a:rect l="textAreaLeft" t="textAreaTop" r="textAreaRight" b="textAreaBottom"/>
          <a:pathLst>
            <a:path w="141847" h="105557">
              <a:moveTo>
                <a:pt x="66263" y="875"/>
              </a:moveTo>
              <a:cubicBezTo>
                <a:pt x="52002" y="5565"/>
                <a:pt x="-5032" y="27082"/>
                <a:pt x="359" y="47450"/>
              </a:cubicBezTo>
              <a:cubicBezTo>
                <a:pt x="5750" y="67818"/>
                <a:pt x="48763" y="94055"/>
                <a:pt x="64339" y="100645"/>
              </a:cubicBezTo>
              <a:cubicBezTo>
                <a:pt x="77638" y="115741"/>
                <a:pt x="121369" y="92379"/>
                <a:pt x="136944" y="79799"/>
              </a:cubicBezTo>
              <a:cubicBezTo>
                <a:pt x="152519" y="67219"/>
                <a:pt x="126758" y="42435"/>
                <a:pt x="118255" y="32353"/>
              </a:cubicBezTo>
              <a:cubicBezTo>
                <a:pt x="109752" y="22271"/>
                <a:pt x="106893" y="27097"/>
                <a:pt x="85926" y="19309"/>
              </a:cubicBezTo>
              <a:cubicBezTo>
                <a:pt x="64959" y="11521"/>
                <a:pt x="80524" y="-3815"/>
                <a:pt x="66263" y="875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7200</xdr:colOff>
      <xdr:row>135</xdr:row>
      <xdr:rowOff>73440</xdr:rowOff>
    </xdr:from>
    <xdr:to>
      <xdr:col>17</xdr:col>
      <xdr:colOff>52560</xdr:colOff>
      <xdr:row>135</xdr:row>
      <xdr:rowOff>115560</xdr:rowOff>
    </xdr:to>
    <xdr:sp>
      <xdr:nvSpPr>
        <xdr:cNvPr id="14" name="Elipse 126"/>
        <xdr:cNvSpPr/>
      </xdr:nvSpPr>
      <xdr:spPr>
        <a:xfrm>
          <a:off x="5838480" y="18313920"/>
          <a:ext cx="45360" cy="421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30240</xdr:colOff>
      <xdr:row>133</xdr:row>
      <xdr:rowOff>3600</xdr:rowOff>
    </xdr:from>
    <xdr:to>
      <xdr:col>18</xdr:col>
      <xdr:colOff>75600</xdr:colOff>
      <xdr:row>133</xdr:row>
      <xdr:rowOff>47160</xdr:rowOff>
    </xdr:to>
    <xdr:sp>
      <xdr:nvSpPr>
        <xdr:cNvPr id="15" name="Elipse 127"/>
        <xdr:cNvSpPr/>
      </xdr:nvSpPr>
      <xdr:spPr>
        <a:xfrm>
          <a:off x="6159240" y="17996400"/>
          <a:ext cx="45360" cy="4356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61920</xdr:colOff>
      <xdr:row>135</xdr:row>
      <xdr:rowOff>70200</xdr:rowOff>
    </xdr:from>
    <xdr:to>
      <xdr:col>18</xdr:col>
      <xdr:colOff>161280</xdr:colOff>
      <xdr:row>135</xdr:row>
      <xdr:rowOff>115200</xdr:rowOff>
    </xdr:to>
    <xdr:sp>
      <xdr:nvSpPr>
        <xdr:cNvPr id="16" name="Elipse 128"/>
        <xdr:cNvSpPr/>
      </xdr:nvSpPr>
      <xdr:spPr>
        <a:xfrm rot="5400000">
          <a:off x="6217920" y="18283320"/>
          <a:ext cx="45000" cy="9936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228240</xdr:colOff>
      <xdr:row>136</xdr:row>
      <xdr:rowOff>9720</xdr:rowOff>
    </xdr:from>
    <xdr:to>
      <xdr:col>18</xdr:col>
      <xdr:colOff>26280</xdr:colOff>
      <xdr:row>136</xdr:row>
      <xdr:rowOff>54720</xdr:rowOff>
    </xdr:to>
    <xdr:sp>
      <xdr:nvSpPr>
        <xdr:cNvPr id="17" name="Elipse 129"/>
        <xdr:cNvSpPr/>
      </xdr:nvSpPr>
      <xdr:spPr>
        <a:xfrm rot="19534800">
          <a:off x="6059520" y="18373680"/>
          <a:ext cx="95760" cy="450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185400</xdr:colOff>
      <xdr:row>132</xdr:row>
      <xdr:rowOff>16560</xdr:rowOff>
    </xdr:from>
    <xdr:to>
      <xdr:col>18</xdr:col>
      <xdr:colOff>234000</xdr:colOff>
      <xdr:row>132</xdr:row>
      <xdr:rowOff>63000</xdr:rowOff>
    </xdr:to>
    <xdr:sp>
      <xdr:nvSpPr>
        <xdr:cNvPr id="18" name="Elipse 131"/>
        <xdr:cNvSpPr/>
      </xdr:nvSpPr>
      <xdr:spPr>
        <a:xfrm flipV="1" rot="19534800">
          <a:off x="6314040" y="17885160"/>
          <a:ext cx="48600" cy="4644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168480</xdr:colOff>
      <xdr:row>132</xdr:row>
      <xdr:rowOff>36000</xdr:rowOff>
    </xdr:from>
    <xdr:to>
      <xdr:col>18</xdr:col>
      <xdr:colOff>7560</xdr:colOff>
      <xdr:row>132</xdr:row>
      <xdr:rowOff>92880</xdr:rowOff>
    </xdr:to>
    <xdr:sp>
      <xdr:nvSpPr>
        <xdr:cNvPr id="19" name="Forma libre 133"/>
        <xdr:cNvSpPr/>
      </xdr:nvSpPr>
      <xdr:spPr>
        <a:xfrm rot="1078800">
          <a:off x="5999760" y="17904600"/>
          <a:ext cx="136800" cy="56880"/>
        </a:xfrm>
        <a:custGeom>
          <a:avLst/>
          <a:gdLst>
            <a:gd name="textAreaLeft" fmla="*/ 0 w 136800"/>
            <a:gd name="textAreaRight" fmla="*/ 137520 w 136800"/>
            <a:gd name="textAreaTop" fmla="*/ 0 h 56880"/>
            <a:gd name="textAreaBottom" fmla="*/ 57600 h 56880"/>
          </a:gdLst>
          <a:ahLst/>
          <a:rect l="textAreaLeft" t="textAreaTop" r="textAreaRight" b="textAreaBottom"/>
          <a:pathLst>
            <a:path w="54472" h="124144">
              <a:moveTo>
                <a:pt x="22" y="15097"/>
              </a:moveTo>
              <a:cubicBezTo>
                <a:pt x="-1016" y="34495"/>
                <a:pt x="35621" y="122958"/>
                <a:pt x="45805" y="122359"/>
              </a:cubicBezTo>
              <a:cubicBezTo>
                <a:pt x="55465" y="134216"/>
                <a:pt x="44890" y="83843"/>
                <a:pt x="45928" y="64445"/>
              </a:cubicBezTo>
              <a:cubicBezTo>
                <a:pt x="46966" y="45047"/>
                <a:pt x="59687" y="14195"/>
                <a:pt x="52036" y="5970"/>
              </a:cubicBezTo>
              <a:cubicBezTo>
                <a:pt x="44385" y="-2255"/>
                <a:pt x="1060" y="-4301"/>
                <a:pt x="22" y="15097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34920</xdr:colOff>
      <xdr:row>134</xdr:row>
      <xdr:rowOff>24840</xdr:rowOff>
    </xdr:from>
    <xdr:to>
      <xdr:col>18</xdr:col>
      <xdr:colOff>120960</xdr:colOff>
      <xdr:row>134</xdr:row>
      <xdr:rowOff>98640</xdr:rowOff>
    </xdr:to>
    <xdr:sp>
      <xdr:nvSpPr>
        <xdr:cNvPr id="20" name="Forma libre 135"/>
        <xdr:cNvSpPr/>
      </xdr:nvSpPr>
      <xdr:spPr>
        <a:xfrm rot="18836400">
          <a:off x="6169680" y="18135000"/>
          <a:ext cx="73800" cy="86040"/>
        </a:xfrm>
        <a:custGeom>
          <a:avLst/>
          <a:gdLst>
            <a:gd name="textAreaLeft" fmla="*/ 0 w 73800"/>
            <a:gd name="textAreaRight" fmla="*/ 74520 w 73800"/>
            <a:gd name="textAreaTop" fmla="*/ 0 h 86040"/>
            <a:gd name="textAreaBottom" fmla="*/ 86760 h 86040"/>
          </a:gdLst>
          <a:ahLst/>
          <a:rect l="textAreaLeft" t="textAreaTop" r="textAreaRight" b="textAreaBottom"/>
          <a:pathLst>
            <a:path w="85680" h="112253">
              <a:moveTo>
                <a:pt x="60912" y="115"/>
              </a:moveTo>
              <a:cubicBezTo>
                <a:pt x="52525" y="1912"/>
                <a:pt x="20296" y="16410"/>
                <a:pt x="25687" y="36778"/>
              </a:cubicBezTo>
              <a:cubicBezTo>
                <a:pt x="31078" y="57146"/>
                <a:pt x="-12173" y="76195"/>
                <a:pt x="3403" y="82785"/>
              </a:cubicBezTo>
              <a:cubicBezTo>
                <a:pt x="16702" y="97881"/>
                <a:pt x="46056" y="121245"/>
                <a:pt x="61631" y="108665"/>
              </a:cubicBezTo>
              <a:cubicBezTo>
                <a:pt x="77206" y="96085"/>
                <a:pt x="72893" y="82185"/>
                <a:pt x="75289" y="68407"/>
              </a:cubicBezTo>
              <a:cubicBezTo>
                <a:pt x="77685" y="54629"/>
                <a:pt x="96975" y="33783"/>
                <a:pt x="76008" y="25995"/>
              </a:cubicBezTo>
              <a:cubicBezTo>
                <a:pt x="55041" y="18207"/>
                <a:pt x="69299" y="-1682"/>
                <a:pt x="60912" y="115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16560</xdr:colOff>
      <xdr:row>133</xdr:row>
      <xdr:rowOff>16920</xdr:rowOff>
    </xdr:from>
    <xdr:to>
      <xdr:col>17</xdr:col>
      <xdr:colOff>164160</xdr:colOff>
      <xdr:row>133</xdr:row>
      <xdr:rowOff>77760</xdr:rowOff>
    </xdr:to>
    <xdr:sp>
      <xdr:nvSpPr>
        <xdr:cNvPr id="21" name="Forma libre 138"/>
        <xdr:cNvSpPr/>
      </xdr:nvSpPr>
      <xdr:spPr>
        <a:xfrm rot="21295200">
          <a:off x="5847840" y="18009360"/>
          <a:ext cx="147600" cy="60840"/>
        </a:xfrm>
        <a:custGeom>
          <a:avLst/>
          <a:gdLst>
            <a:gd name="textAreaLeft" fmla="*/ 0 w 147600"/>
            <a:gd name="textAreaRight" fmla="*/ 148320 w 147600"/>
            <a:gd name="textAreaTop" fmla="*/ 0 h 60840"/>
            <a:gd name="textAreaBottom" fmla="*/ 61560 h 60840"/>
          </a:gdLst>
          <a:ahLst/>
          <a:rect l="textAreaLeft" t="textAreaTop" r="textAreaRight" b="textAreaBottom"/>
          <a:pathLst>
            <a:path w="335674" h="93448">
              <a:moveTo>
                <a:pt x="277663" y="15958"/>
              </a:moveTo>
              <a:cubicBezTo>
                <a:pt x="212455" y="-13189"/>
                <a:pt x="-1427" y="3510"/>
                <a:pt x="7" y="19372"/>
              </a:cubicBezTo>
              <a:cubicBezTo>
                <a:pt x="1441" y="35234"/>
                <a:pt x="107285" y="28778"/>
                <a:pt x="126934" y="26262"/>
              </a:cubicBezTo>
              <a:cubicBezTo>
                <a:pt x="142509" y="13682"/>
                <a:pt x="160758" y="39929"/>
                <a:pt x="195155" y="50954"/>
              </a:cubicBezTo>
              <a:cubicBezTo>
                <a:pt x="229552" y="61979"/>
                <a:pt x="354282" y="100198"/>
                <a:pt x="333315" y="92410"/>
              </a:cubicBezTo>
              <a:cubicBezTo>
                <a:pt x="312348" y="84622"/>
                <a:pt x="342871" y="45105"/>
                <a:pt x="277663" y="15958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94320</xdr:colOff>
      <xdr:row>135</xdr:row>
      <xdr:rowOff>14760</xdr:rowOff>
    </xdr:from>
    <xdr:to>
      <xdr:col>18</xdr:col>
      <xdr:colOff>139320</xdr:colOff>
      <xdr:row>135</xdr:row>
      <xdr:rowOff>59760</xdr:rowOff>
    </xdr:to>
    <xdr:sp>
      <xdr:nvSpPr>
        <xdr:cNvPr id="22" name="Elipse 139"/>
        <xdr:cNvSpPr/>
      </xdr:nvSpPr>
      <xdr:spPr>
        <a:xfrm rot="19534800">
          <a:off x="6222960" y="18254880"/>
          <a:ext cx="45000" cy="450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84600</xdr:colOff>
      <xdr:row>133</xdr:row>
      <xdr:rowOff>49320</xdr:rowOff>
    </xdr:from>
    <xdr:to>
      <xdr:col>18</xdr:col>
      <xdr:colOff>130680</xdr:colOff>
      <xdr:row>133</xdr:row>
      <xdr:rowOff>102600</xdr:rowOff>
    </xdr:to>
    <xdr:sp>
      <xdr:nvSpPr>
        <xdr:cNvPr id="23" name="Triángulo isósceles 140"/>
        <xdr:cNvSpPr/>
      </xdr:nvSpPr>
      <xdr:spPr>
        <a:xfrm rot="19560000">
          <a:off x="6213600" y="18042120"/>
          <a:ext cx="46080" cy="53280"/>
        </a:xfrm>
        <a:prstGeom prst="triangle">
          <a:avLst>
            <a:gd name="adj" fmla="val 50000"/>
          </a:avLst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185400</xdr:colOff>
      <xdr:row>134</xdr:row>
      <xdr:rowOff>35280</xdr:rowOff>
    </xdr:from>
    <xdr:to>
      <xdr:col>18</xdr:col>
      <xdr:colOff>231480</xdr:colOff>
      <xdr:row>134</xdr:row>
      <xdr:rowOff>88560</xdr:rowOff>
    </xdr:to>
    <xdr:sp>
      <xdr:nvSpPr>
        <xdr:cNvPr id="24" name="Triángulo isósceles 141"/>
        <xdr:cNvSpPr/>
      </xdr:nvSpPr>
      <xdr:spPr>
        <a:xfrm rot="1200000">
          <a:off x="6314400" y="18151920"/>
          <a:ext cx="46080" cy="53280"/>
        </a:xfrm>
        <a:prstGeom prst="triangle">
          <a:avLst>
            <a:gd name="adj" fmla="val 50000"/>
          </a:avLst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129600</xdr:colOff>
      <xdr:row>132</xdr:row>
      <xdr:rowOff>49680</xdr:rowOff>
    </xdr:from>
    <xdr:to>
      <xdr:col>18</xdr:col>
      <xdr:colOff>201960</xdr:colOff>
      <xdr:row>132</xdr:row>
      <xdr:rowOff>112320</xdr:rowOff>
    </xdr:to>
    <xdr:sp>
      <xdr:nvSpPr>
        <xdr:cNvPr id="25" name="Triángulo isósceles 142"/>
        <xdr:cNvSpPr/>
      </xdr:nvSpPr>
      <xdr:spPr>
        <a:xfrm rot="6893400">
          <a:off x="6263280" y="17913960"/>
          <a:ext cx="62640" cy="72360"/>
        </a:xfrm>
        <a:prstGeom prst="triangle">
          <a:avLst>
            <a:gd name="adj" fmla="val 50000"/>
          </a:avLst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16200</xdr:colOff>
      <xdr:row>132</xdr:row>
      <xdr:rowOff>65160</xdr:rowOff>
    </xdr:from>
    <xdr:to>
      <xdr:col>17</xdr:col>
      <xdr:colOff>61200</xdr:colOff>
      <xdr:row>132</xdr:row>
      <xdr:rowOff>110160</xdr:rowOff>
    </xdr:to>
    <xdr:sp>
      <xdr:nvSpPr>
        <xdr:cNvPr id="26" name="Elipse 143"/>
        <xdr:cNvSpPr/>
      </xdr:nvSpPr>
      <xdr:spPr>
        <a:xfrm rot="19534800">
          <a:off x="5847120" y="17933760"/>
          <a:ext cx="45000" cy="450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51840</xdr:colOff>
      <xdr:row>132</xdr:row>
      <xdr:rowOff>8640</xdr:rowOff>
    </xdr:from>
    <xdr:to>
      <xdr:col>17</xdr:col>
      <xdr:colOff>97200</xdr:colOff>
      <xdr:row>132</xdr:row>
      <xdr:rowOff>50760</xdr:rowOff>
    </xdr:to>
    <xdr:sp>
      <xdr:nvSpPr>
        <xdr:cNvPr id="27" name="Elipse 144"/>
        <xdr:cNvSpPr/>
      </xdr:nvSpPr>
      <xdr:spPr>
        <a:xfrm>
          <a:off x="5883120" y="17877600"/>
          <a:ext cx="45360" cy="421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39240</xdr:colOff>
      <xdr:row>132</xdr:row>
      <xdr:rowOff>9720</xdr:rowOff>
    </xdr:from>
    <xdr:to>
      <xdr:col>18</xdr:col>
      <xdr:colOff>116280</xdr:colOff>
      <xdr:row>132</xdr:row>
      <xdr:rowOff>93960</xdr:rowOff>
    </xdr:to>
    <xdr:sp>
      <xdr:nvSpPr>
        <xdr:cNvPr id="28" name="Triángulo isósceles 146"/>
        <xdr:cNvSpPr/>
      </xdr:nvSpPr>
      <xdr:spPr>
        <a:xfrm rot="1200000">
          <a:off x="6168240" y="17878680"/>
          <a:ext cx="77040" cy="84240"/>
        </a:xfrm>
        <a:prstGeom prst="triangle">
          <a:avLst>
            <a:gd name="adj" fmla="val 50000"/>
          </a:avLst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169560</xdr:colOff>
      <xdr:row>133</xdr:row>
      <xdr:rowOff>22320</xdr:rowOff>
    </xdr:from>
    <xdr:to>
      <xdr:col>18</xdr:col>
      <xdr:colOff>214560</xdr:colOff>
      <xdr:row>133</xdr:row>
      <xdr:rowOff>67320</xdr:rowOff>
    </xdr:to>
    <xdr:sp>
      <xdr:nvSpPr>
        <xdr:cNvPr id="29" name="Elipse 147"/>
        <xdr:cNvSpPr/>
      </xdr:nvSpPr>
      <xdr:spPr>
        <a:xfrm rot="19534800">
          <a:off x="6298200" y="18014760"/>
          <a:ext cx="45000" cy="450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69480</xdr:colOff>
      <xdr:row>135</xdr:row>
      <xdr:rowOff>16200</xdr:rowOff>
    </xdr:from>
    <xdr:to>
      <xdr:col>17</xdr:col>
      <xdr:colOff>115560</xdr:colOff>
      <xdr:row>135</xdr:row>
      <xdr:rowOff>70920</xdr:rowOff>
    </xdr:to>
    <xdr:sp>
      <xdr:nvSpPr>
        <xdr:cNvPr id="30" name="Triángulo isósceles 148"/>
        <xdr:cNvSpPr/>
      </xdr:nvSpPr>
      <xdr:spPr>
        <a:xfrm rot="1980000">
          <a:off x="5900760" y="18256680"/>
          <a:ext cx="46080" cy="54720"/>
        </a:xfrm>
        <a:prstGeom prst="triangle">
          <a:avLst>
            <a:gd name="adj" fmla="val 50000"/>
          </a:avLst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244440</xdr:colOff>
      <xdr:row>135</xdr:row>
      <xdr:rowOff>20160</xdr:rowOff>
    </xdr:from>
    <xdr:to>
      <xdr:col>18</xdr:col>
      <xdr:colOff>50400</xdr:colOff>
      <xdr:row>135</xdr:row>
      <xdr:rowOff>73800</xdr:rowOff>
    </xdr:to>
    <xdr:sp>
      <xdr:nvSpPr>
        <xdr:cNvPr id="31" name="Forma libre 150"/>
        <xdr:cNvSpPr/>
      </xdr:nvSpPr>
      <xdr:spPr>
        <a:xfrm rot="9782400">
          <a:off x="6075720" y="18260640"/>
          <a:ext cx="103680" cy="53640"/>
        </a:xfrm>
        <a:custGeom>
          <a:avLst/>
          <a:gdLst>
            <a:gd name="textAreaLeft" fmla="*/ 0 w 103680"/>
            <a:gd name="textAreaRight" fmla="*/ 104400 w 103680"/>
            <a:gd name="textAreaTop" fmla="*/ 0 h 53640"/>
            <a:gd name="textAreaBottom" fmla="*/ 54360 h 5364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141120</xdr:colOff>
      <xdr:row>134</xdr:row>
      <xdr:rowOff>11880</xdr:rowOff>
    </xdr:from>
    <xdr:to>
      <xdr:col>18</xdr:col>
      <xdr:colOff>186120</xdr:colOff>
      <xdr:row>134</xdr:row>
      <xdr:rowOff>57600</xdr:rowOff>
    </xdr:to>
    <xdr:sp>
      <xdr:nvSpPr>
        <xdr:cNvPr id="32" name="Forma libre 151"/>
        <xdr:cNvSpPr/>
      </xdr:nvSpPr>
      <xdr:spPr>
        <a:xfrm flipH="1" flipV="1" rot="21253200">
          <a:off x="6269760" y="18128160"/>
          <a:ext cx="45000" cy="45720"/>
        </a:xfrm>
        <a:custGeom>
          <a:avLst/>
          <a:gdLst>
            <a:gd name="textAreaLeft" fmla="*/ 360 w 45000"/>
            <a:gd name="textAreaRight" fmla="*/ 46080 w 45000"/>
            <a:gd name="textAreaTop" fmla="*/ -360 h 45720"/>
            <a:gd name="textAreaBottom" fmla="*/ 46080 h 45720"/>
          </a:gdLst>
          <a:ahLst/>
          <a:rect l="textAreaLeft" t="textAreaTop" r="textAreaRight" b="textAreaBottom"/>
          <a:pathLst>
            <a:path w="141847" h="105557">
              <a:moveTo>
                <a:pt x="66263" y="875"/>
              </a:moveTo>
              <a:cubicBezTo>
                <a:pt x="52002" y="5565"/>
                <a:pt x="-5032" y="27082"/>
                <a:pt x="359" y="47450"/>
              </a:cubicBezTo>
              <a:cubicBezTo>
                <a:pt x="5750" y="67818"/>
                <a:pt x="48763" y="94055"/>
                <a:pt x="64339" y="100645"/>
              </a:cubicBezTo>
              <a:cubicBezTo>
                <a:pt x="77638" y="115741"/>
                <a:pt x="121369" y="92379"/>
                <a:pt x="136944" y="79799"/>
              </a:cubicBezTo>
              <a:cubicBezTo>
                <a:pt x="152519" y="67219"/>
                <a:pt x="126758" y="42435"/>
                <a:pt x="118255" y="32353"/>
              </a:cubicBezTo>
              <a:cubicBezTo>
                <a:pt x="109752" y="22271"/>
                <a:pt x="106893" y="27097"/>
                <a:pt x="85926" y="19309"/>
              </a:cubicBezTo>
              <a:cubicBezTo>
                <a:pt x="64959" y="11521"/>
                <a:pt x="80524" y="-3815"/>
                <a:pt x="66263" y="875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46800</xdr:colOff>
      <xdr:row>136</xdr:row>
      <xdr:rowOff>16560</xdr:rowOff>
    </xdr:from>
    <xdr:to>
      <xdr:col>18</xdr:col>
      <xdr:colOff>95040</xdr:colOff>
      <xdr:row>136</xdr:row>
      <xdr:rowOff>104760</xdr:rowOff>
    </xdr:to>
    <xdr:sp>
      <xdr:nvSpPr>
        <xdr:cNvPr id="33" name="Forma libre 152"/>
        <xdr:cNvSpPr/>
      </xdr:nvSpPr>
      <xdr:spPr>
        <a:xfrm flipH="1" flipV="1" rot="5920800">
          <a:off x="6155280" y="18400320"/>
          <a:ext cx="88200" cy="48240"/>
        </a:xfrm>
        <a:custGeom>
          <a:avLst/>
          <a:gdLst>
            <a:gd name="textAreaLeft" fmla="*/ 360 w 88200"/>
            <a:gd name="textAreaRight" fmla="*/ 89280 w 88200"/>
            <a:gd name="textAreaTop" fmla="*/ -360 h 48240"/>
            <a:gd name="textAreaBottom" fmla="*/ 48600 h 48240"/>
          </a:gdLst>
          <a:ahLst/>
          <a:rect l="textAreaLeft" t="textAreaTop" r="textAreaRight" b="textAreaBottom"/>
          <a:pathLst>
            <a:path w="86648" h="103337">
              <a:moveTo>
                <a:pt x="1200" y="14875"/>
              </a:moveTo>
              <a:cubicBezTo>
                <a:pt x="-2225" y="19478"/>
                <a:pt x="2238" y="9360"/>
                <a:pt x="7629" y="29728"/>
              </a:cubicBezTo>
              <a:cubicBezTo>
                <a:pt x="13020" y="50096"/>
                <a:pt x="-4409" y="63778"/>
                <a:pt x="11167" y="70368"/>
              </a:cubicBezTo>
              <a:cubicBezTo>
                <a:pt x="24466" y="85464"/>
                <a:pt x="64183" y="112691"/>
                <a:pt x="79758" y="100111"/>
              </a:cubicBezTo>
              <a:cubicBezTo>
                <a:pt x="95333" y="87531"/>
                <a:pt x="80829" y="43271"/>
                <a:pt x="72233" y="26937"/>
              </a:cubicBezTo>
              <a:cubicBezTo>
                <a:pt x="63637" y="10603"/>
                <a:pt x="49147" y="9896"/>
                <a:pt x="28180" y="2108"/>
              </a:cubicBezTo>
              <a:cubicBezTo>
                <a:pt x="7213" y="-5680"/>
                <a:pt x="4625" y="10272"/>
                <a:pt x="1200" y="14875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221400</xdr:colOff>
      <xdr:row>136</xdr:row>
      <xdr:rowOff>69840</xdr:rowOff>
    </xdr:from>
    <xdr:to>
      <xdr:col>18</xdr:col>
      <xdr:colOff>19440</xdr:colOff>
      <xdr:row>136</xdr:row>
      <xdr:rowOff>114840</xdr:rowOff>
    </xdr:to>
    <xdr:sp>
      <xdr:nvSpPr>
        <xdr:cNvPr id="34" name="Forma libre 157"/>
        <xdr:cNvSpPr/>
      </xdr:nvSpPr>
      <xdr:spPr>
        <a:xfrm rot="4200000">
          <a:off x="6077880" y="18408600"/>
          <a:ext cx="45000" cy="95760"/>
        </a:xfrm>
        <a:custGeom>
          <a:avLst/>
          <a:gdLst>
            <a:gd name="textAreaLeft" fmla="*/ 0 w 45000"/>
            <a:gd name="textAreaRight" fmla="*/ 45720 w 45000"/>
            <a:gd name="textAreaTop" fmla="*/ 0 h 95760"/>
            <a:gd name="textAreaBottom" fmla="*/ 96480 h 95760"/>
          </a:gdLst>
          <a:ahLst/>
          <a:rect l="textAreaLeft" t="textAreaTop" r="textAreaRight" b="textAreaBottom"/>
          <a:pathLst>
            <a:path w="129927" h="124606">
              <a:moveTo>
                <a:pt x="3719" y="2396"/>
              </a:moveTo>
              <a:cubicBezTo>
                <a:pt x="-11856" y="14976"/>
                <a:pt x="25884" y="125203"/>
                <a:pt x="36068" y="124604"/>
              </a:cubicBezTo>
              <a:cubicBezTo>
                <a:pt x="46252" y="124005"/>
                <a:pt x="136710" y="68293"/>
                <a:pt x="129521" y="49123"/>
              </a:cubicBezTo>
              <a:cubicBezTo>
                <a:pt x="122332" y="29953"/>
                <a:pt x="19294" y="-10184"/>
                <a:pt x="3719" y="239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177480</xdr:colOff>
      <xdr:row>133</xdr:row>
      <xdr:rowOff>7560</xdr:rowOff>
    </xdr:from>
    <xdr:to>
      <xdr:col>17</xdr:col>
      <xdr:colOff>207360</xdr:colOff>
      <xdr:row>133</xdr:row>
      <xdr:rowOff>35280</xdr:rowOff>
    </xdr:to>
    <xdr:sp>
      <xdr:nvSpPr>
        <xdr:cNvPr id="35" name="Elipse 158"/>
        <xdr:cNvSpPr/>
      </xdr:nvSpPr>
      <xdr:spPr>
        <a:xfrm>
          <a:off x="6008760" y="18000360"/>
          <a:ext cx="29880" cy="277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216360</xdr:colOff>
      <xdr:row>133</xdr:row>
      <xdr:rowOff>90000</xdr:rowOff>
    </xdr:from>
    <xdr:to>
      <xdr:col>18</xdr:col>
      <xdr:colOff>231120</xdr:colOff>
      <xdr:row>133</xdr:row>
      <xdr:rowOff>103680</xdr:rowOff>
    </xdr:to>
    <xdr:sp>
      <xdr:nvSpPr>
        <xdr:cNvPr id="36" name="Elipse 159"/>
        <xdr:cNvSpPr/>
      </xdr:nvSpPr>
      <xdr:spPr>
        <a:xfrm>
          <a:off x="6345360" y="1808280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15480</xdr:colOff>
      <xdr:row>132</xdr:row>
      <xdr:rowOff>7560</xdr:rowOff>
    </xdr:from>
    <xdr:to>
      <xdr:col>18</xdr:col>
      <xdr:colOff>45360</xdr:colOff>
      <xdr:row>132</xdr:row>
      <xdr:rowOff>35280</xdr:rowOff>
    </xdr:to>
    <xdr:sp>
      <xdr:nvSpPr>
        <xdr:cNvPr id="37" name="Elipse 161"/>
        <xdr:cNvSpPr/>
      </xdr:nvSpPr>
      <xdr:spPr>
        <a:xfrm>
          <a:off x="6144480" y="17876520"/>
          <a:ext cx="29880" cy="277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216720</xdr:colOff>
      <xdr:row>132</xdr:row>
      <xdr:rowOff>80280</xdr:rowOff>
    </xdr:from>
    <xdr:to>
      <xdr:col>18</xdr:col>
      <xdr:colOff>231480</xdr:colOff>
      <xdr:row>132</xdr:row>
      <xdr:rowOff>93960</xdr:rowOff>
    </xdr:to>
    <xdr:sp>
      <xdr:nvSpPr>
        <xdr:cNvPr id="38" name="Elipse 162"/>
        <xdr:cNvSpPr/>
      </xdr:nvSpPr>
      <xdr:spPr>
        <a:xfrm>
          <a:off x="6345720" y="1794924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131400</xdr:colOff>
      <xdr:row>133</xdr:row>
      <xdr:rowOff>84960</xdr:rowOff>
    </xdr:from>
    <xdr:to>
      <xdr:col>17</xdr:col>
      <xdr:colOff>146160</xdr:colOff>
      <xdr:row>133</xdr:row>
      <xdr:rowOff>98640</xdr:rowOff>
    </xdr:to>
    <xdr:sp>
      <xdr:nvSpPr>
        <xdr:cNvPr id="39" name="Elipse 163"/>
        <xdr:cNvSpPr/>
      </xdr:nvSpPr>
      <xdr:spPr>
        <a:xfrm>
          <a:off x="5962680" y="1807776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22680</xdr:colOff>
      <xdr:row>134</xdr:row>
      <xdr:rowOff>88920</xdr:rowOff>
    </xdr:from>
    <xdr:to>
      <xdr:col>17</xdr:col>
      <xdr:colOff>46440</xdr:colOff>
      <xdr:row>134</xdr:row>
      <xdr:rowOff>111240</xdr:rowOff>
    </xdr:to>
    <xdr:sp>
      <xdr:nvSpPr>
        <xdr:cNvPr id="40" name="Elipse 164"/>
        <xdr:cNvSpPr/>
      </xdr:nvSpPr>
      <xdr:spPr>
        <a:xfrm>
          <a:off x="5853960" y="18205560"/>
          <a:ext cx="23760" cy="223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180720</xdr:colOff>
      <xdr:row>134</xdr:row>
      <xdr:rowOff>8280</xdr:rowOff>
    </xdr:from>
    <xdr:to>
      <xdr:col>17</xdr:col>
      <xdr:colOff>210600</xdr:colOff>
      <xdr:row>134</xdr:row>
      <xdr:rowOff>36000</xdr:rowOff>
    </xdr:to>
    <xdr:sp>
      <xdr:nvSpPr>
        <xdr:cNvPr id="41" name="Elipse 165"/>
        <xdr:cNvSpPr/>
      </xdr:nvSpPr>
      <xdr:spPr>
        <a:xfrm>
          <a:off x="6012000" y="18124920"/>
          <a:ext cx="29880" cy="277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152280</xdr:colOff>
      <xdr:row>134</xdr:row>
      <xdr:rowOff>85320</xdr:rowOff>
    </xdr:from>
    <xdr:to>
      <xdr:col>17</xdr:col>
      <xdr:colOff>167040</xdr:colOff>
      <xdr:row>134</xdr:row>
      <xdr:rowOff>99000</xdr:rowOff>
    </xdr:to>
    <xdr:sp>
      <xdr:nvSpPr>
        <xdr:cNvPr id="42" name="Elipse 166"/>
        <xdr:cNvSpPr/>
      </xdr:nvSpPr>
      <xdr:spPr>
        <a:xfrm>
          <a:off x="5983560" y="1820196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136800</xdr:colOff>
      <xdr:row>134</xdr:row>
      <xdr:rowOff>88200</xdr:rowOff>
    </xdr:from>
    <xdr:to>
      <xdr:col>18</xdr:col>
      <xdr:colOff>151560</xdr:colOff>
      <xdr:row>134</xdr:row>
      <xdr:rowOff>101880</xdr:rowOff>
    </xdr:to>
    <xdr:sp>
      <xdr:nvSpPr>
        <xdr:cNvPr id="43" name="Elipse 167"/>
        <xdr:cNvSpPr/>
      </xdr:nvSpPr>
      <xdr:spPr>
        <a:xfrm>
          <a:off x="6265800" y="1820484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38520</xdr:colOff>
      <xdr:row>135</xdr:row>
      <xdr:rowOff>12240</xdr:rowOff>
    </xdr:from>
    <xdr:to>
      <xdr:col>17</xdr:col>
      <xdr:colOff>62280</xdr:colOff>
      <xdr:row>135</xdr:row>
      <xdr:rowOff>34560</xdr:rowOff>
    </xdr:to>
    <xdr:sp>
      <xdr:nvSpPr>
        <xdr:cNvPr id="44" name="Elipse 168"/>
        <xdr:cNvSpPr/>
      </xdr:nvSpPr>
      <xdr:spPr>
        <a:xfrm>
          <a:off x="5869800" y="18252720"/>
          <a:ext cx="23760" cy="223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212040</xdr:colOff>
      <xdr:row>135</xdr:row>
      <xdr:rowOff>16560</xdr:rowOff>
    </xdr:from>
    <xdr:to>
      <xdr:col>17</xdr:col>
      <xdr:colOff>226800</xdr:colOff>
      <xdr:row>135</xdr:row>
      <xdr:rowOff>30240</xdr:rowOff>
    </xdr:to>
    <xdr:sp>
      <xdr:nvSpPr>
        <xdr:cNvPr id="45" name="Elipse 169"/>
        <xdr:cNvSpPr/>
      </xdr:nvSpPr>
      <xdr:spPr>
        <a:xfrm>
          <a:off x="6043320" y="1825704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240480</xdr:colOff>
      <xdr:row>135</xdr:row>
      <xdr:rowOff>99000</xdr:rowOff>
    </xdr:from>
    <xdr:to>
      <xdr:col>18</xdr:col>
      <xdr:colOff>7920</xdr:colOff>
      <xdr:row>135</xdr:row>
      <xdr:rowOff>112680</xdr:rowOff>
    </xdr:to>
    <xdr:sp>
      <xdr:nvSpPr>
        <xdr:cNvPr id="46" name="Elipse 170"/>
        <xdr:cNvSpPr/>
      </xdr:nvSpPr>
      <xdr:spPr>
        <a:xfrm>
          <a:off x="6071760" y="18339480"/>
          <a:ext cx="651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23040</xdr:colOff>
      <xdr:row>136</xdr:row>
      <xdr:rowOff>20520</xdr:rowOff>
    </xdr:from>
    <xdr:to>
      <xdr:col>17</xdr:col>
      <xdr:colOff>37800</xdr:colOff>
      <xdr:row>136</xdr:row>
      <xdr:rowOff>34200</xdr:rowOff>
    </xdr:to>
    <xdr:sp>
      <xdr:nvSpPr>
        <xdr:cNvPr id="47" name="Elipse 68"/>
        <xdr:cNvSpPr/>
      </xdr:nvSpPr>
      <xdr:spPr>
        <a:xfrm>
          <a:off x="5854320" y="1838484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196200</xdr:colOff>
      <xdr:row>136</xdr:row>
      <xdr:rowOff>28800</xdr:rowOff>
    </xdr:from>
    <xdr:to>
      <xdr:col>17</xdr:col>
      <xdr:colOff>210960</xdr:colOff>
      <xdr:row>136</xdr:row>
      <xdr:rowOff>42480</xdr:rowOff>
    </xdr:to>
    <xdr:sp>
      <xdr:nvSpPr>
        <xdr:cNvPr id="48" name="Elipse 69"/>
        <xdr:cNvSpPr/>
      </xdr:nvSpPr>
      <xdr:spPr>
        <a:xfrm>
          <a:off x="6027480" y="1839312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218880</xdr:colOff>
      <xdr:row>136</xdr:row>
      <xdr:rowOff>102960</xdr:rowOff>
    </xdr:from>
    <xdr:to>
      <xdr:col>18</xdr:col>
      <xdr:colOff>233640</xdr:colOff>
      <xdr:row>136</xdr:row>
      <xdr:rowOff>116640</xdr:rowOff>
    </xdr:to>
    <xdr:sp>
      <xdr:nvSpPr>
        <xdr:cNvPr id="49" name="Elipse 70"/>
        <xdr:cNvSpPr/>
      </xdr:nvSpPr>
      <xdr:spPr>
        <a:xfrm>
          <a:off x="6347880" y="1846728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214560</xdr:colOff>
      <xdr:row>136</xdr:row>
      <xdr:rowOff>11160</xdr:rowOff>
    </xdr:from>
    <xdr:to>
      <xdr:col>18</xdr:col>
      <xdr:colOff>244440</xdr:colOff>
      <xdr:row>136</xdr:row>
      <xdr:rowOff>38880</xdr:rowOff>
    </xdr:to>
    <xdr:sp>
      <xdr:nvSpPr>
        <xdr:cNvPr id="50" name="Elipse 71"/>
        <xdr:cNvSpPr/>
      </xdr:nvSpPr>
      <xdr:spPr>
        <a:xfrm>
          <a:off x="6343560" y="18375480"/>
          <a:ext cx="29880" cy="277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100800</xdr:colOff>
      <xdr:row>136</xdr:row>
      <xdr:rowOff>82800</xdr:rowOff>
    </xdr:from>
    <xdr:to>
      <xdr:col>18</xdr:col>
      <xdr:colOff>115560</xdr:colOff>
      <xdr:row>136</xdr:row>
      <xdr:rowOff>96480</xdr:rowOff>
    </xdr:to>
    <xdr:sp>
      <xdr:nvSpPr>
        <xdr:cNvPr id="51" name="Elipse 72"/>
        <xdr:cNvSpPr/>
      </xdr:nvSpPr>
      <xdr:spPr>
        <a:xfrm>
          <a:off x="6229800" y="18447120"/>
          <a:ext cx="14760" cy="13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S197"/>
  <sheetViews>
    <sheetView showFormulas="false" showGridLines="false" showRowColHeaders="true" showZeros="true" rightToLeft="false" tabSelected="true" showOutlineSymbols="true" defaultGridColor="true" view="normal" topLeftCell="B34" colorId="64" zoomScale="100" zoomScaleNormal="100" zoomScalePageLayoutView="100" workbookViewId="0">
      <selection pane="topLeft" activeCell="B117" activeCellId="0" sqref="B117"/>
    </sheetView>
  </sheetViews>
  <sheetFormatPr defaultColWidth="5.70703125" defaultRowHeight="14.25" zeroHeight="false" outlineLevelRow="0" outlineLevelCol="0"/>
  <cols>
    <col collapsed="false" customWidth="false" hidden="false" outlineLevel="0" max="1" min="1" style="1" width="5.71"/>
    <col collapsed="false" customWidth="true" hidden="false" outlineLevel="0" max="2" min="2" style="2" width="4.86"/>
    <col collapsed="false" customWidth="true" hidden="false" outlineLevel="0" max="4" min="3" style="2" width="0.57"/>
    <col collapsed="false" customWidth="true" hidden="false" outlineLevel="0" max="6" min="5" style="1" width="0.72"/>
    <col collapsed="false" customWidth="true" hidden="false" outlineLevel="0" max="7" min="7" style="1" width="7.86"/>
    <col collapsed="false" customWidth="true" hidden="false" outlineLevel="0" max="9" min="8" style="1" width="2.43"/>
    <col collapsed="false" customWidth="true" hidden="false" outlineLevel="0" max="12" min="10" style="1" width="4.29"/>
    <col collapsed="false" customWidth="true" hidden="false" outlineLevel="0" max="13" min="13" style="1" width="7.28"/>
    <col collapsed="false" customWidth="true" hidden="false" outlineLevel="0" max="14" min="14" style="1" width="6.7"/>
    <col collapsed="false" customWidth="true" hidden="false" outlineLevel="0" max="15" min="15" style="1" width="8.72"/>
    <col collapsed="false" customWidth="true" hidden="false" outlineLevel="0" max="16" min="16" style="1" width="6.7"/>
    <col collapsed="false" customWidth="true" hidden="false" outlineLevel="0" max="17" min="17" style="1" width="4.72"/>
    <col collapsed="false" customWidth="true" hidden="false" outlineLevel="0" max="19" min="18" style="1" width="3.72"/>
    <col collapsed="false" customWidth="true" hidden="false" outlineLevel="0" max="20" min="20" style="1" width="4.29"/>
    <col collapsed="false" customWidth="true" hidden="false" outlineLevel="0" max="21" min="21" style="1" width="5.57"/>
    <col collapsed="false" customWidth="true" hidden="false" outlineLevel="0" max="22" min="22" style="1" width="1.86"/>
    <col collapsed="false" customWidth="true" hidden="false" outlineLevel="0" max="26" min="23" style="1" width="3.72"/>
    <col collapsed="false" customWidth="true" hidden="false" outlineLevel="0" max="27" min="27" style="1" width="2.57"/>
    <col collapsed="false" customWidth="true" hidden="false" outlineLevel="0" max="32" min="28" style="1" width="6.7"/>
    <col collapsed="false" customWidth="true" hidden="false" outlineLevel="0" max="33" min="33" style="1" width="3.72"/>
    <col collapsed="false" customWidth="true" hidden="false" outlineLevel="0" max="34" min="34" style="1" width="4.72"/>
    <col collapsed="false" customWidth="true" hidden="false" outlineLevel="0" max="35" min="35" style="1" width="3.72"/>
    <col collapsed="false" customWidth="true" hidden="false" outlineLevel="0" max="36" min="36" style="1" width="4.72"/>
    <col collapsed="false" customWidth="true" hidden="false" outlineLevel="0" max="37" min="37" style="1" width="3.72"/>
    <col collapsed="false" customWidth="true" hidden="false" outlineLevel="0" max="39" min="38" style="1" width="4.72"/>
    <col collapsed="false" customWidth="true" hidden="false" outlineLevel="0" max="40" min="40" style="1" width="6.43"/>
    <col collapsed="false" customWidth="true" hidden="false" outlineLevel="0" max="41" min="41" style="1" width="1.57"/>
    <col collapsed="false" customWidth="true" hidden="false" outlineLevel="0" max="42" min="42" style="1" width="1.3"/>
    <col collapsed="false" customWidth="true" hidden="false" outlineLevel="0" max="43" min="43" style="1" width="0.57"/>
    <col collapsed="false" customWidth="true" hidden="false" outlineLevel="0" max="44" min="44" style="1" width="0.72"/>
    <col collapsed="false" customWidth="true" hidden="false" outlineLevel="0" max="46" min="45" style="3" width="21.86"/>
    <col collapsed="false" customWidth="true" hidden="false" outlineLevel="0" max="48" min="47" style="3" width="16.14"/>
    <col collapsed="false" customWidth="true" hidden="false" outlineLevel="0" max="49" min="49" style="3" width="10.7"/>
    <col collapsed="false" customWidth="true" hidden="false" outlineLevel="0" max="54" min="50" style="4" width="10.7"/>
    <col collapsed="false" customWidth="true" hidden="false" outlineLevel="0" max="55" min="55" style="4" width="8.14"/>
    <col collapsed="false" customWidth="true" hidden="false" outlineLevel="0" max="56" min="56" style="4" width="7.15"/>
    <col collapsed="false" customWidth="true" hidden="false" outlineLevel="0" max="57" min="57" style="4" width="12.86"/>
    <col collapsed="false" customWidth="false" hidden="false" outlineLevel="0" max="65" min="58" style="4" width="5.71"/>
    <col collapsed="false" customWidth="false" hidden="false" outlineLevel="0" max="66" min="66" style="1" width="5.71"/>
    <col collapsed="false" customWidth="true" hidden="false" outlineLevel="0" max="67" min="67" style="5" width="7.72"/>
    <col collapsed="false" customWidth="false" hidden="false" outlineLevel="0" max="68" min="68" style="1" width="5.71"/>
    <col collapsed="false" customWidth="true" hidden="false" outlineLevel="0" max="69" min="69" style="1" width="7.15"/>
    <col collapsed="false" customWidth="true" hidden="false" outlineLevel="0" max="70" min="70" style="1" width="4.72"/>
    <col collapsed="false" customWidth="true" hidden="false" outlineLevel="0" max="76" min="71" style="1" width="7.72"/>
    <col collapsed="false" customWidth="true" hidden="false" outlineLevel="0" max="80" min="77" style="1" width="4.72"/>
    <col collapsed="false" customWidth="true" hidden="false" outlineLevel="0" max="81" min="81" style="1" width="5"/>
    <col collapsed="false" customWidth="true" hidden="false" outlineLevel="0" max="82" min="82" style="1" width="4.72"/>
    <col collapsed="false" customWidth="true" hidden="false" outlineLevel="0" max="85" min="83" style="1" width="8.72"/>
    <col collapsed="false" customWidth="true" hidden="false" outlineLevel="0" max="86" min="86" style="1" width="7"/>
    <col collapsed="false" customWidth="true" hidden="false" outlineLevel="0" max="87" min="87" style="1" width="8.14"/>
    <col collapsed="false" customWidth="true" hidden="false" outlineLevel="0" max="88" min="88" style="1" width="6.29"/>
    <col collapsed="false" customWidth="true" hidden="false" outlineLevel="0" max="89" min="89" style="1" width="6.14"/>
    <col collapsed="false" customWidth="true" hidden="false" outlineLevel="0" max="91" min="90" style="1" width="10.7"/>
    <col collapsed="false" customWidth="true" hidden="false" outlineLevel="0" max="93" min="92" style="1" width="8.72"/>
    <col collapsed="false" customWidth="true" hidden="false" outlineLevel="0" max="97" min="94" style="1" width="10.7"/>
    <col collapsed="false" customWidth="true" hidden="false" outlineLevel="0" max="99" min="98" style="1" width="12.72"/>
    <col collapsed="false" customWidth="true" hidden="false" outlineLevel="0" max="100" min="100" style="1" width="8.72"/>
    <col collapsed="false" customWidth="true" hidden="false" outlineLevel="0" max="140" min="101" style="1" width="12.72"/>
    <col collapsed="false" customWidth="true" hidden="false" outlineLevel="0" max="141" min="141" style="1" width="13.71"/>
    <col collapsed="false" customWidth="true" hidden="false" outlineLevel="0" max="152" min="142" style="1" width="12.72"/>
    <col collapsed="false" customWidth="true" hidden="false" outlineLevel="0" max="153" min="153" style="1" width="14.86"/>
    <col collapsed="false" customWidth="true" hidden="false" outlineLevel="0" max="161" min="154" style="1" width="12.72"/>
    <col collapsed="false" customWidth="true" hidden="false" outlineLevel="0" max="162" min="162" style="1" width="6.86"/>
    <col collapsed="false" customWidth="true" hidden="false" outlineLevel="0" max="163" min="163" style="1" width="6.7"/>
    <col collapsed="false" customWidth="true" hidden="false" outlineLevel="0" max="165" min="164" style="1" width="3.72"/>
    <col collapsed="false" customWidth="true" hidden="false" outlineLevel="0" max="169" min="166" style="1" width="4.72"/>
    <col collapsed="false" customWidth="true" hidden="false" outlineLevel="0" max="171" min="170" style="1" width="3.72"/>
    <col collapsed="false" customWidth="true" hidden="false" outlineLevel="0" max="175" min="172" style="1" width="4.72"/>
    <col collapsed="false" customWidth="true" hidden="false" outlineLevel="0" max="177" min="176" style="1" width="3.72"/>
    <col collapsed="false" customWidth="true" hidden="false" outlineLevel="0" max="180" min="178" style="1" width="4.72"/>
    <col collapsed="false" customWidth="true" hidden="false" outlineLevel="0" max="225" min="181" style="1" width="4.57"/>
    <col collapsed="false" customWidth="true" hidden="false" outlineLevel="0" max="226" min="226" style="1" width="5.57"/>
    <col collapsed="false" customWidth="true" hidden="false" outlineLevel="0" max="227" min="227" style="1" width="12.57"/>
    <col collapsed="false" customWidth="true" hidden="false" outlineLevel="0" max="231" min="228" style="1" width="4.57"/>
    <col collapsed="false" customWidth="true" hidden="false" outlineLevel="0" max="232" min="232" style="1" width="6.29"/>
    <col collapsed="false" customWidth="true" hidden="false" outlineLevel="0" max="233" min="233" style="1" width="12.86"/>
    <col collapsed="false" customWidth="true" hidden="false" outlineLevel="0" max="234" min="234" style="1" width="15.86"/>
    <col collapsed="false" customWidth="true" hidden="false" outlineLevel="0" max="236" min="235" style="1" width="12.57"/>
    <col collapsed="false" customWidth="false" hidden="false" outlineLevel="0" max="16384" min="237" style="1" width="5.71"/>
  </cols>
  <sheetData>
    <row r="1" customFormat="false" ht="15" hidden="false" customHeight="true" outlineLevel="0" collapsed="false">
      <c r="A1" s="6"/>
      <c r="B1" s="7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8"/>
      <c r="AT1" s="8"/>
      <c r="AU1" s="8"/>
      <c r="AV1" s="8"/>
      <c r="AW1" s="8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6"/>
      <c r="BO1" s="10"/>
      <c r="BP1" s="6"/>
      <c r="BQ1" s="11"/>
      <c r="BR1" s="11"/>
      <c r="BS1" s="11"/>
      <c r="BT1" s="11"/>
      <c r="BU1" s="11"/>
      <c r="BV1" s="11"/>
      <c r="BW1" s="11"/>
      <c r="BX1" s="11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</row>
    <row r="2" customFormat="false" ht="15" hidden="false" customHeight="true" outlineLevel="0" collapsed="false">
      <c r="A2" s="6"/>
      <c r="B2" s="12" t="s">
        <v>0</v>
      </c>
      <c r="C2" s="12"/>
      <c r="D2" s="12"/>
      <c r="E2" s="12"/>
      <c r="F2" s="12"/>
      <c r="G2" s="12"/>
      <c r="H2" s="13" t="s">
        <v>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 t="s">
        <v>2</v>
      </c>
      <c r="AI2" s="14"/>
      <c r="AJ2" s="15"/>
      <c r="AK2" s="15"/>
      <c r="AL2" s="15"/>
      <c r="AM2" s="16"/>
      <c r="AN2" s="6"/>
      <c r="AO2" s="6"/>
      <c r="AP2" s="6"/>
      <c r="AQ2" s="6"/>
      <c r="AR2" s="6"/>
      <c r="AS2" s="8"/>
      <c r="AT2" s="8"/>
      <c r="AU2" s="8"/>
      <c r="AV2" s="8"/>
      <c r="AW2" s="8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17" t="s">
        <v>3</v>
      </c>
      <c r="BL2" s="18"/>
      <c r="BM2" s="18"/>
      <c r="BN2" s="18"/>
      <c r="BO2" s="18"/>
      <c r="BP2" s="18"/>
      <c r="BQ2" s="19"/>
      <c r="BR2" s="20" t="s">
        <v>4</v>
      </c>
      <c r="BS2" s="21" t="n">
        <f aca="false">+K120</f>
        <v>60</v>
      </c>
      <c r="BT2" s="22" t="s">
        <v>5</v>
      </c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11" t="s">
        <v>6</v>
      </c>
      <c r="DM2" s="6"/>
      <c r="DN2" s="23" t="n">
        <v>0.2</v>
      </c>
      <c r="DO2" s="6" t="s">
        <v>7</v>
      </c>
      <c r="DP2" s="6"/>
      <c r="DQ2" s="24" t="n">
        <v>0.2</v>
      </c>
      <c r="DR2" s="6" t="s">
        <v>8</v>
      </c>
      <c r="DS2" s="6"/>
      <c r="DT2" s="23" t="n">
        <f aca="false">DQ12+(0.5-0.2)/10</f>
        <v>0.47</v>
      </c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</row>
    <row r="3" customFormat="false" ht="15" hidden="false" customHeight="true" outlineLevel="0" collapsed="false">
      <c r="A3" s="6"/>
      <c r="B3" s="12"/>
      <c r="C3" s="12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25" t="s">
        <v>9</v>
      </c>
      <c r="AI3" s="25"/>
      <c r="AJ3" s="26"/>
      <c r="AK3" s="26"/>
      <c r="AL3" s="26"/>
      <c r="AM3" s="27"/>
      <c r="AN3" s="6"/>
      <c r="AO3" s="6"/>
      <c r="AP3" s="6"/>
      <c r="AQ3" s="6"/>
      <c r="AR3" s="6"/>
      <c r="AS3" s="28" t="s">
        <v>10</v>
      </c>
      <c r="AT3" s="28" t="s">
        <v>11</v>
      </c>
      <c r="AU3" s="29" t="s">
        <v>12</v>
      </c>
      <c r="AV3" s="29"/>
      <c r="AW3" s="8"/>
      <c r="AX3" s="30" t="s">
        <v>13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17" t="s">
        <v>14</v>
      </c>
      <c r="BL3" s="18"/>
      <c r="BM3" s="18"/>
      <c r="BN3" s="18"/>
      <c r="BO3" s="18"/>
      <c r="BP3" s="18"/>
      <c r="BQ3" s="19"/>
      <c r="BR3" s="20" t="s">
        <v>15</v>
      </c>
      <c r="BS3" s="21" t="n">
        <v>1</v>
      </c>
      <c r="BT3" s="22"/>
      <c r="BU3" s="31"/>
      <c r="BV3" s="31"/>
      <c r="BW3" s="31"/>
      <c r="BX3" s="31"/>
      <c r="BY3" s="3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 t="s">
        <v>16</v>
      </c>
      <c r="DM3" s="11"/>
      <c r="DN3" s="23" t="n">
        <f aca="false">0.2+(0.4-0.2)/3</f>
        <v>0.266666666666667</v>
      </c>
      <c r="DO3" s="11" t="s">
        <v>17</v>
      </c>
      <c r="DP3" s="11"/>
      <c r="DQ3" s="23" t="n">
        <f aca="false">+DQ2+(0.5-0.2)/10</f>
        <v>0.23</v>
      </c>
      <c r="DR3" s="11" t="s">
        <v>18</v>
      </c>
      <c r="DS3" s="11"/>
      <c r="DT3" s="23" t="n">
        <f aca="false">DT2+(0.5-0.2)/10</f>
        <v>0.5</v>
      </c>
      <c r="DU3" s="11"/>
      <c r="DV3" s="11"/>
      <c r="DW3" s="6"/>
      <c r="DX3" s="6"/>
      <c r="DY3" s="6"/>
      <c r="DZ3" s="6"/>
      <c r="EA3" s="6"/>
      <c r="EB3" s="6"/>
      <c r="EC3" s="6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</row>
    <row r="4" customFormat="false" ht="15" hidden="false" customHeight="true" outlineLevel="0" collapsed="false">
      <c r="A4" s="6"/>
      <c r="B4" s="12"/>
      <c r="C4" s="12"/>
      <c r="D4" s="12"/>
      <c r="E4" s="12"/>
      <c r="F4" s="12"/>
      <c r="G4" s="12"/>
      <c r="H4" s="32" t="s">
        <v>19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25" t="s">
        <v>20</v>
      </c>
      <c r="AI4" s="25"/>
      <c r="AJ4" s="33"/>
      <c r="AK4" s="33"/>
      <c r="AL4" s="33"/>
      <c r="AM4" s="27"/>
      <c r="AN4" s="6"/>
      <c r="AO4" s="6"/>
      <c r="AP4" s="6"/>
      <c r="AQ4" s="6"/>
      <c r="AR4" s="34"/>
      <c r="AS4" s="28"/>
      <c r="AT4" s="28"/>
      <c r="AU4" s="29"/>
      <c r="AV4" s="29"/>
      <c r="AW4" s="8"/>
      <c r="AX4" s="30" t="s">
        <v>21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17" t="s">
        <v>22</v>
      </c>
      <c r="BL4" s="18"/>
      <c r="BM4" s="18"/>
      <c r="BN4" s="18"/>
      <c r="BO4" s="18"/>
      <c r="BP4" s="18"/>
      <c r="BQ4" s="19"/>
      <c r="BR4" s="20" t="s">
        <v>23</v>
      </c>
      <c r="BS4" s="21" t="n">
        <v>1</v>
      </c>
      <c r="BT4" s="22"/>
      <c r="BU4" s="6"/>
      <c r="BV4" s="6"/>
      <c r="BW4" s="6"/>
      <c r="BX4" s="6"/>
      <c r="BY4" s="6"/>
      <c r="BZ4" s="6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 t="s">
        <v>24</v>
      </c>
      <c r="DM4" s="11"/>
      <c r="DN4" s="23" t="n">
        <f aca="false">0.2+2*(0.4-0.2)/3</f>
        <v>0.333333333333333</v>
      </c>
      <c r="DO4" s="11" t="s">
        <v>25</v>
      </c>
      <c r="DP4" s="11"/>
      <c r="DQ4" s="23" t="n">
        <f aca="false">+DQ3+(0.5-0.2)/10</f>
        <v>0.26</v>
      </c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</row>
    <row r="5" customFormat="false" ht="15" hidden="false" customHeight="true" outlineLevel="0" collapsed="false">
      <c r="A5" s="6"/>
      <c r="B5" s="12"/>
      <c r="C5" s="12"/>
      <c r="D5" s="12"/>
      <c r="E5" s="12"/>
      <c r="F5" s="12"/>
      <c r="G5" s="12"/>
      <c r="H5" s="35" t="s">
        <v>26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6" t="s">
        <v>27</v>
      </c>
      <c r="AI5" s="36"/>
      <c r="AJ5" s="36"/>
      <c r="AK5" s="36"/>
      <c r="AL5" s="36"/>
      <c r="AM5" s="27"/>
      <c r="AN5" s="6"/>
      <c r="AO5" s="6"/>
      <c r="AP5" s="6"/>
      <c r="AQ5" s="6"/>
      <c r="AR5" s="34"/>
      <c r="AS5" s="28"/>
      <c r="AT5" s="28"/>
      <c r="AU5" s="29"/>
      <c r="AV5" s="29"/>
      <c r="AW5" s="8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7" t="s">
        <v>28</v>
      </c>
      <c r="BL5" s="18"/>
      <c r="BM5" s="18"/>
      <c r="BN5" s="18"/>
      <c r="BO5" s="18"/>
      <c r="BP5" s="18"/>
      <c r="BQ5" s="19"/>
      <c r="BR5" s="20" t="s">
        <v>29</v>
      </c>
      <c r="BS5" s="37" t="s">
        <v>30</v>
      </c>
      <c r="BT5" s="37"/>
      <c r="BU5" s="6"/>
      <c r="BV5" s="6"/>
      <c r="BW5" s="6"/>
      <c r="BX5" s="6"/>
      <c r="BY5" s="6"/>
      <c r="BZ5" s="6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 t="s">
        <v>31</v>
      </c>
      <c r="DM5" s="11"/>
      <c r="DN5" s="23" t="n">
        <v>0.35</v>
      </c>
      <c r="DO5" s="11" t="s">
        <v>32</v>
      </c>
      <c r="DP5" s="11"/>
      <c r="DQ5" s="23" t="n">
        <f aca="false">+DQ4+(0.5-0.2)/10</f>
        <v>0.29</v>
      </c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38" t="s">
        <v>33</v>
      </c>
      <c r="EG5" s="38"/>
      <c r="EH5" s="38"/>
      <c r="EI5" s="38"/>
      <c r="EJ5" s="38"/>
      <c r="EK5" s="38"/>
      <c r="EL5" s="38"/>
      <c r="EM5" s="38"/>
      <c r="EN5" s="11"/>
      <c r="EO5" s="11"/>
      <c r="EP5" s="11"/>
      <c r="EQ5" s="11"/>
      <c r="ER5" s="11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</row>
    <row r="6" customFormat="false" ht="6.75" hidden="false" customHeight="true" outlineLevel="0" collapsed="false">
      <c r="A6" s="6"/>
      <c r="B6" s="39"/>
      <c r="C6" s="40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/>
      <c r="AM6" s="27"/>
      <c r="AN6" s="6"/>
      <c r="AO6" s="6"/>
      <c r="AP6" s="6"/>
      <c r="AQ6" s="6"/>
      <c r="AR6" s="34"/>
      <c r="AS6" s="28"/>
      <c r="AT6" s="28"/>
      <c r="AU6" s="29"/>
      <c r="AV6" s="29"/>
      <c r="AW6" s="8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6"/>
      <c r="BO6" s="10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43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</row>
    <row r="7" customFormat="false" ht="18.75" hidden="false" customHeight="true" outlineLevel="0" collapsed="false">
      <c r="A7" s="6"/>
      <c r="B7" s="44" t="s">
        <v>34</v>
      </c>
      <c r="C7" s="44"/>
      <c r="D7" s="44"/>
      <c r="E7" s="44"/>
      <c r="F7" s="44"/>
      <c r="G7" s="44"/>
      <c r="H7" s="45"/>
      <c r="I7" s="45" t="s">
        <v>35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6"/>
      <c r="AE7" s="47" t="s">
        <v>36</v>
      </c>
      <c r="AF7" s="47"/>
      <c r="AG7" s="47"/>
      <c r="AH7" s="47"/>
      <c r="AI7" s="48" t="n">
        <v>44709</v>
      </c>
      <c r="AJ7" s="48"/>
      <c r="AK7" s="48"/>
      <c r="AL7" s="48"/>
      <c r="AM7" s="27"/>
      <c r="AN7" s="6"/>
      <c r="AO7" s="6"/>
      <c r="AP7" s="6"/>
      <c r="AQ7" s="6"/>
      <c r="AR7" s="34"/>
      <c r="AS7" s="28"/>
      <c r="AT7" s="28"/>
      <c r="AU7" s="29"/>
      <c r="AV7" s="29"/>
      <c r="AW7" s="8"/>
      <c r="AX7" s="49" t="s">
        <v>13</v>
      </c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6"/>
      <c r="BO7" s="10"/>
      <c r="BP7" s="6"/>
      <c r="BQ7" s="6"/>
      <c r="BR7" s="6"/>
      <c r="BS7" s="6"/>
      <c r="BT7" s="6"/>
      <c r="BU7" s="50"/>
      <c r="BV7" s="50"/>
      <c r="BW7" s="50"/>
      <c r="BX7" s="50"/>
      <c r="BY7" s="6"/>
      <c r="BZ7" s="6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 t="s">
        <v>37</v>
      </c>
      <c r="DM7" s="11"/>
      <c r="DN7" s="23" t="n">
        <v>0.36</v>
      </c>
      <c r="DO7" s="11" t="s">
        <v>37</v>
      </c>
      <c r="DP7" s="11"/>
      <c r="DQ7" s="23" t="n">
        <f aca="false">+DQ5+(0.5-0.2)/10</f>
        <v>0.32</v>
      </c>
      <c r="DR7" s="11"/>
      <c r="DS7" s="11"/>
      <c r="DT7" s="11" t="n">
        <v>0.0980665</v>
      </c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6"/>
      <c r="ET7" s="6"/>
      <c r="EU7" s="6"/>
      <c r="EV7" s="6"/>
      <c r="EW7" s="6"/>
      <c r="EX7" s="6"/>
      <c r="EY7" s="6"/>
      <c r="EZ7" s="38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</row>
    <row r="8" customFormat="false" ht="18.75" hidden="false" customHeight="true" outlineLevel="0" collapsed="false">
      <c r="A8" s="6"/>
      <c r="B8" s="51" t="s">
        <v>38</v>
      </c>
      <c r="C8" s="51"/>
      <c r="D8" s="51"/>
      <c r="E8" s="51"/>
      <c r="F8" s="51"/>
      <c r="G8" s="51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3"/>
      <c r="AE8" s="54" t="s">
        <v>39</v>
      </c>
      <c r="AF8" s="54"/>
      <c r="AG8" s="54"/>
      <c r="AH8" s="54"/>
      <c r="AI8" s="55"/>
      <c r="AJ8" s="55"/>
      <c r="AK8" s="55"/>
      <c r="AL8" s="55"/>
      <c r="AM8" s="27"/>
      <c r="AN8" s="6"/>
      <c r="AO8" s="6"/>
      <c r="AP8" s="6"/>
      <c r="AQ8" s="6"/>
      <c r="AR8" s="34"/>
      <c r="AS8" s="28"/>
      <c r="AT8" s="28"/>
      <c r="AU8" s="29"/>
      <c r="AV8" s="29"/>
      <c r="AW8" s="8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6"/>
      <c r="BO8" s="10"/>
      <c r="BP8" s="6"/>
      <c r="BQ8" s="6"/>
      <c r="BR8" s="6"/>
      <c r="BS8" s="6"/>
      <c r="BT8" s="6"/>
      <c r="BU8" s="50"/>
      <c r="BV8" s="50"/>
      <c r="BW8" s="50"/>
      <c r="BX8" s="50"/>
      <c r="BY8" s="6"/>
      <c r="BZ8" s="6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 t="s">
        <v>40</v>
      </c>
      <c r="DM8" s="11"/>
      <c r="DN8" s="43" t="n">
        <v>0.37</v>
      </c>
      <c r="DO8" s="11" t="s">
        <v>41</v>
      </c>
      <c r="DP8" s="11"/>
      <c r="DQ8" s="23" t="n">
        <f aca="false">+DQ7+(0.5-0.2)/10</f>
        <v>0.35</v>
      </c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</row>
    <row r="9" customFormat="false" ht="18.75" hidden="false" customHeight="true" outlineLevel="0" collapsed="false">
      <c r="A9" s="6"/>
      <c r="B9" s="51" t="s">
        <v>42</v>
      </c>
      <c r="C9" s="51"/>
      <c r="D9" s="51"/>
      <c r="E9" s="51"/>
      <c r="F9" s="51"/>
      <c r="G9" s="51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3"/>
      <c r="AE9" s="54"/>
      <c r="AF9" s="54"/>
      <c r="AG9" s="54"/>
      <c r="AH9" s="54"/>
      <c r="AI9" s="55"/>
      <c r="AJ9" s="55"/>
      <c r="AK9" s="55"/>
      <c r="AL9" s="55"/>
      <c r="AM9" s="27"/>
      <c r="AN9" s="6"/>
      <c r="AO9" s="6"/>
      <c r="AP9" s="6"/>
      <c r="AQ9" s="6"/>
      <c r="AR9" s="34"/>
      <c r="AS9" s="28"/>
      <c r="AT9" s="28"/>
      <c r="AU9" s="56" t="s">
        <v>43</v>
      </c>
      <c r="AV9" s="56"/>
      <c r="AW9" s="8"/>
      <c r="AX9" s="57" t="s">
        <v>44</v>
      </c>
      <c r="AY9" s="58" t="s">
        <v>45</v>
      </c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6"/>
      <c r="BO9" s="10"/>
      <c r="BP9" s="6"/>
      <c r="BQ9" s="6"/>
      <c r="BR9" s="6"/>
      <c r="BS9" s="6"/>
      <c r="BT9" s="6"/>
      <c r="BU9" s="50"/>
      <c r="BV9" s="50"/>
      <c r="BW9" s="50"/>
      <c r="BX9" s="50"/>
      <c r="BY9" s="6"/>
      <c r="BZ9" s="6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 t="s">
        <v>46</v>
      </c>
      <c r="DM9" s="11"/>
      <c r="DN9" s="23" t="n">
        <f aca="false">0.3+(0.45-0.3)/2</f>
        <v>0.375</v>
      </c>
      <c r="DO9" s="11" t="s">
        <v>47</v>
      </c>
      <c r="DP9" s="11"/>
      <c r="DQ9" s="23" t="n">
        <f aca="false">+DQ8+(0.5-0.2)/10</f>
        <v>0.38</v>
      </c>
      <c r="DR9" s="11"/>
      <c r="DS9" s="11"/>
      <c r="DT9" s="11" t="e">
        <f aca="false">DS62*DT7</f>
        <v>#VALUE!</v>
      </c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59" t="s">
        <v>48</v>
      </c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60" t="s">
        <v>49</v>
      </c>
      <c r="FA9" s="60" t="s">
        <v>50</v>
      </c>
      <c r="FB9" s="60"/>
      <c r="FC9" s="60"/>
      <c r="FD9" s="60"/>
      <c r="FE9" s="60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</row>
    <row r="10" customFormat="false" ht="18.75" hidden="false" customHeight="true" outlineLevel="0" collapsed="false">
      <c r="A10" s="6"/>
      <c r="B10" s="61" t="s">
        <v>51</v>
      </c>
      <c r="C10" s="61"/>
      <c r="D10" s="61"/>
      <c r="E10" s="61"/>
      <c r="F10" s="61"/>
      <c r="G10" s="61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3"/>
      <c r="AE10" s="64" t="s">
        <v>52</v>
      </c>
      <c r="AF10" s="64"/>
      <c r="AG10" s="64"/>
      <c r="AH10" s="64"/>
      <c r="AI10" s="65"/>
      <c r="AJ10" s="65"/>
      <c r="AK10" s="65"/>
      <c r="AL10" s="65"/>
      <c r="AM10" s="27"/>
      <c r="AN10" s="66" t="n">
        <f aca="false">+ROUND(AI10,1)</f>
        <v>0</v>
      </c>
      <c r="AO10" s="6"/>
      <c r="AP10" s="6"/>
      <c r="AQ10" s="6"/>
      <c r="AR10" s="34"/>
      <c r="AS10" s="28"/>
      <c r="AT10" s="28"/>
      <c r="AU10" s="56"/>
      <c r="AV10" s="56"/>
      <c r="AW10" s="8"/>
      <c r="AX10" s="57" t="s">
        <v>53</v>
      </c>
      <c r="AY10" s="58" t="s">
        <v>54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6"/>
      <c r="BO10" s="10"/>
      <c r="BP10" s="6"/>
      <c r="BQ10" s="6"/>
      <c r="BR10" s="6"/>
      <c r="BS10" s="59" t="s">
        <v>55</v>
      </c>
      <c r="BT10" s="59"/>
      <c r="BU10" s="59"/>
      <c r="BV10" s="59"/>
      <c r="BW10" s="59"/>
      <c r="BX10" s="59"/>
      <c r="BY10" s="6"/>
      <c r="BZ10" s="6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 t="s">
        <v>56</v>
      </c>
      <c r="DM10" s="11"/>
      <c r="DN10" s="43" t="n">
        <v>0.4</v>
      </c>
      <c r="DO10" s="11" t="s">
        <v>57</v>
      </c>
      <c r="DP10" s="11"/>
      <c r="DQ10" s="23" t="n">
        <f aca="false">+DQ9+(0.5-0.2)/10</f>
        <v>0.41</v>
      </c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6"/>
      <c r="EE10" s="11"/>
      <c r="EF10" s="11"/>
      <c r="EG10" s="11"/>
      <c r="EH10" s="11"/>
      <c r="EI10" s="11"/>
      <c r="EJ10" s="11"/>
      <c r="EK10" s="38" t="s">
        <v>33</v>
      </c>
      <c r="EL10" s="11"/>
      <c r="EM10" s="11"/>
      <c r="EN10" s="59" t="s">
        <v>58</v>
      </c>
      <c r="EO10" s="60" t="s">
        <v>59</v>
      </c>
      <c r="EP10" s="60" t="s">
        <v>60</v>
      </c>
      <c r="EQ10" s="60" t="s">
        <v>61</v>
      </c>
      <c r="ER10" s="60" t="s">
        <v>62</v>
      </c>
      <c r="ES10" s="60" t="s">
        <v>63</v>
      </c>
      <c r="ET10" s="60" t="s">
        <v>64</v>
      </c>
      <c r="EU10" s="60" t="s">
        <v>65</v>
      </c>
      <c r="EV10" s="60" t="s">
        <v>66</v>
      </c>
      <c r="EW10" s="67" t="s">
        <v>67</v>
      </c>
      <c r="EX10" s="60" t="s">
        <v>68</v>
      </c>
      <c r="EY10" s="60" t="s">
        <v>69</v>
      </c>
      <c r="EZ10" s="60"/>
      <c r="FA10" s="60" t="s">
        <v>70</v>
      </c>
      <c r="FB10" s="60" t="s">
        <v>71</v>
      </c>
      <c r="FC10" s="60" t="s">
        <v>72</v>
      </c>
      <c r="FD10" s="60" t="s">
        <v>73</v>
      </c>
      <c r="FE10" s="60" t="s">
        <v>74</v>
      </c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</row>
    <row r="11" customFormat="false" ht="6.75" hidden="false" customHeight="true" outlineLevel="0" collapsed="false">
      <c r="A11" s="6"/>
      <c r="B11" s="68"/>
      <c r="C11" s="69"/>
      <c r="D11" s="69"/>
      <c r="E11" s="69"/>
      <c r="F11" s="69"/>
      <c r="G11" s="69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1"/>
      <c r="AM11" s="27"/>
      <c r="AN11" s="72"/>
      <c r="AO11" s="6"/>
      <c r="AP11" s="6"/>
      <c r="AQ11" s="6"/>
      <c r="AR11" s="34"/>
      <c r="AS11" s="28"/>
      <c r="AT11" s="28"/>
      <c r="AU11" s="56"/>
      <c r="AV11" s="56"/>
      <c r="AW11" s="8"/>
      <c r="AX11" s="9"/>
      <c r="AY11" s="58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6"/>
      <c r="BO11" s="10"/>
      <c r="BP11" s="6"/>
      <c r="BQ11" s="31"/>
      <c r="BR11" s="31"/>
      <c r="BS11" s="59"/>
      <c r="BT11" s="59"/>
      <c r="BU11" s="59"/>
      <c r="BV11" s="59"/>
      <c r="BW11" s="59"/>
      <c r="BX11" s="59"/>
      <c r="BY11" s="31"/>
      <c r="BZ11" s="38" t="s">
        <v>33</v>
      </c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6"/>
      <c r="DM11" s="11"/>
      <c r="DN11" s="43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6"/>
      <c r="EE11" s="11"/>
      <c r="EF11" s="11"/>
      <c r="EG11" s="11"/>
      <c r="EH11" s="11"/>
      <c r="EI11" s="11"/>
      <c r="EJ11" s="11"/>
      <c r="EK11" s="11"/>
      <c r="EL11" s="11"/>
      <c r="EM11" s="11"/>
      <c r="EN11" s="59"/>
      <c r="EO11" s="60"/>
      <c r="EP11" s="60"/>
      <c r="EQ11" s="60"/>
      <c r="ER11" s="60"/>
      <c r="ES11" s="60"/>
      <c r="ET11" s="60"/>
      <c r="EU11" s="60"/>
      <c r="EV11" s="60"/>
      <c r="EW11" s="73"/>
      <c r="EX11" s="60"/>
      <c r="EY11" s="60"/>
      <c r="EZ11" s="60"/>
      <c r="FA11" s="60"/>
      <c r="FB11" s="60"/>
      <c r="FC11" s="60"/>
      <c r="FD11" s="60"/>
      <c r="FE11" s="60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</row>
    <row r="12" s="91" customFormat="true" ht="21.75" hidden="false" customHeight="true" outlineLevel="0" collapsed="false">
      <c r="A12" s="74"/>
      <c r="B12" s="75" t="s">
        <v>75</v>
      </c>
      <c r="C12" s="75"/>
      <c r="D12" s="75"/>
      <c r="E12" s="75"/>
      <c r="F12" s="75"/>
      <c r="G12" s="75"/>
      <c r="H12" s="75"/>
      <c r="I12" s="76"/>
      <c r="J12" s="76"/>
      <c r="K12" s="76"/>
      <c r="L12" s="76"/>
      <c r="M12" s="77"/>
      <c r="N12" s="77"/>
      <c r="O12" s="78" t="s">
        <v>76</v>
      </c>
      <c r="P12" s="78"/>
      <c r="Q12" s="78"/>
      <c r="R12" s="79"/>
      <c r="S12" s="80" t="s">
        <v>53</v>
      </c>
      <c r="T12" s="76" t="s">
        <v>77</v>
      </c>
      <c r="U12" s="76"/>
      <c r="V12" s="76"/>
      <c r="W12" s="76"/>
      <c r="X12" s="81"/>
      <c r="Y12" s="81"/>
      <c r="Z12" s="76" t="s">
        <v>78</v>
      </c>
      <c r="AA12" s="76"/>
      <c r="AB12" s="76"/>
      <c r="AC12" s="76"/>
      <c r="AD12" s="82"/>
      <c r="AE12" s="83" t="s">
        <v>79</v>
      </c>
      <c r="AF12" s="83"/>
      <c r="AG12" s="83"/>
      <c r="AH12" s="83"/>
      <c r="AI12" s="84"/>
      <c r="AJ12" s="84"/>
      <c r="AK12" s="84"/>
      <c r="AL12" s="84"/>
      <c r="AM12" s="27"/>
      <c r="AN12" s="66" t="n">
        <f aca="false">+ROUND(AD12,1)</f>
        <v>0</v>
      </c>
      <c r="AO12" s="6"/>
      <c r="AP12" s="6"/>
      <c r="AQ12" s="6"/>
      <c r="AR12" s="34"/>
      <c r="AS12" s="28"/>
      <c r="AT12" s="28"/>
      <c r="AU12" s="56"/>
      <c r="AV12" s="56"/>
      <c r="AW12" s="85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74"/>
      <c r="BO12" s="10"/>
      <c r="BP12" s="74"/>
      <c r="BQ12" s="86"/>
      <c r="BR12" s="86"/>
      <c r="BS12" s="87" t="s">
        <v>80</v>
      </c>
      <c r="BT12" s="87"/>
      <c r="BU12" s="88" t="s">
        <v>81</v>
      </c>
      <c r="BV12" s="88"/>
      <c r="BW12" s="88"/>
      <c r="BX12" s="88"/>
      <c r="BY12" s="86"/>
      <c r="BZ12" s="89" t="s">
        <v>33</v>
      </c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11" t="s">
        <v>82</v>
      </c>
      <c r="DM12" s="43"/>
      <c r="DN12" s="43" t="n">
        <v>0.45</v>
      </c>
      <c r="DO12" s="43" t="s">
        <v>83</v>
      </c>
      <c r="DP12" s="43"/>
      <c r="DQ12" s="23" t="n">
        <f aca="false">+DQ10+(0.5-0.2)/10</f>
        <v>0.44</v>
      </c>
      <c r="DR12" s="43"/>
      <c r="DS12" s="43"/>
      <c r="DT12" s="43"/>
      <c r="DU12" s="43"/>
      <c r="DV12" s="43"/>
      <c r="DW12" s="43"/>
      <c r="DX12" s="59" t="s">
        <v>84</v>
      </c>
      <c r="DY12" s="59"/>
      <c r="DZ12" s="59"/>
      <c r="EA12" s="59"/>
      <c r="EB12" s="59"/>
      <c r="EC12" s="59"/>
      <c r="ED12" s="59"/>
      <c r="EE12" s="59"/>
      <c r="EF12" s="59"/>
      <c r="EG12" s="59" t="s">
        <v>85</v>
      </c>
      <c r="EH12" s="59"/>
      <c r="EI12" s="59"/>
      <c r="EJ12" s="59"/>
      <c r="EK12" s="59"/>
      <c r="EL12" s="59"/>
      <c r="EM12" s="59"/>
      <c r="EN12" s="59"/>
      <c r="EO12" s="60"/>
      <c r="EP12" s="60"/>
      <c r="EQ12" s="60"/>
      <c r="ER12" s="60"/>
      <c r="ES12" s="60"/>
      <c r="ET12" s="60"/>
      <c r="EU12" s="60"/>
      <c r="EV12" s="60"/>
      <c r="EW12" s="73" t="s">
        <v>86</v>
      </c>
      <c r="EX12" s="60"/>
      <c r="EY12" s="60"/>
      <c r="EZ12" s="60"/>
      <c r="FA12" s="60"/>
      <c r="FB12" s="60"/>
      <c r="FC12" s="60"/>
      <c r="FD12" s="60"/>
      <c r="FE12" s="60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90"/>
      <c r="HA12" s="90"/>
      <c r="HB12" s="90"/>
      <c r="HC12" s="90"/>
      <c r="HD12" s="90"/>
      <c r="HE12" s="90"/>
      <c r="HF12" s="90"/>
      <c r="HG12" s="90"/>
      <c r="HH12" s="90"/>
      <c r="HI12" s="90"/>
      <c r="HJ12" s="90"/>
      <c r="HK12" s="90"/>
      <c r="HL12" s="90"/>
      <c r="HM12" s="90"/>
      <c r="HN12" s="90"/>
      <c r="HO12" s="90"/>
      <c r="HP12" s="90"/>
      <c r="HQ12" s="90"/>
      <c r="HR12" s="90"/>
      <c r="HS12" s="90"/>
    </row>
    <row r="13" customFormat="false" ht="6.75" hidden="false" customHeight="true" outlineLevel="0" collapsed="false">
      <c r="A13" s="6"/>
      <c r="B13" s="92"/>
      <c r="C13" s="93"/>
      <c r="D13" s="93"/>
      <c r="E13" s="94"/>
      <c r="F13" s="94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6"/>
      <c r="AE13" s="70"/>
      <c r="AF13" s="70"/>
      <c r="AG13" s="70"/>
      <c r="AH13" s="70"/>
      <c r="AI13" s="70"/>
      <c r="AJ13" s="70"/>
      <c r="AK13" s="70"/>
      <c r="AL13" s="71"/>
      <c r="AM13" s="27"/>
      <c r="AN13" s="6"/>
      <c r="AO13" s="95"/>
      <c r="AP13" s="95"/>
      <c r="AQ13" s="95"/>
      <c r="AR13" s="96"/>
      <c r="AS13" s="97" t="s">
        <v>87</v>
      </c>
      <c r="AT13" s="98"/>
      <c r="AU13" s="30" t="s">
        <v>88</v>
      </c>
      <c r="AV13" s="30" t="s">
        <v>89</v>
      </c>
      <c r="AW13" s="99" t="s">
        <v>90</v>
      </c>
      <c r="AX13" s="30" t="s">
        <v>91</v>
      </c>
      <c r="AY13" s="30"/>
      <c r="AZ13" s="30" t="s">
        <v>92</v>
      </c>
      <c r="BA13" s="30" t="s">
        <v>93</v>
      </c>
      <c r="BB13" s="100" t="s">
        <v>94</v>
      </c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6"/>
      <c r="BO13" s="10"/>
      <c r="BP13" s="6"/>
      <c r="BQ13" s="31"/>
      <c r="BR13" s="31"/>
      <c r="BS13" s="87"/>
      <c r="BT13" s="87"/>
      <c r="BU13" s="88" t="s">
        <v>54</v>
      </c>
      <c r="BV13" s="88"/>
      <c r="BW13" s="88" t="s">
        <v>45</v>
      </c>
      <c r="BX13" s="88"/>
      <c r="BY13" s="3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60"/>
      <c r="EP13" s="60"/>
      <c r="EQ13" s="60"/>
      <c r="ER13" s="60"/>
      <c r="ES13" s="60"/>
      <c r="ET13" s="60"/>
      <c r="EU13" s="60"/>
      <c r="EV13" s="60"/>
      <c r="EW13" s="102"/>
      <c r="EX13" s="60"/>
      <c r="EY13" s="60"/>
      <c r="EZ13" s="60"/>
      <c r="FA13" s="60"/>
      <c r="FB13" s="60"/>
      <c r="FC13" s="60"/>
      <c r="FD13" s="60"/>
      <c r="FE13" s="60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</row>
    <row r="14" s="91" customFormat="true" ht="16.5" hidden="false" customHeight="true" outlineLevel="0" collapsed="false">
      <c r="A14" s="74"/>
      <c r="B14" s="103" t="s">
        <v>95</v>
      </c>
      <c r="C14" s="103"/>
      <c r="D14" s="103"/>
      <c r="E14" s="103"/>
      <c r="F14" s="103"/>
      <c r="G14" s="104" t="s">
        <v>96</v>
      </c>
      <c r="H14" s="105" t="s">
        <v>97</v>
      </c>
      <c r="I14" s="105"/>
      <c r="J14" s="106" t="s">
        <v>98</v>
      </c>
      <c r="K14" s="106"/>
      <c r="L14" s="106"/>
      <c r="M14" s="107" t="s">
        <v>99</v>
      </c>
      <c r="N14" s="108" t="s">
        <v>100</v>
      </c>
      <c r="O14" s="108"/>
      <c r="P14" s="108"/>
      <c r="Q14" s="109" t="s">
        <v>101</v>
      </c>
      <c r="R14" s="110" t="s">
        <v>102</v>
      </c>
      <c r="S14" s="110"/>
      <c r="T14" s="109" t="s">
        <v>103</v>
      </c>
      <c r="U14" s="109" t="s">
        <v>104</v>
      </c>
      <c r="V14" s="109" t="s">
        <v>105</v>
      </c>
      <c r="W14" s="109"/>
      <c r="X14" s="109"/>
      <c r="Y14" s="109"/>
      <c r="Z14" s="109"/>
      <c r="AA14" s="109"/>
      <c r="AB14" s="111" t="s">
        <v>106</v>
      </c>
      <c r="AC14" s="112" t="s">
        <v>107</v>
      </c>
      <c r="AD14" s="113" t="s">
        <v>108</v>
      </c>
      <c r="AE14" s="114" t="s">
        <v>109</v>
      </c>
      <c r="AF14" s="115" t="s">
        <v>110</v>
      </c>
      <c r="AG14" s="116" t="s">
        <v>111</v>
      </c>
      <c r="AH14" s="116"/>
      <c r="AI14" s="116"/>
      <c r="AJ14" s="116"/>
      <c r="AK14" s="116"/>
      <c r="AL14" s="116"/>
      <c r="AM14" s="117"/>
      <c r="AN14" s="118" t="s">
        <v>95</v>
      </c>
      <c r="AO14" s="118"/>
      <c r="AP14" s="118"/>
      <c r="AQ14" s="118"/>
      <c r="AR14" s="118"/>
      <c r="AS14" s="97"/>
      <c r="AT14" s="119"/>
      <c r="AU14" s="30"/>
      <c r="AV14" s="30"/>
      <c r="AW14" s="99"/>
      <c r="AX14" s="30"/>
      <c r="AY14" s="30"/>
      <c r="AZ14" s="30"/>
      <c r="BA14" s="30"/>
      <c r="BB14" s="120" t="s">
        <v>112</v>
      </c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74"/>
      <c r="BO14" s="10"/>
      <c r="BP14" s="74"/>
      <c r="BQ14" s="86"/>
      <c r="BR14" s="86"/>
      <c r="BS14" s="87"/>
      <c r="BT14" s="87"/>
      <c r="BU14" s="88"/>
      <c r="BV14" s="88"/>
      <c r="BW14" s="88"/>
      <c r="BX14" s="88"/>
      <c r="BY14" s="86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121" t="s">
        <v>113</v>
      </c>
      <c r="CT14" s="121"/>
      <c r="CU14" s="121"/>
      <c r="CV14" s="121"/>
      <c r="CW14" s="121"/>
      <c r="CX14" s="121"/>
      <c r="CY14" s="121"/>
      <c r="CZ14" s="121"/>
      <c r="DA14" s="121"/>
      <c r="DB14" s="121"/>
      <c r="DC14" s="43"/>
      <c r="DD14" s="43"/>
      <c r="DE14" s="43"/>
      <c r="DF14" s="43"/>
      <c r="DG14" s="43"/>
      <c r="DH14" s="122" t="s">
        <v>114</v>
      </c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3"/>
      <c r="DU14" s="123"/>
      <c r="DV14" s="123"/>
      <c r="DW14" s="43"/>
      <c r="DX14" s="124"/>
      <c r="DY14" s="86"/>
      <c r="DZ14" s="86"/>
      <c r="EA14" s="86"/>
      <c r="EB14" s="86"/>
      <c r="EC14" s="86"/>
      <c r="ED14" s="125" t="s">
        <v>115</v>
      </c>
      <c r="EE14" s="125"/>
      <c r="EF14" s="125"/>
      <c r="EG14" s="126" t="s">
        <v>116</v>
      </c>
      <c r="EH14" s="59" t="s">
        <v>117</v>
      </c>
      <c r="EI14" s="59"/>
      <c r="EJ14" s="59"/>
      <c r="EK14" s="59" t="s">
        <v>118</v>
      </c>
      <c r="EL14" s="59"/>
      <c r="EM14" s="59"/>
      <c r="EN14" s="127" t="n">
        <v>1</v>
      </c>
      <c r="EO14" s="127" t="n">
        <v>2</v>
      </c>
      <c r="EP14" s="127" t="n">
        <v>3</v>
      </c>
      <c r="EQ14" s="127" t="n">
        <v>4</v>
      </c>
      <c r="ER14" s="127" t="n">
        <v>5</v>
      </c>
      <c r="ES14" s="127" t="n">
        <v>6</v>
      </c>
      <c r="ET14" s="127" t="n">
        <v>7</v>
      </c>
      <c r="EU14" s="127" t="n">
        <v>8</v>
      </c>
      <c r="EV14" s="127" t="n">
        <v>9</v>
      </c>
      <c r="EW14" s="127" t="n">
        <v>10</v>
      </c>
      <c r="EX14" s="127" t="n">
        <v>11</v>
      </c>
      <c r="EY14" s="128" t="s">
        <v>69</v>
      </c>
      <c r="EZ14" s="129"/>
      <c r="FA14" s="127" t="n">
        <v>1</v>
      </c>
      <c r="FB14" s="127" t="n">
        <v>2</v>
      </c>
      <c r="FC14" s="127" t="n">
        <v>3</v>
      </c>
      <c r="FD14" s="127" t="n">
        <v>4</v>
      </c>
      <c r="FE14" s="128" t="s">
        <v>69</v>
      </c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  <c r="FU14" s="74"/>
      <c r="FV14" s="74"/>
      <c r="FW14" s="74"/>
      <c r="GZ14" s="90"/>
      <c r="HA14" s="90"/>
      <c r="HB14" s="90"/>
      <c r="HC14" s="90"/>
      <c r="HD14" s="90"/>
      <c r="HE14" s="90"/>
      <c r="HF14" s="90"/>
      <c r="HG14" s="90"/>
      <c r="HH14" s="90"/>
      <c r="HI14" s="90"/>
      <c r="HJ14" s="90"/>
      <c r="HK14" s="90"/>
      <c r="HL14" s="90"/>
      <c r="HM14" s="90"/>
      <c r="HN14" s="90"/>
      <c r="HO14" s="90"/>
      <c r="HP14" s="90"/>
      <c r="HQ14" s="90"/>
      <c r="HR14" s="90"/>
      <c r="HS14" s="90"/>
    </row>
    <row r="15" customFormat="false" ht="21" hidden="false" customHeight="true" outlineLevel="0" collapsed="false">
      <c r="A15" s="130"/>
      <c r="B15" s="103"/>
      <c r="C15" s="103"/>
      <c r="D15" s="103"/>
      <c r="E15" s="103"/>
      <c r="F15" s="103"/>
      <c r="G15" s="104"/>
      <c r="H15" s="105"/>
      <c r="I15" s="105"/>
      <c r="J15" s="131" t="s">
        <v>119</v>
      </c>
      <c r="K15" s="132" t="s">
        <v>119</v>
      </c>
      <c r="L15" s="133" t="s">
        <v>119</v>
      </c>
      <c r="M15" s="107"/>
      <c r="N15" s="108"/>
      <c r="O15" s="108"/>
      <c r="P15" s="108"/>
      <c r="Q15" s="109"/>
      <c r="R15" s="110"/>
      <c r="S15" s="110"/>
      <c r="T15" s="109"/>
      <c r="U15" s="109"/>
      <c r="V15" s="109"/>
      <c r="W15" s="109"/>
      <c r="X15" s="109"/>
      <c r="Y15" s="109"/>
      <c r="Z15" s="109"/>
      <c r="AA15" s="109"/>
      <c r="AB15" s="111"/>
      <c r="AC15" s="112"/>
      <c r="AD15" s="113"/>
      <c r="AE15" s="114"/>
      <c r="AF15" s="115"/>
      <c r="AG15" s="116"/>
      <c r="AH15" s="116"/>
      <c r="AI15" s="116"/>
      <c r="AJ15" s="116"/>
      <c r="AK15" s="116"/>
      <c r="AL15" s="116"/>
      <c r="AM15" s="27"/>
      <c r="AN15" s="118"/>
      <c r="AO15" s="118"/>
      <c r="AP15" s="118"/>
      <c r="AQ15" s="118"/>
      <c r="AR15" s="118"/>
      <c r="AS15" s="97"/>
      <c r="AT15" s="134"/>
      <c r="AU15" s="30"/>
      <c r="AV15" s="135" t="s">
        <v>120</v>
      </c>
      <c r="AW15" s="99"/>
      <c r="AX15" s="30"/>
      <c r="AY15" s="30"/>
      <c r="AZ15" s="30"/>
      <c r="BA15" s="30"/>
      <c r="BB15" s="136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6"/>
      <c r="BO15" s="10" t="s">
        <v>121</v>
      </c>
      <c r="BP15" s="137" t="str">
        <f aca="false">+DC15</f>
        <v>(N1)60</v>
      </c>
      <c r="BQ15" s="138" t="str">
        <f aca="false">+CC15</f>
        <v>N60</v>
      </c>
      <c r="BR15" s="6"/>
      <c r="BS15" s="87" t="s">
        <v>122</v>
      </c>
      <c r="BT15" s="87" t="s">
        <v>123</v>
      </c>
      <c r="BU15" s="87" t="s">
        <v>122</v>
      </c>
      <c r="BV15" s="87" t="s">
        <v>123</v>
      </c>
      <c r="BW15" s="87" t="s">
        <v>122</v>
      </c>
      <c r="BX15" s="87" t="s">
        <v>123</v>
      </c>
      <c r="BY15" s="139" t="s">
        <v>124</v>
      </c>
      <c r="BZ15" s="139" t="s">
        <v>125</v>
      </c>
      <c r="CA15" s="139" t="s">
        <v>126</v>
      </c>
      <c r="CB15" s="139" t="s">
        <v>127</v>
      </c>
      <c r="CC15" s="140" t="s">
        <v>128</v>
      </c>
      <c r="CD15" s="140" t="s">
        <v>129</v>
      </c>
      <c r="CE15" s="141" t="s">
        <v>130</v>
      </c>
      <c r="CF15" s="6"/>
      <c r="CG15" s="6"/>
      <c r="CH15" s="6"/>
      <c r="CI15" s="6"/>
      <c r="CJ15" s="6"/>
      <c r="CK15" s="6"/>
      <c r="CL15" s="142" t="s">
        <v>131</v>
      </c>
      <c r="CM15" s="6"/>
      <c r="CN15" s="6"/>
      <c r="CO15" s="11"/>
      <c r="CP15" s="122" t="s">
        <v>132</v>
      </c>
      <c r="CQ15" s="143" t="s">
        <v>133</v>
      </c>
      <c r="CR15" s="143" t="s">
        <v>134</v>
      </c>
      <c r="CS15" s="144" t="s">
        <v>135</v>
      </c>
      <c r="CT15" s="145" t="s">
        <v>136</v>
      </c>
      <c r="CU15" s="146" t="s">
        <v>137</v>
      </c>
      <c r="CV15" s="146" t="s">
        <v>138</v>
      </c>
      <c r="CW15" s="146" t="s">
        <v>139</v>
      </c>
      <c r="CX15" s="146" t="s">
        <v>140</v>
      </c>
      <c r="CY15" s="146" t="s">
        <v>141</v>
      </c>
      <c r="CZ15" s="146" t="s">
        <v>142</v>
      </c>
      <c r="DA15" s="146" t="s">
        <v>143</v>
      </c>
      <c r="DB15" s="146" t="s">
        <v>144</v>
      </c>
      <c r="DC15" s="122" t="s">
        <v>145</v>
      </c>
      <c r="DD15" s="147"/>
      <c r="DE15" s="147" t="s">
        <v>146</v>
      </c>
      <c r="DF15" s="147" t="s">
        <v>147</v>
      </c>
      <c r="DG15" s="147" t="s">
        <v>148</v>
      </c>
      <c r="DH15" s="147" t="s">
        <v>149</v>
      </c>
      <c r="DI15" s="147" t="s">
        <v>150</v>
      </c>
      <c r="DJ15" s="147" t="s">
        <v>151</v>
      </c>
      <c r="DK15" s="122" t="s">
        <v>152</v>
      </c>
      <c r="DL15" s="122" t="s">
        <v>153</v>
      </c>
      <c r="DM15" s="147" t="s">
        <v>154</v>
      </c>
      <c r="DN15" s="147" t="s">
        <v>155</v>
      </c>
      <c r="DO15" s="122" t="s">
        <v>156</v>
      </c>
      <c r="DP15" s="147" t="s">
        <v>157</v>
      </c>
      <c r="DQ15" s="147" t="s">
        <v>158</v>
      </c>
      <c r="DR15" s="147" t="s">
        <v>159</v>
      </c>
      <c r="DS15" s="122" t="s">
        <v>69</v>
      </c>
      <c r="DT15" s="148" t="s">
        <v>160</v>
      </c>
      <c r="DU15" s="148" t="s">
        <v>161</v>
      </c>
      <c r="DV15" s="149" t="s">
        <v>162</v>
      </c>
      <c r="DW15" s="150" t="s">
        <v>163</v>
      </c>
      <c r="DX15" s="147" t="s">
        <v>164</v>
      </c>
      <c r="DY15" s="147" t="s">
        <v>165</v>
      </c>
      <c r="DZ15" s="147" t="s">
        <v>166</v>
      </c>
      <c r="EA15" s="147" t="s">
        <v>167</v>
      </c>
      <c r="EB15" s="147" t="s">
        <v>168</v>
      </c>
      <c r="EC15" s="147" t="s">
        <v>169</v>
      </c>
      <c r="ED15" s="151" t="n">
        <f aca="false">+AH16</f>
        <v>1.5</v>
      </c>
      <c r="EE15" s="151" t="n">
        <f aca="false">+AJ16</f>
        <v>2.5</v>
      </c>
      <c r="EF15" s="151" t="n">
        <f aca="false">+AL16</f>
        <v>3.2</v>
      </c>
      <c r="EG15" s="126"/>
      <c r="EH15" s="152" t="s">
        <v>170</v>
      </c>
      <c r="EI15" s="152" t="s">
        <v>171</v>
      </c>
      <c r="EJ15" s="126" t="s">
        <v>172</v>
      </c>
      <c r="EK15" s="59" t="s">
        <v>173</v>
      </c>
      <c r="EL15" s="59"/>
      <c r="EM15" s="59"/>
      <c r="EN15" s="127"/>
      <c r="EO15" s="127"/>
      <c r="EP15" s="127"/>
      <c r="EQ15" s="127"/>
      <c r="ER15" s="127"/>
      <c r="ES15" s="127"/>
      <c r="ET15" s="127"/>
      <c r="EU15" s="127"/>
      <c r="EV15" s="127"/>
      <c r="EW15" s="127"/>
      <c r="EX15" s="127"/>
      <c r="EY15" s="128"/>
      <c r="EZ15" s="129"/>
      <c r="FA15" s="127"/>
      <c r="FB15" s="127"/>
      <c r="FC15" s="127"/>
      <c r="FD15" s="127"/>
      <c r="FE15" s="128"/>
      <c r="FF15" s="6"/>
      <c r="FG15" s="6"/>
      <c r="FH15" s="6"/>
      <c r="FI15" s="6"/>
      <c r="FJ15" s="6"/>
      <c r="FK15" s="6"/>
      <c r="FL15" s="6"/>
      <c r="FM15" s="11"/>
      <c r="FN15" s="6"/>
      <c r="FO15" s="6"/>
      <c r="FP15" s="6"/>
      <c r="FQ15" s="6"/>
      <c r="FR15" s="6"/>
      <c r="FS15" s="11"/>
      <c r="FT15" s="11"/>
      <c r="FU15" s="11"/>
      <c r="FV15" s="11"/>
      <c r="FW15" s="11"/>
      <c r="FX15" s="153"/>
    </row>
    <row r="16" customFormat="false" ht="15.75" hidden="false" customHeight="true" outlineLevel="0" collapsed="false">
      <c r="A16" s="130"/>
      <c r="B16" s="103"/>
      <c r="C16" s="103"/>
      <c r="D16" s="103"/>
      <c r="E16" s="103"/>
      <c r="F16" s="103"/>
      <c r="G16" s="104"/>
      <c r="H16" s="105"/>
      <c r="I16" s="105"/>
      <c r="J16" s="131"/>
      <c r="K16" s="132"/>
      <c r="L16" s="133"/>
      <c r="M16" s="107"/>
      <c r="N16" s="108"/>
      <c r="O16" s="108"/>
      <c r="P16" s="108"/>
      <c r="Q16" s="109"/>
      <c r="R16" s="110"/>
      <c r="S16" s="110"/>
      <c r="T16" s="109"/>
      <c r="U16" s="109"/>
      <c r="V16" s="154"/>
      <c r="W16" s="155"/>
      <c r="X16" s="155"/>
      <c r="Y16" s="155"/>
      <c r="Z16" s="155"/>
      <c r="AA16" s="156"/>
      <c r="AB16" s="111"/>
      <c r="AC16" s="112"/>
      <c r="AD16" s="113"/>
      <c r="AE16" s="114"/>
      <c r="AF16" s="115"/>
      <c r="AG16" s="157" t="s">
        <v>174</v>
      </c>
      <c r="AH16" s="158" t="n">
        <v>1.5</v>
      </c>
      <c r="AI16" s="159" t="s">
        <v>174</v>
      </c>
      <c r="AJ16" s="160" t="n">
        <v>2.5</v>
      </c>
      <c r="AK16" s="161" t="s">
        <v>174</v>
      </c>
      <c r="AL16" s="162" t="n">
        <v>3.2</v>
      </c>
      <c r="AM16" s="27"/>
      <c r="AN16" s="163"/>
      <c r="AO16" s="164"/>
      <c r="AP16" s="164"/>
      <c r="AQ16" s="164"/>
      <c r="AR16" s="164"/>
      <c r="AS16" s="97"/>
      <c r="AT16" s="134"/>
      <c r="AU16" s="165"/>
      <c r="AV16" s="101"/>
      <c r="AW16" s="166"/>
      <c r="AX16" s="101"/>
      <c r="AY16" s="101"/>
      <c r="AZ16" s="101"/>
      <c r="BA16" s="101"/>
      <c r="BB16" s="136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6"/>
      <c r="BO16" s="10"/>
      <c r="BP16" s="137"/>
      <c r="BQ16" s="138"/>
      <c r="BR16" s="6"/>
      <c r="BS16" s="87"/>
      <c r="BT16" s="87"/>
      <c r="BU16" s="87"/>
      <c r="BV16" s="87"/>
      <c r="BW16" s="87"/>
      <c r="BX16" s="87"/>
      <c r="BY16" s="139"/>
      <c r="BZ16" s="139"/>
      <c r="CA16" s="139"/>
      <c r="CB16" s="139"/>
      <c r="CC16" s="140"/>
      <c r="CD16" s="140"/>
      <c r="CE16" s="141"/>
      <c r="CF16" s="6"/>
      <c r="CG16" s="6"/>
      <c r="CH16" s="6"/>
      <c r="CI16" s="6"/>
      <c r="CJ16" s="6"/>
      <c r="CK16" s="6"/>
      <c r="CL16" s="142"/>
      <c r="CM16" s="6"/>
      <c r="CN16" s="6"/>
      <c r="CO16" s="11"/>
      <c r="CP16" s="122"/>
      <c r="CQ16" s="122"/>
      <c r="CR16" s="122"/>
      <c r="CS16" s="144"/>
      <c r="CT16" s="145"/>
      <c r="CU16" s="146"/>
      <c r="CV16" s="146"/>
      <c r="CW16" s="146"/>
      <c r="CX16" s="146"/>
      <c r="CY16" s="146"/>
      <c r="CZ16" s="146"/>
      <c r="DA16" s="146"/>
      <c r="DB16" s="146"/>
      <c r="DC16" s="122"/>
      <c r="DD16" s="167"/>
      <c r="DE16" s="167"/>
      <c r="DF16" s="167"/>
      <c r="DG16" s="167"/>
      <c r="DH16" s="167"/>
      <c r="DI16" s="167"/>
      <c r="DJ16" s="167"/>
      <c r="DK16" s="122"/>
      <c r="DL16" s="122"/>
      <c r="DM16" s="167"/>
      <c r="DN16" s="167"/>
      <c r="DO16" s="122"/>
      <c r="DP16" s="167"/>
      <c r="DQ16" s="167"/>
      <c r="DR16" s="167"/>
      <c r="DS16" s="122"/>
      <c r="DT16" s="148"/>
      <c r="DU16" s="148"/>
      <c r="DV16" s="149"/>
      <c r="DW16" s="168"/>
      <c r="DX16" s="167"/>
      <c r="DY16" s="167"/>
      <c r="DZ16" s="167"/>
      <c r="EA16" s="167"/>
      <c r="EB16" s="167"/>
      <c r="EC16" s="167"/>
      <c r="ED16" s="169"/>
      <c r="EE16" s="169"/>
      <c r="EF16" s="169"/>
      <c r="EG16" s="126"/>
      <c r="EH16" s="152"/>
      <c r="EI16" s="152"/>
      <c r="EJ16" s="126"/>
      <c r="EK16" s="170" t="n">
        <f aca="false">+ED15</f>
        <v>1.5</v>
      </c>
      <c r="EL16" s="170" t="n">
        <f aca="false">+EE15</f>
        <v>2.5</v>
      </c>
      <c r="EM16" s="170" t="n">
        <f aca="false">+EF15</f>
        <v>3.2</v>
      </c>
      <c r="EN16" s="127"/>
      <c r="EO16" s="127"/>
      <c r="EP16" s="127"/>
      <c r="EQ16" s="127"/>
      <c r="ER16" s="127"/>
      <c r="ES16" s="127"/>
      <c r="ET16" s="127"/>
      <c r="EU16" s="127"/>
      <c r="EV16" s="127"/>
      <c r="EW16" s="127"/>
      <c r="EX16" s="127"/>
      <c r="EY16" s="128"/>
      <c r="EZ16" s="129"/>
      <c r="FA16" s="127"/>
      <c r="FB16" s="127"/>
      <c r="FC16" s="127"/>
      <c r="FD16" s="127"/>
      <c r="FE16" s="128"/>
      <c r="FF16" s="6"/>
      <c r="FG16" s="6"/>
      <c r="FH16" s="6"/>
      <c r="FI16" s="6"/>
      <c r="FJ16" s="6"/>
      <c r="FK16" s="6"/>
      <c r="FL16" s="6"/>
      <c r="FM16" s="11"/>
      <c r="FN16" s="6"/>
      <c r="FO16" s="6"/>
      <c r="FP16" s="6"/>
      <c r="FQ16" s="6"/>
      <c r="FR16" s="6"/>
      <c r="FS16" s="11"/>
      <c r="FT16" s="11"/>
      <c r="FU16" s="11"/>
      <c r="FV16" s="11"/>
      <c r="FW16" s="11"/>
      <c r="FX16" s="153"/>
    </row>
    <row r="17" customFormat="false" ht="4.5" hidden="false" customHeight="true" outlineLevel="0" collapsed="false">
      <c r="A17" s="130"/>
      <c r="B17" s="171" t="n">
        <v>0</v>
      </c>
      <c r="C17" s="172"/>
      <c r="D17" s="172"/>
      <c r="E17" s="173"/>
      <c r="F17" s="173"/>
      <c r="G17" s="174"/>
      <c r="H17" s="175"/>
      <c r="I17" s="175"/>
      <c r="J17" s="176"/>
      <c r="K17" s="177"/>
      <c r="L17" s="178"/>
      <c r="M17" s="179"/>
      <c r="N17" s="177"/>
      <c r="O17" s="177"/>
      <c r="P17" s="177"/>
      <c r="Q17" s="180"/>
      <c r="R17" s="181"/>
      <c r="S17" s="181"/>
      <c r="T17" s="176"/>
      <c r="U17" s="180"/>
      <c r="V17" s="182"/>
      <c r="W17" s="183"/>
      <c r="X17" s="183"/>
      <c r="Y17" s="183"/>
      <c r="Z17" s="183"/>
      <c r="AA17" s="184"/>
      <c r="AB17" s="182"/>
      <c r="AC17" s="183"/>
      <c r="AD17" s="183"/>
      <c r="AE17" s="183"/>
      <c r="AF17" s="183"/>
      <c r="AG17" s="182"/>
      <c r="AH17" s="177"/>
      <c r="AI17" s="177"/>
      <c r="AJ17" s="177"/>
      <c r="AK17" s="177"/>
      <c r="AL17" s="178"/>
      <c r="AM17" s="27"/>
      <c r="AN17" s="185" t="n">
        <v>0</v>
      </c>
      <c r="AO17" s="186"/>
      <c r="AP17" s="186"/>
      <c r="AQ17" s="187"/>
      <c r="AR17" s="187"/>
      <c r="AS17" s="188"/>
      <c r="AT17" s="188"/>
      <c r="AU17" s="189"/>
      <c r="AV17" s="8"/>
      <c r="AW17" s="8"/>
      <c r="AX17" s="9"/>
      <c r="AY17" s="9"/>
      <c r="AZ17" s="9"/>
      <c r="BA17" s="9"/>
      <c r="BB17" s="190" t="str">
        <f aca="false">IF(BR18=0,"",CQ18*0.0101972)</f>
        <v/>
      </c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6"/>
      <c r="BO17" s="191" t="n">
        <f aca="false">+B17</f>
        <v>0</v>
      </c>
      <c r="BP17" s="6" t="n">
        <v>0</v>
      </c>
      <c r="BQ17" s="31"/>
      <c r="BR17" s="6"/>
      <c r="BS17" s="87"/>
      <c r="BT17" s="87"/>
      <c r="BU17" s="87"/>
      <c r="BV17" s="87"/>
      <c r="BW17" s="87"/>
      <c r="BX17" s="87"/>
      <c r="BY17" s="139"/>
      <c r="BZ17" s="139"/>
      <c r="CA17" s="139"/>
      <c r="CB17" s="139"/>
      <c r="CC17" s="140"/>
      <c r="CD17" s="140"/>
      <c r="CE17" s="140"/>
      <c r="CF17" s="6"/>
      <c r="CG17" s="6"/>
      <c r="CH17" s="6"/>
      <c r="CI17" s="6"/>
      <c r="CJ17" s="6"/>
      <c r="CK17" s="6"/>
      <c r="CL17" s="142"/>
      <c r="CM17" s="6"/>
      <c r="CN17" s="6"/>
      <c r="CO17" s="11"/>
      <c r="CP17" s="122"/>
      <c r="CQ17" s="122"/>
      <c r="CR17" s="122"/>
      <c r="CS17" s="144"/>
      <c r="CT17" s="145"/>
      <c r="CU17" s="146"/>
      <c r="CV17" s="146"/>
      <c r="CW17" s="146"/>
      <c r="CX17" s="146"/>
      <c r="CY17" s="146"/>
      <c r="CZ17" s="146"/>
      <c r="DA17" s="146"/>
      <c r="DB17" s="146"/>
      <c r="DC17" s="122"/>
      <c r="DD17" s="192"/>
      <c r="DE17" s="192"/>
      <c r="DF17" s="192"/>
      <c r="DG17" s="192"/>
      <c r="DH17" s="192"/>
      <c r="DI17" s="192"/>
      <c r="DJ17" s="192"/>
      <c r="DK17" s="122"/>
      <c r="DL17" s="122"/>
      <c r="DM17" s="192"/>
      <c r="DN17" s="192"/>
      <c r="DO17" s="122"/>
      <c r="DP17" s="192"/>
      <c r="DQ17" s="192"/>
      <c r="DR17" s="192"/>
      <c r="DS17" s="122"/>
      <c r="DT17" s="122"/>
      <c r="DU17" s="122"/>
      <c r="DV17" s="122"/>
      <c r="DW17" s="193"/>
      <c r="DX17" s="192"/>
      <c r="DY17" s="192"/>
      <c r="DZ17" s="192"/>
      <c r="EA17" s="194"/>
      <c r="EB17" s="192"/>
      <c r="EC17" s="192"/>
      <c r="ED17" s="192"/>
      <c r="EE17" s="192"/>
      <c r="EF17" s="192"/>
      <c r="EG17" s="195"/>
      <c r="EH17" s="196"/>
      <c r="EI17" s="192"/>
      <c r="EJ17" s="192"/>
      <c r="EK17" s="196"/>
      <c r="EL17" s="192"/>
      <c r="EM17" s="192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8"/>
      <c r="EZ17" s="129"/>
      <c r="FA17" s="127"/>
      <c r="FB17" s="127"/>
      <c r="FC17" s="127"/>
      <c r="FD17" s="127"/>
      <c r="FE17" s="128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</row>
    <row r="18" customFormat="false" ht="9.75" hidden="false" customHeight="true" outlineLevel="0" collapsed="false">
      <c r="A18" s="197" t="n">
        <f aca="false">ROUND(B17+0.1,1)</f>
        <v>0.1</v>
      </c>
      <c r="B18" s="171"/>
      <c r="C18" s="198"/>
      <c r="D18" s="198"/>
      <c r="E18" s="199"/>
      <c r="F18" s="200"/>
      <c r="G18" s="201"/>
      <c r="H18" s="202"/>
      <c r="I18" s="203"/>
      <c r="J18" s="204"/>
      <c r="K18" s="205"/>
      <c r="L18" s="206"/>
      <c r="M18" s="207"/>
      <c r="N18" s="208"/>
      <c r="O18" s="208"/>
      <c r="P18" s="208"/>
      <c r="Q18" s="209"/>
      <c r="R18" s="210"/>
      <c r="S18" s="210"/>
      <c r="T18" s="211"/>
      <c r="U18" s="211"/>
      <c r="V18" s="212"/>
      <c r="W18" s="212"/>
      <c r="X18" s="212"/>
      <c r="Y18" s="212"/>
      <c r="Z18" s="212"/>
      <c r="AA18" s="212"/>
      <c r="AB18" s="213"/>
      <c r="AC18" s="214"/>
      <c r="AD18" s="215"/>
      <c r="AE18" s="214"/>
      <c r="AF18" s="216"/>
      <c r="AG18" s="217"/>
      <c r="AH18" s="217"/>
      <c r="AI18" s="218"/>
      <c r="AJ18" s="218"/>
      <c r="AK18" s="216"/>
      <c r="AL18" s="216"/>
      <c r="AM18" s="219"/>
      <c r="AN18" s="185"/>
      <c r="AO18" s="198"/>
      <c r="AP18" s="198"/>
      <c r="AQ18" s="199"/>
      <c r="AR18" s="200"/>
      <c r="AS18" s="220" t="s">
        <v>13</v>
      </c>
      <c r="AT18" s="221"/>
      <c r="AU18" s="220"/>
      <c r="AV18" s="220"/>
      <c r="AW18" s="222" t="n">
        <f aca="false">+K18+L18</f>
        <v>0</v>
      </c>
      <c r="AX18" s="222" t="str">
        <f aca="false">IF(AS18="&gt;50","CONSISTENCIA",IF(AS18="&lt;50","COMPACIDAD"," "))</f>
        <v>COMPACIDAD</v>
      </c>
      <c r="AY18" s="223" t="str">
        <f aca="false">IF(AS18="&gt;50",AZ18,IF(AS18="&lt;50",BA18," "))</f>
        <v> </v>
      </c>
      <c r="AZ18" s="224" t="str">
        <f aca="false">IF(AW18=" "," ",IF(CC18=""," ",IF(CC18&lt;2,"MUY BLANDA",IF(CC18=2,"MUY BLANDA A BLANDA",IF(CC18&lt;4,"BLANDA",IF(CC18=4,"BLANDA A MEDIA",IF(CC18&lt;8,"MEDIA",IF(CC18=8,"MEDIA A FIRME",IF(CC18&lt;15,"FIRME",IF(CC18=15,"FIRME A MUY FIRME",IF(CC18&lt;30,"MUY FIRME",IF(CC18=30,"MUY FIRME A DURA","DURA"))))))))))))</f>
        <v> </v>
      </c>
      <c r="BA18" s="225" t="str">
        <f aca="false">IF(AW18=" "," ",IF(DC18=""," ",IF(DC18&lt;4,"MUY SUELTA",IF(DC18=4,"MUY SUELTA A SUELTA",IF(DC18&lt;10,"SUELTA",IF(DC18=10,"SUELTA A MEDIA",IF(DC18&lt;30,"MEDIA",IF(DC18=30,"MEDIA A DENSO",IF(DC18&lt;50,"DENSO",IF(DC18=50,"DENSO MUY DENSO","MUY DENSO"))))))))))</f>
        <v> </v>
      </c>
      <c r="BB18" s="226" t="str">
        <f aca="false">IF(BR19=0,"",CQ19*0.0101972)</f>
        <v/>
      </c>
      <c r="BC18" s="227" t="n">
        <v>0.1</v>
      </c>
      <c r="BD18" s="227" t="str">
        <f aca="false">IF(BC18&lt;=$AN$10,BC18,"")</f>
        <v/>
      </c>
      <c r="BE18" s="228" t="n">
        <f aca="false">ISNUMBER(BD18)</f>
        <v>0</v>
      </c>
      <c r="BF18" s="229" t="str">
        <f aca="false">MID(M18,1,1)</f>
        <v/>
      </c>
      <c r="BG18" s="230" t="str">
        <f aca="false">IF(BF18="S","",IF(BF18="G","",MID(M18,2,1)))</f>
        <v/>
      </c>
      <c r="BH18" s="231" t="str">
        <f aca="false">CONCATENATE(BF18,BG18)</f>
        <v/>
      </c>
      <c r="BI18" s="6" t="str">
        <f aca="false">BH18</f>
        <v/>
      </c>
      <c r="BJ18" s="74" t="str">
        <f aca="false">IF(OR(BI18="S",BI18="G"),BI18,"X")</f>
        <v>X</v>
      </c>
      <c r="BK18" s="74" t="s">
        <v>175</v>
      </c>
      <c r="BL18" s="232" t="s">
        <v>176</v>
      </c>
      <c r="BM18" s="232"/>
      <c r="BN18" s="6"/>
      <c r="BO18" s="191" t="n">
        <v>0.1</v>
      </c>
      <c r="BP18" s="233" t="e">
        <f aca="false">IF(AW18=0,NA(),IF(AS18=$AX$3,ROUND(DC18,0),NA()))</f>
        <v>#N/A</v>
      </c>
      <c r="BQ18" s="31" t="e">
        <f aca="false">IF(AW18=0,NA(),IF(AS18=$AX$4,ROUND(CC18,0),NA()))</f>
        <v>#N/A</v>
      </c>
      <c r="BR18" s="234" t="n">
        <f aca="false">+AW18</f>
        <v>0</v>
      </c>
      <c r="BS18" s="235" t="str">
        <f aca="false">IF(BR18=0,"", -0.00000000016128755327*CC18^6 + 0.00000006709386362421*CC18^5 - 0.0000106217678052217*CC18^4 + 0.00081068114193385*CC18^3 - 0.0314027378159951*CC18^2 + 0.649796593937842*CC18 + 13.7888866455022)</f>
        <v/>
      </c>
      <c r="BT18" s="235" t="str">
        <f aca="false">IF(BR18=0,"",-0.00000000014625939695*CC18^6 + 0.00000004971732060241*CC18^5 - 0.000006683744342031*CC18^4 + 0.0004563177378098*CC18^3 - 0.0171727530635803*CC18^2 + 0.444529932876435*CC18 + 15.6692518940565)</f>
        <v/>
      </c>
      <c r="BU18" s="236" t="str">
        <f aca="false">IF(BR18=0,"", -0.0000000008152265738*BR18^6 + 0.00000022764320256987*BR18^5 - 0.0000248205675927705*BR18^4 + 0.00133186623684865*BR18^3 - 0.0368442570441677*BR18^2 + 0.580111565569094*BR18 + 14.0417598296107)</f>
        <v/>
      </c>
      <c r="BV18" s="236" t="str">
        <f aca="false">IF(BR18=0,"", -0.00000000004321395721*BR18^6 + 0.00000002531844275498*BR18^5 - 0.00000369428022780862*BR18^4 + 0.00020283665900125*BR18^3 - 0.00462426256803268*BR18^2 + 0.139572935065453*BR18 + 15.4475338156923)</f>
        <v/>
      </c>
      <c r="BW18" s="236" t="str">
        <f aca="false">IF(BR18=0,"",-0.00000000033126390082*BR18^6 + 0.00000010463660614506*BR18^5 - 0.0000129629592998707*BR18^4 + 0.000803946335250767*BR18^3 - 0.0270257140395994*BR18^2 + 0.562590210721552*BR18+ 12.1254107606419)</f>
        <v/>
      </c>
      <c r="BX18" s="236" t="str">
        <f aca="false">IF(BR18=0,"",-0.00000000002593504955*BR18^6 + 0.00000002430495156704*BR18^5 - 0.00000386103271086364*BR18^4 + 0.000214416118986322*BR18^3 - 0.0047271462612021*BR18^2 + 0.156696175741135*BR18 + 15.4598891949502)</f>
        <v/>
      </c>
      <c r="BY18" s="237" t="str">
        <f aca="false">IF(BR18=0,"",$BS$2)</f>
        <v/>
      </c>
      <c r="BZ18" s="237" t="str">
        <f aca="false">IF(BR18=0,"",$BS$3)</f>
        <v/>
      </c>
      <c r="CA18" s="237" t="str">
        <f aca="false">IF(BR18=0,"",$BS$4)</f>
        <v/>
      </c>
      <c r="CB18" s="236" t="str">
        <f aca="false">IF(BR18=0,"",IF(AND(BO18&gt;=0,BO18&lt;4),0.75,IF(AND(BO18&gt;=4,BO18&lt;6),0.85,IF(AND(BO18&gt;=6,BO18&lt;=10),0.95,1))))</f>
        <v/>
      </c>
      <c r="CC18" s="237" t="str">
        <f aca="false">IF(BR18=0,"",BR18*BY18*BZ18*CA18*CB18/60)</f>
        <v/>
      </c>
      <c r="CD18" s="238" t="str">
        <f aca="false">IF(BR18=0,"",IF($S$12="NO","NO",IF($AD$12&lt;=BO18,"SI","NO")))</f>
        <v/>
      </c>
      <c r="CE18" s="235" t="n">
        <f aca="false">IF(BR18=0,0,AB18)</f>
        <v>0</v>
      </c>
      <c r="CF18" s="235" t="n">
        <f aca="false">IF(CE18&gt;0,BO18,0)</f>
        <v>0</v>
      </c>
      <c r="CG18" s="239" t="n">
        <f aca="false">IF(CF18=0,CF18+CG17,CF18)</f>
        <v>0</v>
      </c>
      <c r="CH18" s="240" t="n">
        <f aca="false">+CG18</f>
        <v>0</v>
      </c>
      <c r="CI18" s="239" t="n">
        <f aca="false">+CE18*CH18</f>
        <v>0</v>
      </c>
      <c r="CJ18" s="240" t="n">
        <f aca="false">+CI18</f>
        <v>0</v>
      </c>
      <c r="CK18" s="240" t="n">
        <f aca="false">+CJ18</f>
        <v>0</v>
      </c>
      <c r="CL18" s="241" t="n">
        <f aca="false">IF(CE18=0,0,CK18)</f>
        <v>0</v>
      </c>
      <c r="CM18" s="239" t="n">
        <f aca="false">IF(CE18=0,0,CH18*9.81)</f>
        <v>0</v>
      </c>
      <c r="CN18" s="240" t="n">
        <f aca="false">+CM18</f>
        <v>0</v>
      </c>
      <c r="CO18" s="240" t="n">
        <f aca="false">+CN18</f>
        <v>0</v>
      </c>
      <c r="CP18" s="241" t="n">
        <f aca="false">IF(CD18="NO",0,IF(CE18=0,0,CO18))</f>
        <v>0</v>
      </c>
      <c r="CQ18" s="242" t="str">
        <f aca="false">IF(BR18=0,"",CL18-CP18)</f>
        <v/>
      </c>
      <c r="CR18" s="242" t="str">
        <f aca="false">IF(BR18=0,"",CQ18/101.3)</f>
        <v/>
      </c>
      <c r="CS18" s="242" t="str">
        <f aca="false">IF(BR18=0,"",LOG(10/CR18))</f>
        <v/>
      </c>
      <c r="CT18" s="243" t="str">
        <f aca="false">IF(BR18=0,"",IF(SQRT(101.3/CQ18)&lt;=1.7,SQRT(101.3/CQ18),2.2/(1.2+(CQ18/101.3))))</f>
        <v/>
      </c>
      <c r="CU18" s="242" t="str">
        <f aca="false">IF(BR18=0,"",1.7/(0.7+CR18))</f>
        <v/>
      </c>
      <c r="CV18" s="244" t="str">
        <f aca="false">IF(BR18=0,"",IF(CR18&gt;=0.25,0.77*LOG(20/CR18),""))</f>
        <v/>
      </c>
      <c r="CW18" s="242" t="str">
        <f aca="false">IF(BR18=0,"",32.5/(10.2+20.3*CR18))</f>
        <v/>
      </c>
      <c r="CX18" s="244" t="str">
        <f aca="false">IF(BR18=0,"",1-1.25*LOG(CR18))</f>
        <v/>
      </c>
      <c r="CY18" s="244" t="str">
        <f aca="false">IF(BR18=0,"",IF(CR18&lt;1,1-1.41*LOG(CR18),1+0.92*LOG(CR18)))</f>
        <v/>
      </c>
      <c r="CZ18" s="244" t="str">
        <f aca="false">IF(BR18=0,"",2/(1+CR18))</f>
        <v/>
      </c>
      <c r="DA18" s="244" t="str">
        <f aca="false">IF(BR18=0,"",IF(CR18&lt;=0.75,4/(1+4*CR18),4/(3.25+CR18)))</f>
        <v/>
      </c>
      <c r="DB18" s="244" t="str">
        <f aca="false">IF(BR18=0,"",CT18)</f>
        <v/>
      </c>
      <c r="DC18" s="244" t="str">
        <f aca="false">IF(BR18=0,"",DB18*CC18)</f>
        <v/>
      </c>
      <c r="DD18" s="244"/>
      <c r="DE18" s="244" t="str">
        <f aca="false">IF(BR18=0,"",0.193*(CC18/(CQ18*0.001))^0.689)</f>
        <v/>
      </c>
      <c r="DF18" s="242" t="str">
        <f aca="false">IF(BR18=0,"",IF(AS18=$AX$4,(0.1348118*CC18 - 0.0383065)*98.0665,""))</f>
        <v/>
      </c>
      <c r="DG18" s="242" t="str">
        <f aca="false">IF(BR18=0,"",IF(AS18=$AX$4,DF18/2,""))</f>
        <v/>
      </c>
      <c r="DH18" s="244" t="str">
        <f aca="false">IF(BR18=0,"",IF(DC18&lt;=15,12*(DC18+6),40+12*(DC18-6)))</f>
        <v/>
      </c>
      <c r="DI18" s="244" t="str">
        <f aca="false">IF(BR18=0,"",IF(CD18="SI",5*(DC18+15),((3.3*(DC18+15))+(4*(DC18+12)))/2))</f>
        <v/>
      </c>
      <c r="DJ18" s="244" t="str">
        <f aca="false">IF(BR18=0,"",8*DC18)</f>
        <v/>
      </c>
      <c r="DK18" s="244" t="str">
        <f aca="false">IF(BR18=0,"",215+(10.6*DC18))</f>
        <v/>
      </c>
      <c r="DL18" s="244" t="str">
        <f aca="false">IF(BR18=0,"",10*(7.5+(0.5*DC18)))</f>
        <v/>
      </c>
      <c r="DM18" s="244" t="str">
        <f aca="false">IF(BR18=0,"",8*DC18)</f>
        <v/>
      </c>
      <c r="DN18" s="242" t="str">
        <f aca="false">IF(AW18=" "," ",IF(DC18=""," ",IF(DC18&lt;4,10*10.2,IF(DC18=4,12*10.2,IF(DC18&lt;10,17.5*10.5,IF(DC18=10,15*10.2,IF(DC18&lt;30,22.5*10.2,IF(DC18=30,35*10.2,IF(DC18&lt;50,40*10.2,IF(DC18=50,50*10.2,55*10.2))))))))))</f>
        <v> </v>
      </c>
      <c r="DO18" s="242" t="str">
        <f aca="false">IF(BR18=0,"",7*SQRT(DC18)*10.1972)</f>
        <v/>
      </c>
      <c r="DP18" s="244" t="str">
        <f aca="false">IF(BR18=0,"",IF(AS18=$AX$4,5*CC18,""))</f>
        <v/>
      </c>
      <c r="DQ18" s="244" t="str">
        <f aca="false">IF(AW18=" "," ",IF(DC18=""," ",IF(DC18&lt;2,4*10.2,IF(DC18=2,6*10.2,IF(DC18&lt;4,12*10.2,IF(DC18=4,20*10.2,IF(DC18&lt;8,30*10.2,IF(DC18=8,35*10.2,IF(DC18&lt;15,40*10.2,IF(DC18=15,42*10.2,IF(DC18&lt;30,45*10.2,IF(DC18=30,50*10.2,70*10.2))))))))))))</f>
        <v> </v>
      </c>
      <c r="DR18" s="242" t="str">
        <f aca="false">IF(BR18=0,"",IF(AS18=$AX$4,220*DP18*0.0101972,""))</f>
        <v/>
      </c>
      <c r="DS18" s="245" t="str">
        <f aca="false">IF(BR18=0,"",IF(AS18=$AX$7,(SUM(DH18:DO18)-MIN(DH18:DO18)-MAX(DH18:DO18))/6,(SUM(DO18:DR18)-MIN(DO18:DR18)-MAX(DO18:DR18))/2))</f>
        <v/>
      </c>
      <c r="DT18" s="242" t="str">
        <f aca="false">IF(AW18=" "," ",IF(DC18=""," ",IF(DC18&lt;4,0.2,IF(DC18=4,0.27,IF(DC18&lt;10,0.33,IF(DC18=10,0.35,IF(DC18&lt;30,0.36,IF(DC18=30,0.37,IF(DC18&lt;50,0.38,IF(DC18=50,0.4,0.45))))))))))</f>
        <v> </v>
      </c>
      <c r="DU18" s="246" t="str">
        <f aca="false">IF(AW18=" "," ",IF(CC18=""," ",IF(CC18&lt;2,0.2,IF(CC18=2,0.23,IF(CC18&lt;4,0.26,IF(CC18=4,0.29,IF(CC18&lt;8,0.32,IF(CC18=8,0.35,IF(CC18&lt;15,0.38,IF(CC18=15,0.41,IF(CC18&lt;30,0.44,IF(CC18=30,0.47,0.5))))))))))))</f>
        <v> </v>
      </c>
      <c r="DV18" s="242" t="str">
        <f aca="false">IF(BR18=0,"",IF(AS18=$AX$3,DT18,DU18))</f>
        <v/>
      </c>
      <c r="DW18" s="244" t="str">
        <f aca="false">IF(BR18=0,"",IF(DC18&gt;15,15+0.5*(DC18-15),DC18))</f>
        <v/>
      </c>
      <c r="DX18" s="244" t="str">
        <f aca="false">IF(BR18=0,"",IF($S$12="SI",IF(CD18="NO",IF($AD$12&gt;(BO18+1.5*$ED$15),1,0.5),0.5),1))</f>
        <v/>
      </c>
      <c r="DY18" s="244" t="str">
        <f aca="false">IF(BR18=0,"",IF(S2="SI",IF(CD18="NO",IF($AD$12&gt;(BO18+1.5*$EE$15),1,0.5))))</f>
        <v/>
      </c>
      <c r="DZ18" s="244" t="str">
        <f aca="false">IF(BR18=0,"",IF($S$12="SI",IF(CD18="NO",IF($AD$12&gt;(BO18+1.5*$EF$15),1,0.5),0.5),1))</f>
        <v/>
      </c>
      <c r="EA18" s="244" t="str">
        <f aca="false">IF(BR18=0,"",IF($S$12="SI",IF(CD18="NO",IF($AD$12&gt;(BO18+1.5*$ED$15),1,0.5),IF($AD$12=BO18,1,0.5)),1))</f>
        <v/>
      </c>
      <c r="EB18" s="244" t="str">
        <f aca="false">IF(BR18=0,"",IF($S$12="SI",IF(CD18="NO",IF($AD$12&gt;(BO18+1.5*$EE$15),1,0.5),IF($AD$12=BO18,1,0.5)),1))</f>
        <v/>
      </c>
      <c r="EC18" s="244" t="str">
        <f aca="false">IF(BR18=0,"",IF($S$12="SI",IF(CD18="NO",IF($AD$12&gt;(BO18+1.5*$EF$15),1,0.5),IF($AD$12=BO18,1,0.5)),1))</f>
        <v/>
      </c>
      <c r="ED18" s="244" t="str">
        <f aca="false">IF(BR18=0,"",(DW18*($ED$15/10)*(DX18+EA18*(BO18/$ED$15))*1)/3)</f>
        <v/>
      </c>
      <c r="EE18" s="244" t="str">
        <f aca="false">IF(BR18=0,"",(DW18*($EE$15/10)*(DY18+EB18*(BO18/$EE$15))*1)/3)</f>
        <v/>
      </c>
      <c r="EF18" s="244" t="str">
        <f aca="false">IF(BR18=0,"",(DW18*($EF$15/10)*(DZ18+EC18*(BO18/$EF$15))*1)/3)</f>
        <v/>
      </c>
      <c r="EG18" s="247" t="str">
        <f aca="false">IF(BR18=0,"",IF(CD18="SI",0.5,1))</f>
        <v/>
      </c>
      <c r="EH18" s="242" t="str">
        <f aca="false">IF(BR18=0,"",IF((1+0.33*(BO18/$ED$15))&lt;=1.33,(1+0.33*(BO18/$ED$15)),1.33))</f>
        <v/>
      </c>
      <c r="EI18" s="242" t="str">
        <f aca="false">IF(BR18=0,"",IF((1+0.33*(BO18/$EE$15))&lt;=1.33,(1+0.33*(BO18/$EE$15)),1.33))</f>
        <v/>
      </c>
      <c r="EJ18" s="242" t="str">
        <f aca="false">IF(BR18=0,"",IF((1+0.33*(BO18/$EF$15))&lt;=1.33,(1+0.33*(BO18/$EF$15)),1.33))</f>
        <v/>
      </c>
      <c r="EK18" s="242" t="str">
        <f aca="false">IF(BR18=0,"",IF($ED$15&lt;=1.2,((20*DC18*EG18*EH18)/3)*0.010197,((12.5*DC18*((($ED$15+0.3)^2)/$ED$15)*EG18*EH18)/3)*0.010197))</f>
        <v/>
      </c>
      <c r="EL18" s="242" t="str">
        <f aca="false">IF(BR18=0,"",IF($EE$15&lt;=1.2,((20*DC18*EG18*EI18)/3)*0.010197,((12.5*DC18*((($EE$15+0.3)^2)/$EE$15)*EG18*EI18)/3)*0.010197))</f>
        <v/>
      </c>
      <c r="EM18" s="242" t="str">
        <f aca="false">IF(BR18=0,"",IF($EF$15&lt;=1.2,((20*DC18*EG18*EJ18)/3)*0.010197,((12.5*DC18*((($EF$15+0.3)^2)/$EF$15)*EG18*EJ18)/3)*0.010197))</f>
        <v/>
      </c>
      <c r="EN18" s="248" t="str">
        <f aca="false">IF(BR18=0,"",SQRT(12*BR18)+25)</f>
        <v/>
      </c>
      <c r="EO18" s="248" t="str">
        <f aca="false">IF(BR18=0,"",28.5+0.25*BR18)</f>
        <v/>
      </c>
      <c r="EP18" s="248" t="str">
        <f aca="false">IF(BR18=0,"",SQRT(20*BR18)+15)</f>
        <v/>
      </c>
      <c r="EQ18" s="248" t="str">
        <f aca="false">IF(BR18=0,"",23.7+0.57*BR18-0.0006*BR18*BR18)</f>
        <v/>
      </c>
      <c r="ER18" s="248" t="str">
        <f aca="false">IF(BR18=0,"",15+SQRT(20*BR18))</f>
        <v/>
      </c>
      <c r="ES18" s="248" t="str">
        <f aca="false">IF(BR18=0,"",3.5*SQRT(BR18)+20)</f>
        <v/>
      </c>
      <c r="ET18" s="248" t="str">
        <f aca="false">IF(BR18=0,"",27.1+0.3*BR18-0.00054*BR18*BR18)</f>
        <v/>
      </c>
      <c r="EU18" s="248" t="str">
        <f aca="false">IF(BR18=0,"",SQRT(20*BR18)+20)</f>
        <v/>
      </c>
      <c r="EV18" s="248" t="str">
        <f aca="false">IF(BR18=0,"",12.79+SQRT(25.86*BR18))</f>
        <v/>
      </c>
      <c r="EW18" s="248" t="str">
        <f aca="false">IF(BR18=0,"",_xlfn.ACOT((CC18/(12.2+20.3*CR18))^0.34))</f>
        <v/>
      </c>
      <c r="EX18" s="248" t="str">
        <f aca="false">IF(BR18=0,"",24+(5.77*LN(0.17*BR18)))</f>
        <v/>
      </c>
      <c r="EY18" s="248" t="str">
        <f aca="false">IF(BR18=0,"",(SUM(EN18:EX18)-MIN(EN18:EX18)-MAX(EN18:EX18))/9)</f>
        <v/>
      </c>
      <c r="EZ18" s="248" t="str">
        <f aca="false">IF(BR18=0,"", -0.0000000034*BR18^6 + 0.0000008305*BR18^5 - 0.0000741842*BR18^4 + 0.0030204278*BR18^3 - 0.0541594733*BR18^2 + 0.8083147848*BR18 - 0.6182191243)</f>
        <v/>
      </c>
      <c r="FA18" s="249" t="str">
        <f aca="false">IF(BR18=0,"",(0.134811827956989*BR18 - 0.0383064516129019)/2)</f>
        <v/>
      </c>
      <c r="FB18" s="249" t="str">
        <f aca="false">IF(BR18=0,"",BR18*0.065)</f>
        <v/>
      </c>
      <c r="FC18" s="249" t="str">
        <f aca="false">IF(BR18=0,"",(BR18*0.12*0.48)*SQRT((1+SIN(EZ18*((2*PI())/360))/(1-SIN(EZ18*((2*PI())/360))))))</f>
        <v/>
      </c>
      <c r="FD18" s="249" t="str">
        <f aca="false">IF(BR18=0,"",(BR18/8)/2)</f>
        <v/>
      </c>
      <c r="FE18" s="249" t="str">
        <f aca="false">IF(BR18=0,"",(SUM(FA18:FD18)-MIN(FA18:FD18)-MAX(FA18:FD18))/2)</f>
        <v/>
      </c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</row>
    <row r="19" customFormat="false" ht="9.75" hidden="false" customHeight="true" outlineLevel="0" collapsed="false">
      <c r="A19" s="197" t="n">
        <f aca="false">ROUND(A18+0.1,1)</f>
        <v>0.2</v>
      </c>
      <c r="B19" s="250" t="n">
        <f aca="false">+A19</f>
        <v>0.2</v>
      </c>
      <c r="C19" s="251"/>
      <c r="D19" s="251"/>
      <c r="E19" s="252"/>
      <c r="F19" s="253"/>
      <c r="G19" s="254"/>
      <c r="H19" s="255"/>
      <c r="I19" s="256"/>
      <c r="J19" s="257"/>
      <c r="K19" s="258"/>
      <c r="L19" s="259"/>
      <c r="M19" s="207"/>
      <c r="N19" s="208"/>
      <c r="O19" s="208"/>
      <c r="P19" s="208"/>
      <c r="Q19" s="260"/>
      <c r="R19" s="210"/>
      <c r="S19" s="210"/>
      <c r="T19" s="261"/>
      <c r="U19" s="261"/>
      <c r="V19" s="262"/>
      <c r="W19" s="262"/>
      <c r="X19" s="262"/>
      <c r="Y19" s="262"/>
      <c r="Z19" s="262"/>
      <c r="AA19" s="262"/>
      <c r="AB19" s="263"/>
      <c r="AC19" s="264"/>
      <c r="AD19" s="265"/>
      <c r="AE19" s="264"/>
      <c r="AF19" s="266"/>
      <c r="AG19" s="267"/>
      <c r="AH19" s="267"/>
      <c r="AI19" s="241"/>
      <c r="AJ19" s="241"/>
      <c r="AK19" s="266"/>
      <c r="AL19" s="266"/>
      <c r="AM19" s="268"/>
      <c r="AN19" s="250" t="n">
        <v>0.2</v>
      </c>
      <c r="AO19" s="251"/>
      <c r="AP19" s="251"/>
      <c r="AQ19" s="252"/>
      <c r="AR19" s="253"/>
      <c r="AS19" s="269" t="s">
        <v>13</v>
      </c>
      <c r="AT19" s="221"/>
      <c r="AU19" s="269"/>
      <c r="AV19" s="269"/>
      <c r="AW19" s="270" t="n">
        <f aca="false">+K19+L19</f>
        <v>0</v>
      </c>
      <c r="AX19" s="270" t="str">
        <f aca="false">IF(AS19="&gt;50","CONSISTENCIA",IF(AS19="&lt;50","COMPACIDAD"," "))</f>
        <v>COMPACIDAD</v>
      </c>
      <c r="AY19" s="225" t="str">
        <f aca="false">IF(AS19="&gt;50",AZ19,IF(AS19="&lt;50",BA19," "))</f>
        <v> </v>
      </c>
      <c r="AZ19" s="224" t="str">
        <f aca="false">IF(AW19=" "," ",IF(CC19=""," ",IF(CC19&lt;2,"MUY BLANDA",IF(CC19=2,"MUY BLANDA A BLANDA",IF(CC19&lt;4,"BLANDA",IF(CC19=4,"BLANDA A MEDIA",IF(CC19&lt;8,"MEDIA",IF(CC19=8,"MEDIA A FIRME",IF(CC19&lt;15,"FIRME",IF(CC19=15,"FIRME A MUY FIRME",IF(CC19&lt;30,"MUY FIRME",IF(CC19=30,"MUY FIRME A DURA","DURA"))))))))))))</f>
        <v> </v>
      </c>
      <c r="BA19" s="225" t="str">
        <f aca="false">IF(AW19=" "," ",IF(DC19=""," ",IF(DC19&lt;4,"MUY SUELTA",IF(DC19=4,"MUY SUELTA A SUELTA",IF(DC19&lt;10,"SUELTA",IF(DC19=10,"SUELTA A MEDIA",IF(DC19&lt;30,"MEDIA",IF(DC19=30,"MEDIA A DENSO",IF(DC19&lt;50,"DENSO",IF(DC19=50,"DENSO MUY DENSO","MUY DENSO"))))))))))</f>
        <v> </v>
      </c>
      <c r="BB19" s="226" t="str">
        <f aca="false">IF(BR20=0,"",CQ20*0.0101972)</f>
        <v/>
      </c>
      <c r="BC19" s="227" t="n">
        <f aca="false">+BC18+0.1</f>
        <v>0.2</v>
      </c>
      <c r="BD19" s="227" t="str">
        <f aca="false">IF(BC19&lt;=$AN$10,BC19,"")</f>
        <v/>
      </c>
      <c r="BE19" s="228" t="n">
        <f aca="false">ISNUMBER(BD19)</f>
        <v>0</v>
      </c>
      <c r="BF19" s="229" t="str">
        <f aca="false">MID(M19,1,1)</f>
        <v/>
      </c>
      <c r="BG19" s="230" t="str">
        <f aca="false">IF(BF19="S","",IF(BF19="G","",MID(M19,2,1)))</f>
        <v/>
      </c>
      <c r="BH19" s="231" t="str">
        <f aca="false">CONCATENATE(BF19,BG19)</f>
        <v/>
      </c>
      <c r="BI19" s="6" t="str">
        <f aca="false">IF(BE19=FALSE(),"",IF(BH19="",BI18,BH19))</f>
        <v/>
      </c>
      <c r="BJ19" s="74" t="str">
        <f aca="false">IF(OR(BI19="S",BI19="G"),BI19,"X")</f>
        <v>X</v>
      </c>
      <c r="BK19" s="74" t="s">
        <v>177</v>
      </c>
      <c r="BL19" s="232" t="s">
        <v>178</v>
      </c>
      <c r="BM19" s="232"/>
      <c r="BN19" s="6"/>
      <c r="BO19" s="191" t="n">
        <f aca="false">BO18+0.1</f>
        <v>0.2</v>
      </c>
      <c r="BP19" s="233" t="e">
        <f aca="false">IF(AW19=0,NA(),IF(AS19=$AX$3,ROUND(DC19,0),NA()))</f>
        <v>#N/A</v>
      </c>
      <c r="BQ19" s="31" t="e">
        <f aca="false">IF(AW19=0,NA(),IF(AS19=$AX$4,ROUND(CC19,0),NA()))</f>
        <v>#N/A</v>
      </c>
      <c r="BR19" s="234" t="n">
        <f aca="false">+AW19</f>
        <v>0</v>
      </c>
      <c r="BS19" s="235" t="str">
        <f aca="false">IF(BR19=0,"", -0.00000000016128755327*CC19^6 + 0.00000006709386362421*CC19^5 - 0.0000106217678052217*CC19^4 + 0.00081068114193385*CC19^3 - 0.0314027378159951*CC19^2 + 0.649796593937842*CC19 + 13.7888866455022)</f>
        <v/>
      </c>
      <c r="BT19" s="235" t="str">
        <f aca="false">IF(BR19=0,"",-0.00000000014625939695*CC19^6 + 0.00000004971732060241*CC19^5 - 0.000006683744342031*CC19^4 + 0.0004563177378098*CC19^3 - 0.0171727530635803*CC19^2 + 0.444529932876435*CC19 + 15.6692518940565)</f>
        <v/>
      </c>
      <c r="BU19" s="236" t="str">
        <f aca="false">IF(BR19=0,"", -0.0000000008152265738*BR19^6 + 0.00000022764320256987*BR19^5 - 0.0000248205675927705*BR19^4 + 0.00133186623684865*BR19^3 - 0.0368442570441677*BR19^2 + 0.580111565569094*BR19 + 14.0417598296107)</f>
        <v/>
      </c>
      <c r="BV19" s="236" t="str">
        <f aca="false">IF(BR19=0,"", -0.00000000004321395721*BR19^6 + 0.00000002531844275498*BR19^5 - 0.00000369428022780862*BR19^4 + 0.00020283665900125*BR19^3 - 0.00462426256803268*BR19^2 + 0.139572935065453*BR19 + 15.4475338156923)</f>
        <v/>
      </c>
      <c r="BW19" s="236" t="str">
        <f aca="false">IF(BR19=0,"",-0.00000000033126390082*BR19^6 + 0.00000010463660614506*BR19^5 - 0.0000129629592998707*BR19^4 + 0.000803946335250767*BR19^3 - 0.0270257140395994*BR19^2 + 0.562590210721552*BR19+ 12.1254107606419)</f>
        <v/>
      </c>
      <c r="BX19" s="236" t="str">
        <f aca="false">IF(BR19=0,"",-0.00000000002593504955*BR19^6 + 0.00000002430495156704*BR19^5 - 0.00000386103271086364*BR19^4 + 0.000214416118986322*BR19^3 - 0.0047271462612021*BR19^2 + 0.156696175741135*BR19 + 15.4598891949502)</f>
        <v/>
      </c>
      <c r="BY19" s="234" t="str">
        <f aca="false">IF(BR19=0,"",$BS$2)</f>
        <v/>
      </c>
      <c r="BZ19" s="234" t="str">
        <f aca="false">IF(BR19=0,"",$BS$3)</f>
        <v/>
      </c>
      <c r="CA19" s="234" t="str">
        <f aca="false">IF(BR19=0,"",$BS$4)</f>
        <v/>
      </c>
      <c r="CB19" s="235" t="str">
        <f aca="false">IF(BR19=0,"",IF(AND(BO19&gt;=0,BO19&lt;4),0.75,IF(AND(BO19&gt;=4,BO19&lt;6),0.85,IF(AND(BO19&gt;=6,BO19&lt;=10),0.95,1))))</f>
        <v/>
      </c>
      <c r="CC19" s="234" t="str">
        <f aca="false">IF(BR19=0,"",BR19*BY19*BZ19*CA19*CB19/60)</f>
        <v/>
      </c>
      <c r="CD19" s="238" t="str">
        <f aca="false">IF(BR19=0,"",IF($S$12="NO","NO",IF($AD$12&lt;=BO19,"SI","NO")))</f>
        <v/>
      </c>
      <c r="CE19" s="235" t="n">
        <f aca="false">IF(BR19=0,0,AB19)</f>
        <v>0</v>
      </c>
      <c r="CF19" s="235" t="n">
        <f aca="false">IF(CE19&gt;0,BO19,0)</f>
        <v>0</v>
      </c>
      <c r="CG19" s="239" t="n">
        <f aca="false">IF(CF19=0,CF19+CG18,CF19)</f>
        <v>0</v>
      </c>
      <c r="CH19" s="239" t="n">
        <f aca="false">IF(CG19=CG18,CH18,ABS(CG19-CG18))</f>
        <v>0</v>
      </c>
      <c r="CI19" s="239" t="n">
        <f aca="false">+CE19*CH19</f>
        <v>0</v>
      </c>
      <c r="CJ19" s="239" t="n">
        <f aca="false">IF(CI19=0,CI19+CJ18,CI19)</f>
        <v>0</v>
      </c>
      <c r="CK19" s="239" t="n">
        <f aca="false">IF(CJ19=CJ18,CK18,ABS(CJ19+CK18))</f>
        <v>0</v>
      </c>
      <c r="CL19" s="241" t="n">
        <f aca="false">IF(CE19=0,0,CK19)</f>
        <v>0</v>
      </c>
      <c r="CM19" s="239" t="n">
        <f aca="false">IF(CE19=0,0,CH19*9.81)</f>
        <v>0</v>
      </c>
      <c r="CN19" s="239" t="n">
        <f aca="false">IF(CM19=0,CM19+CN18,CM19)</f>
        <v>0</v>
      </c>
      <c r="CO19" s="239" t="n">
        <f aca="false">IF(CN19=CN18,CO18,ABS(CN19+CO18))</f>
        <v>0</v>
      </c>
      <c r="CP19" s="241" t="n">
        <f aca="false">IF(CD19="NO",0,IF(CE19=0,0,CO19))</f>
        <v>0</v>
      </c>
      <c r="CQ19" s="244" t="str">
        <f aca="false">IF(BR19=0,"",CL19-CP19)</f>
        <v/>
      </c>
      <c r="CR19" s="244" t="str">
        <f aca="false">IF(BR19=0,"",CQ19/101.3)</f>
        <v/>
      </c>
      <c r="CS19" s="244" t="str">
        <f aca="false">IF(BR19=0,"",LOG(10/CR19))</f>
        <v/>
      </c>
      <c r="CT19" s="243" t="str">
        <f aca="false">IF(BR19=0,"",IF(SQRT(101.3/CQ19)&lt;=1.7,SQRT(101.3/CQ19),2.2/(1.2+(CQ19/101.3))))</f>
        <v/>
      </c>
      <c r="CU19" s="244" t="str">
        <f aca="false">IF(BR19=0,"",1.7/(0.7+CR19))</f>
        <v/>
      </c>
      <c r="CV19" s="244" t="str">
        <f aca="false">IF(BR19=0,"",IF(CR19&gt;=0.25,0.77*LOG(20/CR19),""))</f>
        <v/>
      </c>
      <c r="CW19" s="244" t="str">
        <f aca="false">IF(BR19=0,"",32.5/(10.2+20.3*CR19))</f>
        <v/>
      </c>
      <c r="CX19" s="244" t="str">
        <f aca="false">IF(BR19=0,"",1-1.25*LOG(CR19))</f>
        <v/>
      </c>
      <c r="CY19" s="244" t="str">
        <f aca="false">IF(BR19=0,"",IF(CR19&lt;1,1-1.41*LOG(CR19),1+0.92*LOG(CR19)))</f>
        <v/>
      </c>
      <c r="CZ19" s="244" t="str">
        <f aca="false">IF(BR19=0,"",2/(1+CR19))</f>
        <v/>
      </c>
      <c r="DA19" s="244" t="str">
        <f aca="false">IF(BR19=0,"",IF(CR19&lt;=0.75,4/(1+4*CR19),4/(3.25+CR19)))</f>
        <v/>
      </c>
      <c r="DB19" s="244" t="str">
        <f aca="false">IF(BR19=0,"",CT19)</f>
        <v/>
      </c>
      <c r="DC19" s="244" t="str">
        <f aca="false">IF(BR19=0,"",DB19*CC19)</f>
        <v/>
      </c>
      <c r="DD19" s="244"/>
      <c r="DE19" s="244" t="str">
        <f aca="false">IF(BR19=0,"",0.193*(CC19/(CQ19*0.001))^0.689)</f>
        <v/>
      </c>
      <c r="DF19" s="244" t="str">
        <f aca="false">IF(BR19=0,"",IF(AS19=$AX$4,(0.1348118*CC19 - 0.0383065)*98.0665,""))</f>
        <v/>
      </c>
      <c r="DG19" s="244" t="str">
        <f aca="false">IF(BR19=0,"",IF(AS19=$AX$4,DF19/2,""))</f>
        <v/>
      </c>
      <c r="DH19" s="244" t="str">
        <f aca="false">IF(BR19=0,"",IF(DC19&lt;=15,12*(DC19+6),40+12*(DC19-6)))</f>
        <v/>
      </c>
      <c r="DI19" s="244" t="str">
        <f aca="false">IF(BR19=0,"",IF(CD19="SI",5*(DC19+15),((3.3*(DC19+15))+(4*(DC19+12)))/2))</f>
        <v/>
      </c>
      <c r="DJ19" s="244" t="str">
        <f aca="false">IF(BR19=0,"",8*DC19)</f>
        <v/>
      </c>
      <c r="DK19" s="244" t="str">
        <f aca="false">IF(BR19=0,"",215+(10.6*DC19))</f>
        <v/>
      </c>
      <c r="DL19" s="244" t="str">
        <f aca="false">IF(BR19=0,"",10*(7.5+(0.5*DC19)))</f>
        <v/>
      </c>
      <c r="DM19" s="244" t="str">
        <f aca="false">IF(BR19=0,"",8*DC19)</f>
        <v/>
      </c>
      <c r="DN19" s="244" t="str">
        <f aca="false">IF(AW19=" "," ",IF(DC19=""," ",IF(DC19&lt;4,10*10.2,IF(DC19=4,12*10.2,IF(DC19&lt;10,17.5*10.5,IF(DC19=10,15*10.2,IF(DC19&lt;30,22.5*10.2,IF(DC19=30,35*10.2,IF(DC19&lt;50,40*10.2,IF(DC19=50,50*10.2,55*10.2))))))))))</f>
        <v> </v>
      </c>
      <c r="DO19" s="244" t="str">
        <f aca="false">IF(BR19=0,"",7*SQRT(DC19)*10.1972)</f>
        <v/>
      </c>
      <c r="DP19" s="244" t="str">
        <f aca="false">IF(BR19=0,"",IF(AS19=$AX$4,5*CC19,""))</f>
        <v/>
      </c>
      <c r="DQ19" s="244" t="str">
        <f aca="false">IF(AW19=" "," ",IF(DC19=""," ",IF(DC19&lt;2,4*10.2,IF(DC19=2,6*10.2,IF(DC19&lt;4,12*10.2,IF(DC19=4,20*10.2,IF(DC19&lt;8,30*10.2,IF(DC19=8,35*10.2,IF(DC19&lt;15,40*10.2,IF(DC19=15,42*10.2,IF(DC19&lt;30,45*10.2,IF(DC19=30,50*10.2,70*10.2))))))))))))</f>
        <v> </v>
      </c>
      <c r="DR19" s="244" t="str">
        <f aca="false">IF(BR19=0,"",IF(AS19=$AX$4,220*DP19*0.0101972,""))</f>
        <v/>
      </c>
      <c r="DS19" s="271" t="str">
        <f aca="false">IF(BR19=0,"",IF(AS19=$AX$7,(SUM(DH19:DO19)-MIN(DH19:DO19)-MAX(DH19:DO19))/6,(SUM(DO19:DR19)-MIN(DO19:DR19)-MAX(DO19:DR19))/2))</f>
        <v/>
      </c>
      <c r="DT19" s="244" t="str">
        <f aca="false">IF(AW19=" "," ",IF(DC19=""," ",IF(DC19&lt;4,0.2,IF(DC19=4,0.27,IF(DC19&lt;10,0.33,IF(DC19=10,0.35,IF(DC19&lt;30,0.36,IF(DC19=30,0.37,IF(DC19&lt;50,0.38,IF(DC19=50,0.4,0.45))))))))))</f>
        <v> </v>
      </c>
      <c r="DU19" s="272" t="str">
        <f aca="false">IF(AW19=" "," ",IF(CC19=""," ",IF(CC19&lt;2,0.2,IF(CC19=2,0.23,IF(CC19&lt;4,0.26,IF(CC19=4,0.29,IF(CC19&lt;8,0.32,IF(CC19=8,0.35,IF(CC19&lt;15,0.38,IF(CC19=15,0.41,IF(CC19&lt;30,0.44,IF(CC19=30,0.47,0.5))))))))))))</f>
        <v> </v>
      </c>
      <c r="DV19" s="244" t="str">
        <f aca="false">IF(BR19=0,"",IF(AS19=$AX$3,DT19,DU19))</f>
        <v/>
      </c>
      <c r="DW19" s="244" t="str">
        <f aca="false">IF(BR19=0,"",IF(DC19&gt;15,15+0.5*(DC19-15),DC19))</f>
        <v/>
      </c>
      <c r="DX19" s="244" t="str">
        <f aca="false">IF(BR19=0,"",IF($S$12="SI",IF(CD19="NO",IF($AD$12&gt;(BO19+1.5*$ED$15),1,0.5),0.5),1))</f>
        <v/>
      </c>
      <c r="DY19" s="244" t="str">
        <f aca="false">IF(BR19=0,"",IF(S3="SI",IF(CD19="NO",IF($AD$12&gt;(BO19+1.5*$EE$15),1,0.5))))</f>
        <v/>
      </c>
      <c r="DZ19" s="244" t="str">
        <f aca="false">IF(BR19=0,"",IF($S$12="SI",IF(CD19="NO",IF($AD$12&gt;(BO19+1.5*$EF$15),1,0.5),0.5),1))</f>
        <v/>
      </c>
      <c r="EA19" s="244" t="str">
        <f aca="false">IF(BR19=0,"",IF($S$12="SI",IF(CD19="NO",IF($AD$12&gt;(BO19+1.5*$ED$15),1,0.5),IF($AD$12=BO19,1,0.5)),1))</f>
        <v/>
      </c>
      <c r="EB19" s="244" t="str">
        <f aca="false">IF(BR19=0,"",IF($S$12="SI",IF(CD19="NO",IF($AD$12&gt;(BO19+1.5*$EE$15),1,0.5),IF($AD$12=BO19,1,0.5)),1))</f>
        <v/>
      </c>
      <c r="EC19" s="244" t="str">
        <f aca="false">IF(BR19=0,"",IF($S$12="SI",IF(CD19="NO",IF($AD$12&gt;(BO19+1.5*$EF$15),1,0.5),IF($AD$12=BO19,1,0.5)),1))</f>
        <v/>
      </c>
      <c r="ED19" s="244" t="str">
        <f aca="false">IF(BR19=0,"",(DW19*($ED$15/10)*(DX19+EA19*(BO19/$ED$15))*1)/3)</f>
        <v/>
      </c>
      <c r="EE19" s="244" t="str">
        <f aca="false">IF(BR19=0,"",(DW19*($EE$15/10)*(DY19+EB19*(BO19/$EE$15))*1)/3)</f>
        <v/>
      </c>
      <c r="EF19" s="244" t="str">
        <f aca="false">IF(BR19=0,"",(DW19*($EF$15/10)*(DZ19+EC19*(BO19/$EF$15))*1)/3)</f>
        <v/>
      </c>
      <c r="EG19" s="273" t="str">
        <f aca="false">IF(BR19=0,"",IF(CD19="SI",0.5,1))</f>
        <v/>
      </c>
      <c r="EH19" s="244" t="str">
        <f aca="false">IF(BR19=0,"",IF((1+0.33*(BO19/$ED$15))&lt;=1.33,(1+0.33*(BO19/$ED$15)),1.33))</f>
        <v/>
      </c>
      <c r="EI19" s="244" t="str">
        <f aca="false">IF(BR19=0,"",IF((1+0.33*(BO19/$EE$15))&lt;=1.33,(1+0.33*(BO19/$EE$15)),1.33))</f>
        <v/>
      </c>
      <c r="EJ19" s="244" t="str">
        <f aca="false">IF(BR19=0,"",IF((1+0.33*(BO19/$EF$15))&lt;=1.33,(1+0.33*(BO19/$EF$15)),1.33))</f>
        <v/>
      </c>
      <c r="EK19" s="244" t="str">
        <f aca="false">IF(BR19=0,"",IF($ED$15&lt;=1.2,((20*DC19*EG19*EH19)/3)*0.010197,((12.5*DC19*((($ED$15+0.3)^2)/$ED$15)*EG19*EH19)/3)*0.010197))</f>
        <v/>
      </c>
      <c r="EL19" s="244" t="str">
        <f aca="false">IF(BR19=0,"",IF($EE$15&lt;=1.2,((20*DC19*EG19*EI19)/3)*0.010197,((12.5*DC19*((($EE$15+0.3)^2)/$EE$15)*EG19*EI19)/3)*0.010197))</f>
        <v/>
      </c>
      <c r="EM19" s="244" t="str">
        <f aca="false">IF(BR19=0,"",IF($EF$15&lt;=1.2,((20*DC19*EG19*EJ19)/3)*0.010197,((12.5*DC19*((($EF$15+0.3)^2)/$EF$15)*EG19*EJ19)/3)*0.010197))</f>
        <v/>
      </c>
      <c r="EN19" s="248" t="str">
        <f aca="false">IF(BR19=0,"",SQRT(12*BR19)+25)</f>
        <v/>
      </c>
      <c r="EO19" s="248" t="str">
        <f aca="false">IF(BR19=0,"",28.5+0.25*BR19)</f>
        <v/>
      </c>
      <c r="EP19" s="248" t="str">
        <f aca="false">IF(BR19=0,"",SQRT(20*BR19)+15)</f>
        <v/>
      </c>
      <c r="EQ19" s="248" t="str">
        <f aca="false">IF(BR19=0,"",23.7+0.57*BR19-0.0006*BR19*BR19)</f>
        <v/>
      </c>
      <c r="ER19" s="248" t="str">
        <f aca="false">IF(BR19=0,"",15+SQRT(20*BR19))</f>
        <v/>
      </c>
      <c r="ES19" s="248" t="str">
        <f aca="false">IF(BR19=0,"",3.5*SQRT(BR19)+20)</f>
        <v/>
      </c>
      <c r="ET19" s="248" t="str">
        <f aca="false">IF(BR19=0,"",27.1+0.3*BR19-0.00054*BR19*BR19)</f>
        <v/>
      </c>
      <c r="EU19" s="248" t="str">
        <f aca="false">IF(BR19=0,"",SQRT(20*BR19)+20)</f>
        <v/>
      </c>
      <c r="EV19" s="248" t="str">
        <f aca="false">IF(BR19=0,"",12.79+SQRT(25.86*BR19))</f>
        <v/>
      </c>
      <c r="EW19" s="248" t="str">
        <f aca="false">IF(BR19=0,"",_xlfn.ACOT((CC19/(12.2+20.3*CR19))^0.34))</f>
        <v/>
      </c>
      <c r="EX19" s="248" t="str">
        <f aca="false">IF(BR19=0,"",24+(5.77*LN(0.17*BR19)))</f>
        <v/>
      </c>
      <c r="EY19" s="248" t="str">
        <f aca="false">IF(BR19=0,"",(SUM(EN19:EX19)-MIN(EN19:EX19)-MAX(EN19:EX19))/9)</f>
        <v/>
      </c>
      <c r="EZ19" s="248" t="str">
        <f aca="false">IF(BR19=0,"", -0.0000000034*BR19^6 + 0.0000008305*BR19^5 - 0.0000741842*BR19^4 + 0.0030204278*BR19^3 - 0.0541594733*BR19^2 + 0.8083147848*BR19 - 0.6182191243)</f>
        <v/>
      </c>
      <c r="FA19" s="249" t="str">
        <f aca="false">IF(BR19=0,"",(0.134811827956989*BR19 - 0.0383064516129019)/2)</f>
        <v/>
      </c>
      <c r="FB19" s="249" t="str">
        <f aca="false">IF(BR19=0,"",BR19*0.065)</f>
        <v/>
      </c>
      <c r="FC19" s="249" t="str">
        <f aca="false">IF(BR19=0,"",(BR19*0.12*0.48)*SQRT((1+SIN(EZ19*((2*PI())/360))/(1-SIN(EZ19*((2*PI())/360))))))</f>
        <v/>
      </c>
      <c r="FD19" s="249" t="str">
        <f aca="false">IF(BR19=0,"",(BR19/8)/2)</f>
        <v/>
      </c>
      <c r="FE19" s="249" t="str">
        <f aca="false">IF(BR19=0,"",(SUM(FA19:FD19)-MIN(FA19:FD19)-MAX(FA19:FD19))/2)</f>
        <v/>
      </c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</row>
    <row r="20" customFormat="false" ht="9.75" hidden="false" customHeight="true" outlineLevel="0" collapsed="false">
      <c r="A20" s="197" t="n">
        <f aca="false">ROUND(A19+0.1,1)</f>
        <v>0.3</v>
      </c>
      <c r="B20" s="250"/>
      <c r="C20" s="251"/>
      <c r="D20" s="251"/>
      <c r="E20" s="199"/>
      <c r="F20" s="200"/>
      <c r="G20" s="254"/>
      <c r="H20" s="255"/>
      <c r="I20" s="256"/>
      <c r="J20" s="257"/>
      <c r="K20" s="258"/>
      <c r="L20" s="259"/>
      <c r="M20" s="207"/>
      <c r="N20" s="208"/>
      <c r="O20" s="208"/>
      <c r="P20" s="208"/>
      <c r="Q20" s="260"/>
      <c r="R20" s="210"/>
      <c r="S20" s="210"/>
      <c r="T20" s="261"/>
      <c r="U20" s="261"/>
      <c r="V20" s="262"/>
      <c r="W20" s="262"/>
      <c r="X20" s="262"/>
      <c r="Y20" s="262"/>
      <c r="Z20" s="262"/>
      <c r="AA20" s="262"/>
      <c r="AB20" s="263"/>
      <c r="AC20" s="264"/>
      <c r="AD20" s="265"/>
      <c r="AE20" s="264"/>
      <c r="AF20" s="266"/>
      <c r="AG20" s="267"/>
      <c r="AH20" s="267"/>
      <c r="AI20" s="241"/>
      <c r="AJ20" s="241"/>
      <c r="AK20" s="266"/>
      <c r="AL20" s="266"/>
      <c r="AM20" s="268"/>
      <c r="AN20" s="250"/>
      <c r="AO20" s="251"/>
      <c r="AP20" s="251"/>
      <c r="AQ20" s="199"/>
      <c r="AR20" s="200"/>
      <c r="AS20" s="269" t="s">
        <v>13</v>
      </c>
      <c r="AT20" s="221"/>
      <c r="AU20" s="269"/>
      <c r="AV20" s="269"/>
      <c r="AW20" s="270" t="n">
        <f aca="false">+K20+L20</f>
        <v>0</v>
      </c>
      <c r="AX20" s="270" t="str">
        <f aca="false">IF(AS20="&gt;50","CONSISTENCIA",IF(AS20="&lt;50","COMPACIDAD"," "))</f>
        <v>COMPACIDAD</v>
      </c>
      <c r="AY20" s="225" t="str">
        <f aca="false">IF(AS20="&gt;50",AZ20,IF(AS20="&lt;50",BA20," "))</f>
        <v> </v>
      </c>
      <c r="AZ20" s="224" t="str">
        <f aca="false">IF(AW20=" "," ",IF(CC20=""," ",IF(CC20&lt;2,"MUY BLANDA",IF(CC20=2,"MUY BLANDA A BLANDA",IF(CC20&lt;4,"BLANDA",IF(CC20=4,"BLANDA A MEDIA",IF(CC20&lt;8,"MEDIA",IF(CC20=8,"MEDIA A FIRME",IF(CC20&lt;15,"FIRME",IF(CC20=15,"FIRME A MUY FIRME",IF(CC20&lt;30,"MUY FIRME",IF(CC20=30,"MUY FIRME A DURA","DURA"))))))))))))</f>
        <v> </v>
      </c>
      <c r="BA20" s="225" t="str">
        <f aca="false">IF(AW20=" "," ",IF(DC20=""," ",IF(DC20&lt;4,"MUY SUELTA",IF(DC20=4,"MUY SUELTA A SUELTA",IF(DC20&lt;10,"SUELTA",IF(DC20=10,"SUELTA A MEDIA",IF(DC20&lt;30,"MEDIA",IF(DC20=30,"MEDIA A DENSO",IF(DC20&lt;50,"DENSO",IF(DC20=50,"DENSO MUY DENSO","MUY DENSO"))))))))))</f>
        <v> </v>
      </c>
      <c r="BB20" s="226" t="str">
        <f aca="false">IF(BR21=0,"",CQ21*0.0101972)</f>
        <v/>
      </c>
      <c r="BC20" s="227" t="n">
        <f aca="false">+BC19+0.1</f>
        <v>0.3</v>
      </c>
      <c r="BD20" s="227" t="str">
        <f aca="false">IF(BC20&lt;=$AN$10,BC20,"")</f>
        <v/>
      </c>
      <c r="BE20" s="228" t="n">
        <f aca="false">ISNUMBER(BD20)</f>
        <v>0</v>
      </c>
      <c r="BF20" s="229" t="str">
        <f aca="false">MID(M20,1,1)</f>
        <v/>
      </c>
      <c r="BG20" s="230" t="str">
        <f aca="false">IF(BF20="S","",IF(BF20="G","",MID(M20,2,1)))</f>
        <v/>
      </c>
      <c r="BH20" s="231" t="str">
        <f aca="false">CONCATENATE(BF20,BG20)</f>
        <v/>
      </c>
      <c r="BI20" s="6" t="str">
        <f aca="false">IF(BE20=FALSE(),"",IF(BH20="",BI19,BH20))</f>
        <v/>
      </c>
      <c r="BJ20" s="74" t="str">
        <f aca="false">IF(OR(BI20="S",BI20="G"),BI20,"X")</f>
        <v>X</v>
      </c>
      <c r="BK20" s="74" t="s">
        <v>179</v>
      </c>
      <c r="BL20" s="232" t="s">
        <v>180</v>
      </c>
      <c r="BM20" s="232"/>
      <c r="BN20" s="6"/>
      <c r="BO20" s="191" t="n">
        <f aca="false">BO19+0.1</f>
        <v>0.3</v>
      </c>
      <c r="BP20" s="233" t="e">
        <f aca="false">IF(AW20=0,NA(),IF(AS20=$AX$3,ROUND(DC20,0),NA()))</f>
        <v>#N/A</v>
      </c>
      <c r="BQ20" s="31" t="e">
        <f aca="false">IF(AW20=0,NA(),IF(AS20=$AX$4,ROUND(CC20,0),NA()))</f>
        <v>#N/A</v>
      </c>
      <c r="BR20" s="234" t="n">
        <f aca="false">+AW20</f>
        <v>0</v>
      </c>
      <c r="BS20" s="235" t="str">
        <f aca="false">IF(BR20=0,"", -0.00000000016128755327*CC20^6 + 0.00000006709386362421*CC20^5 - 0.0000106217678052217*CC20^4 + 0.00081068114193385*CC20^3 - 0.0314027378159951*CC20^2 + 0.649796593937842*CC20 + 13.7888866455022)</f>
        <v/>
      </c>
      <c r="BT20" s="235" t="str">
        <f aca="false">IF(BR20=0,"",-0.00000000014625939695*CC20^6 + 0.00000004971732060241*CC20^5 - 0.000006683744342031*CC20^4 + 0.0004563177378098*CC20^3 - 0.0171727530635803*CC20^2 + 0.444529932876435*CC20 + 15.6692518940565)</f>
        <v/>
      </c>
      <c r="BU20" s="236" t="str">
        <f aca="false">IF(BR20=0,"", -0.0000000008152265738*BR20^6 + 0.00000022764320256987*BR20^5 - 0.0000248205675927705*BR20^4 + 0.00133186623684865*BR20^3 - 0.0368442570441677*BR20^2 + 0.580111565569094*BR20 + 14.0417598296107)</f>
        <v/>
      </c>
      <c r="BV20" s="236" t="str">
        <f aca="false">IF(BR20=0,"", -0.00000000004321395721*BR20^6 + 0.00000002531844275498*BR20^5 - 0.00000369428022780862*BR20^4 + 0.00020283665900125*BR20^3 - 0.00462426256803268*BR20^2 + 0.139572935065453*BR20 + 15.4475338156923)</f>
        <v/>
      </c>
      <c r="BW20" s="236" t="str">
        <f aca="false">IF(BR20=0,"",-0.00000000033126390082*BR20^6 + 0.00000010463660614506*BR20^5 - 0.0000129629592998707*BR20^4 + 0.000803946335250767*BR20^3 - 0.0270257140395994*BR20^2 + 0.562590210721552*BR20+ 12.1254107606419)</f>
        <v/>
      </c>
      <c r="BX20" s="236" t="str">
        <f aca="false">IF(BR20=0,"",-0.00000000002593504955*BR20^6 + 0.00000002430495156704*BR20^5 - 0.00000386103271086364*BR20^4 + 0.000214416118986322*BR20^3 - 0.0047271462612021*BR20^2 + 0.156696175741135*BR20 + 15.4598891949502)</f>
        <v/>
      </c>
      <c r="BY20" s="234" t="str">
        <f aca="false">IF(BR20=0,"",$BS$2)</f>
        <v/>
      </c>
      <c r="BZ20" s="234" t="str">
        <f aca="false">IF(BR20=0,"",$BS$3)</f>
        <v/>
      </c>
      <c r="CA20" s="234" t="str">
        <f aca="false">IF(BR20=0,"",$BS$4)</f>
        <v/>
      </c>
      <c r="CB20" s="235" t="str">
        <f aca="false">IF(BR20=0,"",IF(AND(BO20&gt;=0,BO20&lt;4),0.75,IF(AND(BO20&gt;=4,BO20&lt;6),0.85,IF(AND(BO20&gt;=6,BO20&lt;=10),0.95,1))))</f>
        <v/>
      </c>
      <c r="CC20" s="234" t="str">
        <f aca="false">IF(BR20=0,"",BR20*BY20*BZ20*CA20*CB20/60)</f>
        <v/>
      </c>
      <c r="CD20" s="238" t="str">
        <f aca="false">IF(BR20=0,"",IF($S$12="NO","NO",IF($AD$12&lt;=BO20,"SI","NO")))</f>
        <v/>
      </c>
      <c r="CE20" s="235" t="n">
        <f aca="false">IF(BR20=0,0,AB20)</f>
        <v>0</v>
      </c>
      <c r="CF20" s="235" t="n">
        <f aca="false">IF(CE20&gt;0,BO20,0)</f>
        <v>0</v>
      </c>
      <c r="CG20" s="239" t="n">
        <f aca="false">IF(CF20=0,CF20+CG19,CF20)</f>
        <v>0</v>
      </c>
      <c r="CH20" s="239" t="n">
        <f aca="false">IF(CG20=CG19,CH19,ABS(CG20-CG19))</f>
        <v>0</v>
      </c>
      <c r="CI20" s="239" t="n">
        <f aca="false">+CE20*CH20</f>
        <v>0</v>
      </c>
      <c r="CJ20" s="239" t="n">
        <f aca="false">IF(CI20=0,CI20+CJ19,CI20)</f>
        <v>0</v>
      </c>
      <c r="CK20" s="239" t="n">
        <f aca="false">IF(CJ20=CJ19,CK19,ABS(CJ20+CK19))</f>
        <v>0</v>
      </c>
      <c r="CL20" s="241" t="n">
        <f aca="false">IF(CE20=0,0,CK20)</f>
        <v>0</v>
      </c>
      <c r="CM20" s="239" t="n">
        <f aca="false">IF(CE20=0,0,CH20*9.81)</f>
        <v>0</v>
      </c>
      <c r="CN20" s="239" t="n">
        <f aca="false">IF(CM20=0,CM20+CN19,CM20)</f>
        <v>0</v>
      </c>
      <c r="CO20" s="239" t="n">
        <f aca="false">IF(CN20=CN19,CO19,ABS(CN20+CO19))</f>
        <v>0</v>
      </c>
      <c r="CP20" s="241" t="n">
        <f aca="false">IF(CD20="NO",0,IF(CE20=0,0,CO20))</f>
        <v>0</v>
      </c>
      <c r="CQ20" s="244" t="str">
        <f aca="false">IF(BR20=0,"",CL20-CP20)</f>
        <v/>
      </c>
      <c r="CR20" s="244" t="str">
        <f aca="false">IF(BR20=0,"",CQ20/101.3)</f>
        <v/>
      </c>
      <c r="CS20" s="244" t="str">
        <f aca="false">IF(BR20=0,"",LOG(10/CR20))</f>
        <v/>
      </c>
      <c r="CT20" s="243" t="str">
        <f aca="false">IF(BR20=0,"",IF(SQRT(101.3/CQ20)&lt;=1.7,SQRT(101.3/CQ20),2.2/(1.2+(CQ20/101.3))))</f>
        <v/>
      </c>
      <c r="CU20" s="244" t="str">
        <f aca="false">IF(BR20=0,"",1.7/(0.7+CR20))</f>
        <v/>
      </c>
      <c r="CV20" s="244" t="str">
        <f aca="false">IF(BR20=0,"",IF(CR20&gt;=0.25,0.77*LOG(20/CR20),""))</f>
        <v/>
      </c>
      <c r="CW20" s="244" t="str">
        <f aca="false">IF(BR20=0,"",32.5/(10.2+20.3*CR20))</f>
        <v/>
      </c>
      <c r="CX20" s="244" t="str">
        <f aca="false">IF(BR20=0,"",1-1.25*LOG(CR20))</f>
        <v/>
      </c>
      <c r="CY20" s="244" t="str">
        <f aca="false">IF(BR20=0,"",IF(CR20&lt;1,1-1.41*LOG(CR20),1+0.92*LOG(CR20)))</f>
        <v/>
      </c>
      <c r="CZ20" s="244" t="str">
        <f aca="false">IF(BR20=0,"",2/(1+CR20))</f>
        <v/>
      </c>
      <c r="DA20" s="244" t="str">
        <f aca="false">IF(BR20=0,"",IF(CR20&lt;=0.75,4/(1+4*CR20),4/(3.25+CR20)))</f>
        <v/>
      </c>
      <c r="DB20" s="244" t="str">
        <f aca="false">IF(BR20=0,"",CT20)</f>
        <v/>
      </c>
      <c r="DC20" s="244" t="str">
        <f aca="false">IF(BR20=0,"",DB20*CC20)</f>
        <v/>
      </c>
      <c r="DD20" s="244"/>
      <c r="DE20" s="244" t="str">
        <f aca="false">IF(BR20=0,"",0.193*(CC20/(CQ20*0.001))^0.689)</f>
        <v/>
      </c>
      <c r="DF20" s="244" t="str">
        <f aca="false">IF(BR20=0,"",IF(AS20=$AX$4,(0.1348118*CC20 - 0.0383065)*98.0665,""))</f>
        <v/>
      </c>
      <c r="DG20" s="244" t="str">
        <f aca="false">IF(BR20=0,"",IF(AS20=$AX$4,DF20/2,""))</f>
        <v/>
      </c>
      <c r="DH20" s="244" t="str">
        <f aca="false">IF(BR20=0,"",IF(DC20&lt;=15,12*(DC20+6),40+12*(DC20-6)))</f>
        <v/>
      </c>
      <c r="DI20" s="244" t="str">
        <f aca="false">IF(BR20=0,"",IF(CD20="SI",5*(DC20+15),((3.3*(DC20+15))+(4*(DC20+12)))/2))</f>
        <v/>
      </c>
      <c r="DJ20" s="244" t="str">
        <f aca="false">IF(BR20=0,"",8*DC20)</f>
        <v/>
      </c>
      <c r="DK20" s="244" t="str">
        <f aca="false">IF(BR20=0,"",215+(10.6*DC20))</f>
        <v/>
      </c>
      <c r="DL20" s="244" t="str">
        <f aca="false">IF(BR20=0,"",10*(7.5+(0.5*DC20)))</f>
        <v/>
      </c>
      <c r="DM20" s="244" t="str">
        <f aca="false">IF(BR20=0,"",8*DC20)</f>
        <v/>
      </c>
      <c r="DN20" s="244" t="str">
        <f aca="false">IF(AW20=" "," ",IF(DC20=""," ",IF(DC20&lt;4,10*10.2,IF(DC20=4,12*10.2,IF(DC20&lt;10,17.5*10.5,IF(DC20=10,15*10.2,IF(DC20&lt;30,22.5*10.2,IF(DC20=30,35*10.2,IF(DC20&lt;50,40*10.2,IF(DC20=50,50*10.2,55*10.2))))))))))</f>
        <v> </v>
      </c>
      <c r="DO20" s="244" t="str">
        <f aca="false">IF(BR20=0,"",7*SQRT(DC20)*10.1972)</f>
        <v/>
      </c>
      <c r="DP20" s="244" t="str">
        <f aca="false">IF(BR20=0,"",IF(AS20=$AX$4,5*CC20,""))</f>
        <v/>
      </c>
      <c r="DQ20" s="244" t="str">
        <f aca="false">IF(AW20=" "," ",IF(DC20=""," ",IF(DC20&lt;2,4*10.2,IF(DC20=2,6*10.2,IF(DC20&lt;4,12*10.2,IF(DC20=4,20*10.2,IF(DC20&lt;8,30*10.2,IF(DC20=8,35*10.2,IF(DC20&lt;15,40*10.2,IF(DC20=15,42*10.2,IF(DC20&lt;30,45*10.2,IF(DC20=30,50*10.2,70*10.2))))))))))))</f>
        <v> </v>
      </c>
      <c r="DR20" s="244" t="str">
        <f aca="false">IF(BR20=0,"",IF(AS20=$AX$4,220*DP20*0.0101972,""))</f>
        <v/>
      </c>
      <c r="DS20" s="271" t="str">
        <f aca="false">IF(BR20=0,"",IF(AS20=$AX$7,(SUM(DH20:DO20)-MIN(DH20:DO20)-MAX(DH20:DO20))/6,(SUM(DO20:DR20)-MIN(DO20:DR20)-MAX(DO20:DR20))/2))</f>
        <v/>
      </c>
      <c r="DT20" s="244" t="str">
        <f aca="false">IF(AW20=" "," ",IF(DC20=""," ",IF(DC20&lt;4,0.2,IF(DC20=4,0.27,IF(DC20&lt;10,0.33,IF(DC20=10,0.35,IF(DC20&lt;30,0.36,IF(DC20=30,0.37,IF(DC20&lt;50,0.38,IF(DC20=50,0.4,0.45))))))))))</f>
        <v> </v>
      </c>
      <c r="DU20" s="272" t="str">
        <f aca="false">IF(AW20=" "," ",IF(CC20=""," ",IF(CC20&lt;2,0.2,IF(CC20=2,0.23,IF(CC20&lt;4,0.26,IF(CC20=4,0.29,IF(CC20&lt;8,0.32,IF(CC20=8,0.35,IF(CC20&lt;15,0.38,IF(CC20=15,0.41,IF(CC20&lt;30,0.44,IF(CC20=30,0.47,0.5))))))))))))</f>
        <v> </v>
      </c>
      <c r="DV20" s="244" t="str">
        <f aca="false">IF(BR20=0,"",IF(AS20=$AX$3,DT20,DU20))</f>
        <v/>
      </c>
      <c r="DW20" s="244" t="str">
        <f aca="false">IF(BR20=0,"",IF(DC20&gt;15,15+0.5*(DC20-15),DC20))</f>
        <v/>
      </c>
      <c r="DX20" s="244" t="str">
        <f aca="false">IF(BR20=0,"",IF($S$12="SI",IF(CD20="NO",IF($AD$12&gt;(BO20+1.5*$ED$15),1,0.5),0.5),1))</f>
        <v/>
      </c>
      <c r="DY20" s="244" t="str">
        <f aca="false">IF(BR20=0,"",IF(S4="SI",IF(CD20="NO",IF($AD$12&gt;(BO20+1.5*$EE$15),1,0.5))))</f>
        <v/>
      </c>
      <c r="DZ20" s="244" t="str">
        <f aca="false">IF(BR20=0,"",IF($S$12="SI",IF(CD20="NO",IF($AD$12&gt;(BO20+1.5*$EF$15),1,0.5),0.5),1))</f>
        <v/>
      </c>
      <c r="EA20" s="244" t="str">
        <f aca="false">IF(BR20=0,"",IF($S$12="SI",IF(CD20="NO",IF($AD$12&gt;(BO20+1.5*$ED$15),1,0.5),IF($AD$12=BO20,1,0.5)),1))</f>
        <v/>
      </c>
      <c r="EB20" s="244" t="str">
        <f aca="false">IF(BR20=0,"",IF($S$12="SI",IF(CD20="NO",IF($AD$12&gt;(BO20+1.5*$EE$15),1,0.5),IF($AD$12=BO20,1,0.5)),1))</f>
        <v/>
      </c>
      <c r="EC20" s="244" t="str">
        <f aca="false">IF(BR20=0,"",IF($S$12="SI",IF(CD20="NO",IF($AD$12&gt;(BO20+1.5*$EF$15),1,0.5),IF($AD$12=BO20,1,0.5)),1))</f>
        <v/>
      </c>
      <c r="ED20" s="244" t="str">
        <f aca="false">IF(BR20=0,"",(DW20*($ED$15/10)*(DX20+EA20*(BO20/$ED$15))*1)/3)</f>
        <v/>
      </c>
      <c r="EE20" s="244" t="str">
        <f aca="false">IF(BR20=0,"",(DW20*($EE$15/10)*(DY20+EB20*(BO20/$EE$15))*1)/3)</f>
        <v/>
      </c>
      <c r="EF20" s="244" t="str">
        <f aca="false">IF(BR20=0,"",(DW20*($EF$15/10)*(DZ20+EC20*(BO20/$EF$15))*1)/3)</f>
        <v/>
      </c>
      <c r="EG20" s="273" t="str">
        <f aca="false">IF(BR20=0,"",IF(CD20="SI",0.5,1))</f>
        <v/>
      </c>
      <c r="EH20" s="244" t="str">
        <f aca="false">IF(BR20=0,"",IF((1+0.33*(BO20/$ED$15))&lt;=1.33,(1+0.33*(BO20/$ED$15)),1.33))</f>
        <v/>
      </c>
      <c r="EI20" s="244" t="str">
        <f aca="false">IF(BR20=0,"",IF((1+0.33*(BO20/$EE$15))&lt;=1.33,(1+0.33*(BO20/$EE$15)),1.33))</f>
        <v/>
      </c>
      <c r="EJ20" s="244" t="str">
        <f aca="false">IF(BR20=0,"",IF((1+0.33*(BO20/$EF$15))&lt;=1.33,(1+0.33*(BO20/$EF$15)),1.33))</f>
        <v/>
      </c>
      <c r="EK20" s="244" t="str">
        <f aca="false">IF(BR20=0,"",IF($ED$15&lt;=1.2,((20*DC20*EG20*EH20)/3)*0.010197,((12.5*DC20*((($ED$15+0.3)^2)/$ED$15)*EG20*EH20)/3)*0.010197))</f>
        <v/>
      </c>
      <c r="EL20" s="244" t="str">
        <f aca="false">IF(BR20=0,"",IF($EE$15&lt;=1.2,((20*DC20*EG20*EI20)/3)*0.010197,((12.5*DC20*((($EE$15+0.3)^2)/$EE$15)*EG20*EI20)/3)*0.010197))</f>
        <v/>
      </c>
      <c r="EM20" s="244" t="str">
        <f aca="false">IF(BR20=0,"",IF($EF$15&lt;=1.2,((20*DC20*EG20*EJ20)/3)*0.010197,((12.5*DC20*((($EF$15+0.3)^2)/$EF$15)*EG20*EJ20)/3)*0.010197))</f>
        <v/>
      </c>
      <c r="EN20" s="248" t="str">
        <f aca="false">IF(BR20=0,"",SQRT(12*BR20)+25)</f>
        <v/>
      </c>
      <c r="EO20" s="248" t="str">
        <f aca="false">IF(BR20=0,"",28.5+0.25*BR20)</f>
        <v/>
      </c>
      <c r="EP20" s="248" t="str">
        <f aca="false">IF(BR20=0,"",SQRT(20*BR20)+15)</f>
        <v/>
      </c>
      <c r="EQ20" s="248" t="str">
        <f aca="false">IF(BR20=0,"",23.7+0.57*BR20-0.0006*BR20*BR20)</f>
        <v/>
      </c>
      <c r="ER20" s="248" t="str">
        <f aca="false">IF(BR20=0,"",15+SQRT(20*BR20))</f>
        <v/>
      </c>
      <c r="ES20" s="248" t="str">
        <f aca="false">IF(BR20=0,"",3.5*SQRT(BR20)+20)</f>
        <v/>
      </c>
      <c r="ET20" s="248" t="str">
        <f aca="false">IF(BR20=0,"",27.1+0.3*BR20-0.00054*BR20*BR20)</f>
        <v/>
      </c>
      <c r="EU20" s="248" t="str">
        <f aca="false">IF(BR20=0,"",SQRT(20*BR20)+20)</f>
        <v/>
      </c>
      <c r="EV20" s="248" t="str">
        <f aca="false">IF(BR20=0,"",12.79+SQRT(25.86*BR20))</f>
        <v/>
      </c>
      <c r="EW20" s="248" t="str">
        <f aca="false">IF(BR20=0,"",_xlfn.ACOT((CC20/(12.2+20.3*CR20))^0.34))</f>
        <v/>
      </c>
      <c r="EX20" s="248" t="str">
        <f aca="false">IF(BR20=0,"",24+(5.77*LN(0.17*BR20)))</f>
        <v/>
      </c>
      <c r="EY20" s="248" t="str">
        <f aca="false">IF(BR20=0,"",(SUM(EN20:EX20)-MIN(EN20:EX20)-MAX(EN20:EX20))/9)</f>
        <v/>
      </c>
      <c r="EZ20" s="248" t="str">
        <f aca="false">IF(BR20=0,"", -0.0000000034*BR20^6 + 0.0000008305*BR20^5 - 0.0000741842*BR20^4 + 0.0030204278*BR20^3 - 0.0541594733*BR20^2 + 0.8083147848*BR20 - 0.6182191243)</f>
        <v/>
      </c>
      <c r="FA20" s="249" t="str">
        <f aca="false">IF(BR20=0,"",(0.134811827956989*BR20 - 0.0383064516129019)/2)</f>
        <v/>
      </c>
      <c r="FB20" s="249" t="str">
        <f aca="false">IF(BR20=0,"",BR20*0.065)</f>
        <v/>
      </c>
      <c r="FC20" s="249" t="str">
        <f aca="false">IF(BR20=0,"",(BR20*0.12*0.48)*SQRT((1+SIN(EZ20*((2*PI())/360))/(1-SIN(EZ20*((2*PI())/360))))))</f>
        <v/>
      </c>
      <c r="FD20" s="249" t="str">
        <f aca="false">IF(BR20=0,"",(BR20/8)/2)</f>
        <v/>
      </c>
      <c r="FE20" s="249" t="str">
        <f aca="false">IF(BR20=0,"",(SUM(FA20:FD20)-MIN(FA20:FD20)-MAX(FA20:FD20))/2)</f>
        <v/>
      </c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</row>
    <row r="21" customFormat="false" ht="9.75" hidden="false" customHeight="true" outlineLevel="0" collapsed="false">
      <c r="A21" s="197" t="n">
        <f aca="false">ROUND(A20+0.1,1)</f>
        <v>0.4</v>
      </c>
      <c r="B21" s="250" t="n">
        <f aca="false">+A21</f>
        <v>0.4</v>
      </c>
      <c r="C21" s="251"/>
      <c r="D21" s="251"/>
      <c r="E21" s="274"/>
      <c r="F21" s="253"/>
      <c r="G21" s="254"/>
      <c r="H21" s="255"/>
      <c r="I21" s="256"/>
      <c r="J21" s="257"/>
      <c r="K21" s="258"/>
      <c r="L21" s="259"/>
      <c r="M21" s="207"/>
      <c r="N21" s="208"/>
      <c r="O21" s="208"/>
      <c r="P21" s="208"/>
      <c r="Q21" s="260"/>
      <c r="R21" s="210"/>
      <c r="S21" s="210"/>
      <c r="T21" s="261"/>
      <c r="U21" s="261"/>
      <c r="V21" s="262"/>
      <c r="W21" s="262"/>
      <c r="X21" s="262"/>
      <c r="Y21" s="262"/>
      <c r="Z21" s="262"/>
      <c r="AA21" s="262"/>
      <c r="AB21" s="263"/>
      <c r="AC21" s="264"/>
      <c r="AD21" s="265"/>
      <c r="AE21" s="264"/>
      <c r="AF21" s="266"/>
      <c r="AG21" s="267"/>
      <c r="AH21" s="267"/>
      <c r="AI21" s="241"/>
      <c r="AJ21" s="241"/>
      <c r="AK21" s="266"/>
      <c r="AL21" s="266"/>
      <c r="AM21" s="268"/>
      <c r="AN21" s="250" t="n">
        <f aca="false">+AN19+0.2</f>
        <v>0.4</v>
      </c>
      <c r="AO21" s="251"/>
      <c r="AP21" s="251"/>
      <c r="AQ21" s="274"/>
      <c r="AR21" s="253"/>
      <c r="AS21" s="269" t="s">
        <v>13</v>
      </c>
      <c r="AT21" s="221"/>
      <c r="AU21" s="269"/>
      <c r="AV21" s="269"/>
      <c r="AW21" s="270" t="n">
        <f aca="false">+K21+L21</f>
        <v>0</v>
      </c>
      <c r="AX21" s="270" t="str">
        <f aca="false">IF(AS21="&gt;50","CONSISTENCIA",IF(AS21="&lt;50","COMPACIDAD"," "))</f>
        <v>COMPACIDAD</v>
      </c>
      <c r="AY21" s="225" t="str">
        <f aca="false">IF(AS21="&gt;50",AZ21,IF(AS21="&lt;50",BA21," "))</f>
        <v> </v>
      </c>
      <c r="AZ21" s="224" t="str">
        <f aca="false">IF(AW21=" "," ",IF(CC21=""," ",IF(CC21&lt;2,"MUY BLANDA",IF(CC21=2,"MUY BLANDA A BLANDA",IF(CC21&lt;4,"BLANDA",IF(CC21=4,"BLANDA A MEDIA",IF(CC21&lt;8,"MEDIA",IF(CC21=8,"MEDIA A FIRME",IF(CC21&lt;15,"FIRME",IF(CC21=15,"FIRME A MUY FIRME",IF(CC21&lt;30,"MUY FIRME",IF(CC21=30,"MUY FIRME A DURA","DURA"))))))))))))</f>
        <v> </v>
      </c>
      <c r="BA21" s="225" t="str">
        <f aca="false">IF(AW21=" "," ",IF(DC21=""," ",IF(DC21&lt;4,"MUY SUELTA",IF(DC21=4,"MUY SUELTA A SUELTA",IF(DC21&lt;10,"SUELTA",IF(DC21=10,"SUELTA A MEDIA",IF(DC21&lt;30,"MEDIA",IF(DC21=30,"MEDIA A DENSO",IF(DC21&lt;50,"DENSO",IF(DC21=50,"DENSO MUY DENSO","MUY DENSO"))))))))))</f>
        <v> </v>
      </c>
      <c r="BB21" s="226" t="str">
        <f aca="false">IF(BR22=0,"",CQ22*0.0101972)</f>
        <v/>
      </c>
      <c r="BC21" s="227" t="n">
        <f aca="false">+BC20+0.1</f>
        <v>0.4</v>
      </c>
      <c r="BD21" s="227" t="str">
        <f aca="false">IF(BC21&lt;=$AN$10,BC21,"")</f>
        <v/>
      </c>
      <c r="BE21" s="228" t="n">
        <f aca="false">ISNUMBER(BD21)</f>
        <v>0</v>
      </c>
      <c r="BF21" s="229" t="str">
        <f aca="false">MID(M21,1,1)</f>
        <v/>
      </c>
      <c r="BG21" s="230" t="str">
        <f aca="false">IF(BF21="S","",IF(BF21="G","",MID(M21,2,1)))</f>
        <v/>
      </c>
      <c r="BH21" s="231" t="str">
        <f aca="false">CONCATENATE(BF21,BG21)</f>
        <v/>
      </c>
      <c r="BI21" s="6" t="str">
        <f aca="false">IF(BE21=FALSE(),"",IF(BH21="",BI20,BH21))</f>
        <v/>
      </c>
      <c r="BJ21" s="74" t="str">
        <f aca="false">IF(OR(BI21="S",BI21="G"),BI21,"X")</f>
        <v>X</v>
      </c>
      <c r="BK21" s="74" t="s">
        <v>181</v>
      </c>
      <c r="BL21" s="232" t="e">
        <f aca="false">INDEX(sim_0,MATCH($BJ$21,granular,0))</f>
        <v>#NAME?</v>
      </c>
      <c r="BM21" s="232"/>
      <c r="BN21" s="6"/>
      <c r="BO21" s="191" t="n">
        <f aca="false">BO20+0.1</f>
        <v>0.4</v>
      </c>
      <c r="BP21" s="233" t="e">
        <f aca="false">IF(AW21=0,NA(),IF(AS21=$AX$3,ROUND(DC21,0),NA()))</f>
        <v>#N/A</v>
      </c>
      <c r="BQ21" s="31" t="e">
        <f aca="false">IF(AW21=0,NA(),IF(AS21=$AX$4,ROUND(CC21,0),NA()))</f>
        <v>#N/A</v>
      </c>
      <c r="BR21" s="234" t="n">
        <f aca="false">+AW21</f>
        <v>0</v>
      </c>
      <c r="BS21" s="235" t="str">
        <f aca="false">IF(BR21=0,"", -0.00000000016128755327*CC21^6 + 0.00000006709386362421*CC21^5 - 0.0000106217678052217*CC21^4 + 0.00081068114193385*CC21^3 - 0.0314027378159951*CC21^2 + 0.649796593937842*CC21 + 13.7888866455022)</f>
        <v/>
      </c>
      <c r="BT21" s="235" t="str">
        <f aca="false">IF(BR21=0,"",-0.00000000014625939695*CC21^6 + 0.00000004971732060241*CC21^5 - 0.000006683744342031*CC21^4 + 0.0004563177378098*CC21^3 - 0.0171727530635803*CC21^2 + 0.444529932876435*CC21 + 15.6692518940565)</f>
        <v/>
      </c>
      <c r="BU21" s="236" t="str">
        <f aca="false">IF(BR21=0,"", -0.0000000008152265738*BR21^6 + 0.00000022764320256987*BR21^5 - 0.0000248205675927705*BR21^4 + 0.00133186623684865*BR21^3 - 0.0368442570441677*BR21^2 + 0.580111565569094*BR21 + 14.0417598296107)</f>
        <v/>
      </c>
      <c r="BV21" s="236" t="str">
        <f aca="false">IF(BR21=0,"", -0.00000000004321395721*BR21^6 + 0.00000002531844275498*BR21^5 - 0.00000369428022780862*BR21^4 + 0.00020283665900125*BR21^3 - 0.00462426256803268*BR21^2 + 0.139572935065453*BR21 + 15.4475338156923)</f>
        <v/>
      </c>
      <c r="BW21" s="236" t="str">
        <f aca="false">IF(BR21=0,"",-0.00000000033126390082*BR21^6 + 0.00000010463660614506*BR21^5 - 0.0000129629592998707*BR21^4 + 0.000803946335250767*BR21^3 - 0.0270257140395994*BR21^2 + 0.562590210721552*BR21+ 12.1254107606419)</f>
        <v/>
      </c>
      <c r="BX21" s="236" t="str">
        <f aca="false">IF(BR21=0,"",-0.00000000002593504955*BR21^6 + 0.00000002430495156704*BR21^5 - 0.00000386103271086364*BR21^4 + 0.000214416118986322*BR21^3 - 0.0047271462612021*BR21^2 + 0.156696175741135*BR21 + 15.4598891949502)</f>
        <v/>
      </c>
      <c r="BY21" s="234" t="str">
        <f aca="false">IF(BR21=0,"",$BS$2)</f>
        <v/>
      </c>
      <c r="BZ21" s="234" t="str">
        <f aca="false">IF(BR21=0,"",$BS$3)</f>
        <v/>
      </c>
      <c r="CA21" s="234" t="str">
        <f aca="false">IF(BR21=0,"",$BS$4)</f>
        <v/>
      </c>
      <c r="CB21" s="235" t="str">
        <f aca="false">IF(BR21=0,"",IF(AND(BO21&gt;=0,BO21&lt;4),0.75,IF(AND(BO21&gt;=4,BO21&lt;6),0.85,IF(AND(BO21&gt;=6,BO21&lt;=10),0.95,1))))</f>
        <v/>
      </c>
      <c r="CC21" s="234" t="str">
        <f aca="false">IF(BR21=0,"",BR21*BY21*BZ21*CA21*CB21/60)</f>
        <v/>
      </c>
      <c r="CD21" s="238" t="str">
        <f aca="false">IF(BR21=0,"",IF($S$12="NO","NO",IF($AD$12&lt;=BO21,"SI","NO")))</f>
        <v/>
      </c>
      <c r="CE21" s="235" t="n">
        <f aca="false">IF(BR21=0,0,AB21)</f>
        <v>0</v>
      </c>
      <c r="CF21" s="235" t="n">
        <f aca="false">IF(CE21&gt;0,BO21,0)</f>
        <v>0</v>
      </c>
      <c r="CG21" s="239" t="n">
        <f aca="false">IF(CF21=0,CF21+CG20,CF21)</f>
        <v>0</v>
      </c>
      <c r="CH21" s="239" t="n">
        <f aca="false">IF(CG21=CG20,CH20,ABS(CG21-CG20))</f>
        <v>0</v>
      </c>
      <c r="CI21" s="239" t="n">
        <f aca="false">+CE21*CH21</f>
        <v>0</v>
      </c>
      <c r="CJ21" s="239" t="n">
        <f aca="false">IF(CI21=0,CI21+CJ20,CI21)</f>
        <v>0</v>
      </c>
      <c r="CK21" s="239" t="n">
        <f aca="false">IF(CJ21=CJ20,CK20,ABS(CJ21+CK20))</f>
        <v>0</v>
      </c>
      <c r="CL21" s="241" t="n">
        <f aca="false">IF(CE21=0,0,CK21)</f>
        <v>0</v>
      </c>
      <c r="CM21" s="239" t="n">
        <f aca="false">IF(CE21=0,0,CH21*9.81)</f>
        <v>0</v>
      </c>
      <c r="CN21" s="239" t="n">
        <f aca="false">IF(CM21=0,CM21+CN20,CM21)</f>
        <v>0</v>
      </c>
      <c r="CO21" s="239" t="n">
        <f aca="false">IF(CN21=CN20,CO20,ABS(CN21+CO20))</f>
        <v>0</v>
      </c>
      <c r="CP21" s="241" t="n">
        <f aca="false">IF(CD21="NO",0,IF(CE21=0,0,CO21))</f>
        <v>0</v>
      </c>
      <c r="CQ21" s="244" t="str">
        <f aca="false">IF(BR21=0,"",CL21-CP21)</f>
        <v/>
      </c>
      <c r="CR21" s="244" t="str">
        <f aca="false">IF(BR21=0,"",CQ21/101.3)</f>
        <v/>
      </c>
      <c r="CS21" s="244" t="str">
        <f aca="false">IF(BR21=0,"",LOG(10/CR21))</f>
        <v/>
      </c>
      <c r="CT21" s="243" t="str">
        <f aca="false">IF(BR21=0,"",IF(SQRT(101.3/CQ21)&lt;=1.7,SQRT(101.3/CQ21),2.2/(1.2+(CQ21/101.3))))</f>
        <v/>
      </c>
      <c r="CU21" s="244" t="str">
        <f aca="false">IF(BR21=0,"",1.7/(0.7+CR21))</f>
        <v/>
      </c>
      <c r="CV21" s="244" t="str">
        <f aca="false">IF(BR21=0,"",IF(CR21&gt;=0.25,0.77*LOG(20/CR21),""))</f>
        <v/>
      </c>
      <c r="CW21" s="244" t="str">
        <f aca="false">IF(BR21=0,"",32.5/(10.2+20.3*CR21))</f>
        <v/>
      </c>
      <c r="CX21" s="244" t="str">
        <f aca="false">IF(BR21=0,"",1-1.25*LOG(CR21))</f>
        <v/>
      </c>
      <c r="CY21" s="244" t="str">
        <f aca="false">IF(BR21=0,"",IF(CR21&lt;1,1-1.41*LOG(CR21),1+0.92*LOG(CR21)))</f>
        <v/>
      </c>
      <c r="CZ21" s="244" t="str">
        <f aca="false">IF(BR21=0,"",2/(1+CR21))</f>
        <v/>
      </c>
      <c r="DA21" s="244" t="str">
        <f aca="false">IF(BR21=0,"",IF(CR21&lt;=0.75,4/(1+4*CR21),4/(3.25+CR21)))</f>
        <v/>
      </c>
      <c r="DB21" s="244" t="str">
        <f aca="false">IF(BR21=0,"",CT21)</f>
        <v/>
      </c>
      <c r="DC21" s="244" t="str">
        <f aca="false">IF(BR21=0,"",DB21*CC21)</f>
        <v/>
      </c>
      <c r="DD21" s="244"/>
      <c r="DE21" s="244" t="str">
        <f aca="false">IF(BR21=0,"",0.193*(CC21/(CQ21*0.001))^0.689)</f>
        <v/>
      </c>
      <c r="DF21" s="244" t="str">
        <f aca="false">IF(BR21=0,"",IF(AS21=$AX$4,(0.1348118*CC21 - 0.0383065)*98.0665,""))</f>
        <v/>
      </c>
      <c r="DG21" s="244" t="str">
        <f aca="false">IF(BR21=0,"",IF(AS21=$AX$4,DF21/2,""))</f>
        <v/>
      </c>
      <c r="DH21" s="244" t="str">
        <f aca="false">IF(BR21=0,"",IF(DC21&lt;=15,12*(DC21+6),40+12*(DC21-6)))</f>
        <v/>
      </c>
      <c r="DI21" s="244" t="str">
        <f aca="false">IF(BR21=0,"",IF(CD21="SI",5*(DC21+15),((3.3*(DC21+15))+(4*(DC21+12)))/2))</f>
        <v/>
      </c>
      <c r="DJ21" s="244" t="str">
        <f aca="false">IF(BR21=0,"",8*DC21)</f>
        <v/>
      </c>
      <c r="DK21" s="244" t="str">
        <f aca="false">IF(BR21=0,"",215+(10.6*DC21))</f>
        <v/>
      </c>
      <c r="DL21" s="244" t="str">
        <f aca="false">IF(BR21=0,"",10*(7.5+(0.5*DC21)))</f>
        <v/>
      </c>
      <c r="DM21" s="244" t="str">
        <f aca="false">IF(BR21=0,"",8*DC21)</f>
        <v/>
      </c>
      <c r="DN21" s="244" t="str">
        <f aca="false">IF(AW21=" "," ",IF(DC21=""," ",IF(DC21&lt;4,10*10.2,IF(DC21=4,12*10.2,IF(DC21&lt;10,17.5*10.5,IF(DC21=10,15*10.2,IF(DC21&lt;30,22.5*10.2,IF(DC21=30,35*10.2,IF(DC21&lt;50,40*10.2,IF(DC21=50,50*10.2,55*10.2))))))))))</f>
        <v> </v>
      </c>
      <c r="DO21" s="244" t="str">
        <f aca="false">IF(BR21=0,"",7*SQRT(DC21)*10.1972)</f>
        <v/>
      </c>
      <c r="DP21" s="244" t="str">
        <f aca="false">IF(BR21=0,"",IF(AS21=$AX$4,5*CC21,""))</f>
        <v/>
      </c>
      <c r="DQ21" s="244" t="str">
        <f aca="false">IF(AW21=" "," ",IF(DC21=""," ",IF(DC21&lt;2,4*10.2,IF(DC21=2,6*10.2,IF(DC21&lt;4,12*10.2,IF(DC21=4,20*10.2,IF(DC21&lt;8,30*10.2,IF(DC21=8,35*10.2,IF(DC21&lt;15,40*10.2,IF(DC21=15,42*10.2,IF(DC21&lt;30,45*10.2,IF(DC21=30,50*10.2,70*10.2))))))))))))</f>
        <v> </v>
      </c>
      <c r="DR21" s="244" t="str">
        <f aca="false">IF(BR21=0,"",IF(AS21=$AX$4,220*DP21*0.0101972,""))</f>
        <v/>
      </c>
      <c r="DS21" s="271" t="str">
        <f aca="false">IF(BR21=0,"",IF(AS21=$AX$7,(SUM(DH21:DO21)-MIN(DH21:DO21)-MAX(DH21:DO21))/6,(SUM(DO21:DR21)-MIN(DO21:DR21)-MAX(DO21:DR21))/2))</f>
        <v/>
      </c>
      <c r="DT21" s="244" t="str">
        <f aca="false">IF(AW21=" "," ",IF(DC21=""," ",IF(DC21&lt;4,0.2,IF(DC21=4,0.27,IF(DC21&lt;10,0.33,IF(DC21=10,0.35,IF(DC21&lt;30,0.36,IF(DC21=30,0.37,IF(DC21&lt;50,0.38,IF(DC21=50,0.4,0.45))))))))))</f>
        <v> </v>
      </c>
      <c r="DU21" s="272" t="str">
        <f aca="false">IF(AW21=" "," ",IF(CC21=""," ",IF(CC21&lt;2,0.2,IF(CC21=2,0.23,IF(CC21&lt;4,0.26,IF(CC21=4,0.29,IF(CC21&lt;8,0.32,IF(CC21=8,0.35,IF(CC21&lt;15,0.38,IF(CC21=15,0.41,IF(CC21&lt;30,0.44,IF(CC21=30,0.47,0.5))))))))))))</f>
        <v> </v>
      </c>
      <c r="DV21" s="244" t="str">
        <f aca="false">IF(BR21=0,"",IF(AS21=$AX$3,DT21,DU21))</f>
        <v/>
      </c>
      <c r="DW21" s="244" t="str">
        <f aca="false">IF(BR21=0,"",IF(DC21&gt;15,15+0.5*(DC21-15),DC21))</f>
        <v/>
      </c>
      <c r="DX21" s="244" t="str">
        <f aca="false">IF(BR21=0,"",IF($S$12="SI",IF(CD21="NO",IF($AD$12&gt;(BO21+1.5*$ED$15),1,0.5),0.5),1))</f>
        <v/>
      </c>
      <c r="DY21" s="244" t="str">
        <f aca="false">IF(BR21=0,"",IF(S5="SI",IF(CD21="NO",IF($AD$12&gt;(BO21+1.5*$EE$15),1,0.5))))</f>
        <v/>
      </c>
      <c r="DZ21" s="244" t="str">
        <f aca="false">IF(BR21=0,"",IF($S$12="SI",IF(CD21="NO",IF($AD$12&gt;(BO21+1.5*$EF$15),1,0.5),0.5),1))</f>
        <v/>
      </c>
      <c r="EA21" s="244" t="str">
        <f aca="false">IF(BR21=0,"",IF($S$12="SI",IF(CD21="NO",IF($AD$12&gt;(BO21+1.5*$ED$15),1,0.5),IF($AD$12=BO21,1,0.5)),1))</f>
        <v/>
      </c>
      <c r="EB21" s="244" t="str">
        <f aca="false">IF(BR21=0,"",IF($S$12="SI",IF(CD21="NO",IF($AD$12&gt;(BO21+1.5*$EE$15),1,0.5),IF($AD$12=BO21,1,0.5)),1))</f>
        <v/>
      </c>
      <c r="EC21" s="244" t="str">
        <f aca="false">IF(BR21=0,"",IF($S$12="SI",IF(CD21="NO",IF($AD$12&gt;(BO21+1.5*$EF$15),1,0.5),IF($AD$12=BO21,1,0.5)),1))</f>
        <v/>
      </c>
      <c r="ED21" s="244" t="str">
        <f aca="false">IF(BR21=0,"",(DW21*($ED$15/10)*(DX21+EA21*(BO21/$ED$15))*1)/3)</f>
        <v/>
      </c>
      <c r="EE21" s="244" t="str">
        <f aca="false">IF(BR21=0,"",(DW21*($EE$15/10)*(DY21+EB21*(BO21/$EE$15))*1)/3)</f>
        <v/>
      </c>
      <c r="EF21" s="244" t="str">
        <f aca="false">IF(BR21=0,"",(DW21*($EF$15/10)*(DZ21+EC21*(BO21/$EF$15))*1)/3)</f>
        <v/>
      </c>
      <c r="EG21" s="273" t="str">
        <f aca="false">IF(BR21=0,"",IF(CD21="SI",0.5,1))</f>
        <v/>
      </c>
      <c r="EH21" s="244" t="str">
        <f aca="false">IF(BR21=0,"",IF((1+0.33*(BO21/$ED$15))&lt;=1.33,(1+0.33*(BO21/$ED$15)),1.33))</f>
        <v/>
      </c>
      <c r="EI21" s="244" t="str">
        <f aca="false">IF(BR21=0,"",IF((1+0.33*(BO21/$EE$15))&lt;=1.33,(1+0.33*(BO21/$EE$15)),1.33))</f>
        <v/>
      </c>
      <c r="EJ21" s="244" t="str">
        <f aca="false">IF(BR21=0,"",IF((1+0.33*(BO21/$EF$15))&lt;=1.33,(1+0.33*(BO21/$EF$15)),1.33))</f>
        <v/>
      </c>
      <c r="EK21" s="244" t="str">
        <f aca="false">IF(BR21=0,"",IF($ED$15&lt;=1.2,((20*DC21*EG21*EH21)/3)*0.010197,((12.5*DC21*((($ED$15+0.3)^2)/$ED$15)*EG21*EH21)/3)*0.010197))</f>
        <v/>
      </c>
      <c r="EL21" s="244" t="str">
        <f aca="false">IF(BR21=0,"",IF($EE$15&lt;=1.2,((20*DC21*EG21*EI21)/3)*0.010197,((12.5*DC21*((($EE$15+0.3)^2)/$EE$15)*EG21*EI21)/3)*0.010197))</f>
        <v/>
      </c>
      <c r="EM21" s="244" t="str">
        <f aca="false">IF(BR21=0,"",IF($EF$15&lt;=1.2,((20*DC21*EG21*EJ21)/3)*0.010197,((12.5*DC21*((($EF$15+0.3)^2)/$EF$15)*EG21*EJ21)/3)*0.010197))</f>
        <v/>
      </c>
      <c r="EN21" s="248" t="str">
        <f aca="false">IF(BR21=0,"",SQRT(12*BR21)+25)</f>
        <v/>
      </c>
      <c r="EO21" s="248" t="str">
        <f aca="false">IF(BR21=0,"",28.5+0.25*BR21)</f>
        <v/>
      </c>
      <c r="EP21" s="248" t="str">
        <f aca="false">IF(BR21=0,"",SQRT(20*BR21)+15)</f>
        <v/>
      </c>
      <c r="EQ21" s="248" t="str">
        <f aca="false">IF(BR21=0,"",23.7+0.57*BR21-0.0006*BR21*BR21)</f>
        <v/>
      </c>
      <c r="ER21" s="248" t="str">
        <f aca="false">IF(BR21=0,"",15+SQRT(20*BR21))</f>
        <v/>
      </c>
      <c r="ES21" s="248" t="str">
        <f aca="false">IF(BR21=0,"",3.5*SQRT(BR21)+20)</f>
        <v/>
      </c>
      <c r="ET21" s="248" t="str">
        <f aca="false">IF(BR21=0,"",27.1+0.3*BR21-0.00054*BR21*BR21)</f>
        <v/>
      </c>
      <c r="EU21" s="248" t="str">
        <f aca="false">IF(BR21=0,"",SQRT(20*BR21)+20)</f>
        <v/>
      </c>
      <c r="EV21" s="248" t="str">
        <f aca="false">IF(BR21=0,"",12.79+SQRT(25.86*BR21))</f>
        <v/>
      </c>
      <c r="EW21" s="248" t="str">
        <f aca="false">IF(BR21=0,"",_xlfn.ACOT((CC21/(12.2+20.3*CR21))^0.34))</f>
        <v/>
      </c>
      <c r="EX21" s="248" t="str">
        <f aca="false">IF(BR21=0,"",24+(5.77*LN(0.17*BR21)))</f>
        <v/>
      </c>
      <c r="EY21" s="248" t="str">
        <f aca="false">IF(BR21=0,"",(SUM(EN21:EX21)-MIN(EN21:EX21)-MAX(EN21:EX21))/9)</f>
        <v/>
      </c>
      <c r="EZ21" s="248" t="str">
        <f aca="false">IF(BR21=0,"", -0.0000000034*BR21^6 + 0.0000008305*BR21^5 - 0.0000741842*BR21^4 + 0.0030204278*BR21^3 - 0.0541594733*BR21^2 + 0.8083147848*BR21 - 0.6182191243)</f>
        <v/>
      </c>
      <c r="FA21" s="249" t="str">
        <f aca="false">IF(BR21=0,"",(0.134811827956989*BR21 - 0.0383064516129019)/2)</f>
        <v/>
      </c>
      <c r="FB21" s="249" t="str">
        <f aca="false">IF(BR21=0,"",BR21*0.065)</f>
        <v/>
      </c>
      <c r="FC21" s="249" t="str">
        <f aca="false">IF(BR21=0,"",(BR21*0.12*0.48)*SQRT((1+SIN(EZ21*((2*PI())/360))/(1-SIN(EZ21*((2*PI())/360))))))</f>
        <v/>
      </c>
      <c r="FD21" s="249" t="str">
        <f aca="false">IF(BR21=0,"",(BR21/8)/2)</f>
        <v/>
      </c>
      <c r="FE21" s="249" t="str">
        <f aca="false">IF(BR21=0,"",(SUM(FA21:FD21)-MIN(FA21:FD21)-MAX(FA21:FD21))/2)</f>
        <v/>
      </c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</row>
    <row r="22" customFormat="false" ht="9.75" hidden="false" customHeight="true" outlineLevel="0" collapsed="false">
      <c r="A22" s="197" t="n">
        <f aca="false">ROUND(A21+0.1,1)</f>
        <v>0.5</v>
      </c>
      <c r="B22" s="250"/>
      <c r="C22" s="251"/>
      <c r="D22" s="251"/>
      <c r="E22" s="199"/>
      <c r="F22" s="200"/>
      <c r="G22" s="254"/>
      <c r="H22" s="255"/>
      <c r="I22" s="256"/>
      <c r="J22" s="257"/>
      <c r="K22" s="258"/>
      <c r="L22" s="259"/>
      <c r="M22" s="207"/>
      <c r="N22" s="208"/>
      <c r="O22" s="208"/>
      <c r="P22" s="208"/>
      <c r="Q22" s="260"/>
      <c r="R22" s="210"/>
      <c r="S22" s="210"/>
      <c r="T22" s="261"/>
      <c r="U22" s="261"/>
      <c r="V22" s="262"/>
      <c r="W22" s="262"/>
      <c r="X22" s="262"/>
      <c r="Y22" s="262"/>
      <c r="Z22" s="262"/>
      <c r="AA22" s="262"/>
      <c r="AB22" s="263"/>
      <c r="AC22" s="264"/>
      <c r="AD22" s="265"/>
      <c r="AE22" s="264"/>
      <c r="AF22" s="266"/>
      <c r="AG22" s="267"/>
      <c r="AH22" s="267"/>
      <c r="AI22" s="241"/>
      <c r="AJ22" s="241"/>
      <c r="AK22" s="266"/>
      <c r="AL22" s="266"/>
      <c r="AM22" s="268"/>
      <c r="AN22" s="250"/>
      <c r="AO22" s="251"/>
      <c r="AP22" s="251"/>
      <c r="AQ22" s="199"/>
      <c r="AR22" s="200"/>
      <c r="AS22" s="269" t="s">
        <v>13</v>
      </c>
      <c r="AT22" s="221"/>
      <c r="AU22" s="269"/>
      <c r="AV22" s="269"/>
      <c r="AW22" s="270" t="n">
        <f aca="false">+K22+L22</f>
        <v>0</v>
      </c>
      <c r="AX22" s="270" t="str">
        <f aca="false">IF(AS22="&gt;50","CONSISTENCIA",IF(AS22="&lt;50","COMPACIDAD"," "))</f>
        <v>COMPACIDAD</v>
      </c>
      <c r="AY22" s="225" t="str">
        <f aca="false">IF(AS22="&gt;50",AZ22,IF(AS22="&lt;50",BA22," "))</f>
        <v> </v>
      </c>
      <c r="AZ22" s="224" t="str">
        <f aca="false">IF(AW22=" "," ",IF(CC22=""," ",IF(CC22&lt;2,"MUY BLANDA",IF(CC22=2,"MUY BLANDA A BLANDA",IF(CC22&lt;4,"BLANDA",IF(CC22=4,"BLANDA A MEDIA",IF(CC22&lt;8,"MEDIA",IF(CC22=8,"MEDIA A FIRME",IF(CC22&lt;15,"FIRME",IF(CC22=15,"FIRME A MUY FIRME",IF(CC22&lt;30,"MUY FIRME",IF(CC22=30,"MUY FIRME A DURA","DURA"))))))))))))</f>
        <v> </v>
      </c>
      <c r="BA22" s="225" t="str">
        <f aca="false">IF(AW22=" "," ",IF(DC22=""," ",IF(DC22&lt;4,"MUY SUELTA",IF(DC22=4,"MUY SUELTA A SUELTA",IF(DC22&lt;10,"SUELTA",IF(DC22=10,"SUELTA A MEDIA",IF(DC22&lt;30,"MEDIA",IF(DC22=30,"MEDIA A DENSO",IF(DC22&lt;50,"DENSO",IF(DC22=50,"DENSO MUY DENSO","MUY DENSO"))))))))))</f>
        <v> </v>
      </c>
      <c r="BB22" s="226" t="str">
        <f aca="false">IF(BR23=0,"",CQ23*0.0101972)</f>
        <v/>
      </c>
      <c r="BC22" s="227" t="n">
        <f aca="false">+BC21+0.1</f>
        <v>0.5</v>
      </c>
      <c r="BD22" s="227" t="str">
        <f aca="false">IF(BC22&lt;=$AN$10,BC22,"")</f>
        <v/>
      </c>
      <c r="BE22" s="228" t="n">
        <f aca="false">ISNUMBER(BD22)</f>
        <v>0</v>
      </c>
      <c r="BF22" s="229" t="str">
        <f aca="false">MID(M22,1,1)</f>
        <v/>
      </c>
      <c r="BG22" s="230" t="str">
        <f aca="false">IF(BF22="S","",IF(BF22="G","",MID(M22,2,1)))</f>
        <v/>
      </c>
      <c r="BH22" s="231" t="str">
        <f aca="false">CONCATENATE(BF22,BG22)</f>
        <v/>
      </c>
      <c r="BI22" s="6" t="str">
        <f aca="false">IF(BE22=FALSE(),"",IF(BH22="",BI21,BH22))</f>
        <v/>
      </c>
      <c r="BJ22" s="74" t="str">
        <f aca="false">IF(OR(BI22="S",BI22="G"),BI22,"X")</f>
        <v>X</v>
      </c>
      <c r="BK22" s="74" t="s">
        <v>182</v>
      </c>
      <c r="BL22" s="232" t="e">
        <f aca="false">INDEX(sim_0,MATCH($BJ$22,granular,0))</f>
        <v>#NAME?</v>
      </c>
      <c r="BM22" s="232"/>
      <c r="BN22" s="6"/>
      <c r="BO22" s="191" t="n">
        <f aca="false">BO21+0.1</f>
        <v>0.5</v>
      </c>
      <c r="BP22" s="233" t="e">
        <f aca="false">IF(AW22=0,NA(),IF(AS22=$AX$3,ROUND(DC22,0),NA()))</f>
        <v>#N/A</v>
      </c>
      <c r="BQ22" s="31" t="e">
        <f aca="false">IF(AW22=0,NA(),IF(AS22=$AX$4,ROUND(CC22,0),NA()))</f>
        <v>#N/A</v>
      </c>
      <c r="BR22" s="234" t="n">
        <f aca="false">+AW22</f>
        <v>0</v>
      </c>
      <c r="BS22" s="235" t="str">
        <f aca="false">IF(BR22=0,"", -0.00000000016128755327*CC22^6 + 0.00000006709386362421*CC22^5 - 0.0000106217678052217*CC22^4 + 0.00081068114193385*CC22^3 - 0.0314027378159951*CC22^2 + 0.649796593937842*CC22 + 13.7888866455022)</f>
        <v/>
      </c>
      <c r="BT22" s="235" t="str">
        <f aca="false">IF(BR22=0,"",-0.00000000014625939695*CC22^6 + 0.00000004971732060241*CC22^5 - 0.000006683744342031*CC22^4 + 0.0004563177378098*CC22^3 - 0.0171727530635803*CC22^2 + 0.444529932876435*CC22 + 15.6692518940565)</f>
        <v/>
      </c>
      <c r="BU22" s="236" t="str">
        <f aca="false">IF(BR22=0,"", -0.0000000008152265738*BR22^6 + 0.00000022764320256987*BR22^5 - 0.0000248205675927705*BR22^4 + 0.00133186623684865*BR22^3 - 0.0368442570441677*BR22^2 + 0.580111565569094*BR22 + 14.0417598296107)</f>
        <v/>
      </c>
      <c r="BV22" s="236" t="str">
        <f aca="false">IF(BR22=0,"", -0.00000000004321395721*BR22^6 + 0.00000002531844275498*BR22^5 - 0.00000369428022780862*BR22^4 + 0.00020283665900125*BR22^3 - 0.00462426256803268*BR22^2 + 0.139572935065453*BR22 + 15.4475338156923)</f>
        <v/>
      </c>
      <c r="BW22" s="236" t="str">
        <f aca="false">IF(BR22=0,"",-0.00000000033126390082*BR22^6 + 0.00000010463660614506*BR22^5 - 0.0000129629592998707*BR22^4 + 0.000803946335250767*BR22^3 - 0.0270257140395994*BR22^2 + 0.562590210721552*BR22+ 12.1254107606419)</f>
        <v/>
      </c>
      <c r="BX22" s="236" t="str">
        <f aca="false">IF(BR22=0,"",-0.00000000002593504955*BR22^6 + 0.00000002430495156704*BR22^5 - 0.00000386103271086364*BR22^4 + 0.000214416118986322*BR22^3 - 0.0047271462612021*BR22^2 + 0.156696175741135*BR22 + 15.4598891949502)</f>
        <v/>
      </c>
      <c r="BY22" s="234" t="str">
        <f aca="false">IF(BR22=0,"",$BS$2)</f>
        <v/>
      </c>
      <c r="BZ22" s="234" t="str">
        <f aca="false">IF(BR22=0,"",$BS$3)</f>
        <v/>
      </c>
      <c r="CA22" s="234" t="str">
        <f aca="false">IF(BR22=0,"",$BS$4)</f>
        <v/>
      </c>
      <c r="CB22" s="235" t="str">
        <f aca="false">IF(BR22=0,"",IF(AND(BO22&gt;=0,BO22&lt;4),0.75,IF(AND(BO22&gt;=4,BO22&lt;6),0.85,IF(AND(BO22&gt;=6,BO22&lt;=10),0.95,1))))</f>
        <v/>
      </c>
      <c r="CC22" s="234" t="str">
        <f aca="false">IF(BR22=0,"",BR22*BY22*BZ22*CA22*CB22/60)</f>
        <v/>
      </c>
      <c r="CD22" s="238" t="str">
        <f aca="false">IF(BR22=0,"",IF($S$12="NO","NO",IF($AD$12&lt;=BO22,"SI","NO")))</f>
        <v/>
      </c>
      <c r="CE22" s="235" t="n">
        <f aca="false">IF(BR22=0,0,AB22)</f>
        <v>0</v>
      </c>
      <c r="CF22" s="235" t="n">
        <f aca="false">IF(CE22&gt;0,BO22,0)</f>
        <v>0</v>
      </c>
      <c r="CG22" s="239" t="n">
        <f aca="false">IF(CF22=0,CF22+CG21,CF22)</f>
        <v>0</v>
      </c>
      <c r="CH22" s="239" t="n">
        <f aca="false">IF(CG22=CG21,CH21,ABS(CG22-CG21))</f>
        <v>0</v>
      </c>
      <c r="CI22" s="239" t="n">
        <f aca="false">+CE22*CH22</f>
        <v>0</v>
      </c>
      <c r="CJ22" s="239" t="n">
        <f aca="false">IF(CI22=0,CI22+CJ21,CI22)</f>
        <v>0</v>
      </c>
      <c r="CK22" s="239" t="n">
        <f aca="false">IF(CJ22=CJ21,CK21,ABS(CJ22+CK21))</f>
        <v>0</v>
      </c>
      <c r="CL22" s="241" t="n">
        <f aca="false">IF(CE22=0,0,CK22)</f>
        <v>0</v>
      </c>
      <c r="CM22" s="239" t="n">
        <f aca="false">IF(CE22=0,0,CH22*9.81)</f>
        <v>0</v>
      </c>
      <c r="CN22" s="239" t="n">
        <f aca="false">IF(CM22=0,CM22+CN21,CM22)</f>
        <v>0</v>
      </c>
      <c r="CO22" s="239" t="n">
        <f aca="false">IF(CN22=CN21,CO21,ABS(CN22+CO21))</f>
        <v>0</v>
      </c>
      <c r="CP22" s="241" t="n">
        <f aca="false">IF(CD22="NO",0,IF(CE22=0,0,CO22))</f>
        <v>0</v>
      </c>
      <c r="CQ22" s="244" t="str">
        <f aca="false">IF(BR22=0,"",CL22-CP22)</f>
        <v/>
      </c>
      <c r="CR22" s="244" t="str">
        <f aca="false">IF(BR22=0,"",CQ22/101.3)</f>
        <v/>
      </c>
      <c r="CS22" s="244" t="str">
        <f aca="false">IF(BR22=0,"",LOG(10/CR22))</f>
        <v/>
      </c>
      <c r="CT22" s="243" t="str">
        <f aca="false">IF(BR22=0,"",IF(SQRT(101.3/CQ22)&lt;=1.7,SQRT(101.3/CQ22),2.2/(1.2+(CQ22/101.3))))</f>
        <v/>
      </c>
      <c r="CU22" s="244" t="str">
        <f aca="false">IF(BR22=0,"",1.7/(0.7+CR22))</f>
        <v/>
      </c>
      <c r="CV22" s="244" t="str">
        <f aca="false">IF(BR22=0,"",IF(CR22&gt;=0.25,0.77*LOG(20/CR22),""))</f>
        <v/>
      </c>
      <c r="CW22" s="244" t="str">
        <f aca="false">IF(BR22=0,"",32.5/(10.2+20.3*CR22))</f>
        <v/>
      </c>
      <c r="CX22" s="244" t="str">
        <f aca="false">IF(BR22=0,"",1-1.25*LOG(CR22))</f>
        <v/>
      </c>
      <c r="CY22" s="244" t="str">
        <f aca="false">IF(BR22=0,"",IF(CR22&lt;1,1-1.41*LOG(CR22),1+0.92*LOG(CR22)))</f>
        <v/>
      </c>
      <c r="CZ22" s="244" t="str">
        <f aca="false">IF(BR22=0,"",2/(1+CR22))</f>
        <v/>
      </c>
      <c r="DA22" s="244" t="str">
        <f aca="false">IF(BR22=0,"",IF(CR22&lt;=0.75,4/(1+4*CR22),4/(3.25+CR22)))</f>
        <v/>
      </c>
      <c r="DB22" s="244" t="str">
        <f aca="false">IF(BR22=0,"",CT22)</f>
        <v/>
      </c>
      <c r="DC22" s="244" t="str">
        <f aca="false">IF(BR22=0,"",DB22*CC22)</f>
        <v/>
      </c>
      <c r="DD22" s="244"/>
      <c r="DE22" s="244" t="str">
        <f aca="false">IF(BR22=0,"",0.193*(CC22/(CQ22*0.001))^0.689)</f>
        <v/>
      </c>
      <c r="DF22" s="244" t="str">
        <f aca="false">IF(BR22=0,"",IF(AS22=$AX$4,(0.1348118*CC22 - 0.0383065)*98.0665,""))</f>
        <v/>
      </c>
      <c r="DG22" s="244" t="str">
        <f aca="false">IF(BR22=0,"",IF(AS22=$AX$4,DF22/2,""))</f>
        <v/>
      </c>
      <c r="DH22" s="244" t="str">
        <f aca="false">IF(BR22=0,"",IF(DC22&lt;=15,12*(DC22+6),40+12*(DC22-6)))</f>
        <v/>
      </c>
      <c r="DI22" s="244" t="str">
        <f aca="false">IF(BR22=0,"",IF(CD22="SI",5*(DC22+15),((3.3*(DC22+15))+(4*(DC22+12)))/2))</f>
        <v/>
      </c>
      <c r="DJ22" s="244" t="str">
        <f aca="false">IF(BR22=0,"",8*DC22)</f>
        <v/>
      </c>
      <c r="DK22" s="244" t="str">
        <f aca="false">IF(BR22=0,"",215+(10.6*DC22))</f>
        <v/>
      </c>
      <c r="DL22" s="244" t="str">
        <f aca="false">IF(BR22=0,"",10*(7.5+(0.5*DC22)))</f>
        <v/>
      </c>
      <c r="DM22" s="244" t="str">
        <f aca="false">IF(BR22=0,"",8*DC22)</f>
        <v/>
      </c>
      <c r="DN22" s="244" t="str">
        <f aca="false">IF(AW22=" "," ",IF(DC22=""," ",IF(DC22&lt;4,10*10.2,IF(DC22=4,12*10.2,IF(DC22&lt;10,17.5*10.5,IF(DC22=10,15*10.2,IF(DC22&lt;30,22.5*10.2,IF(DC22=30,35*10.2,IF(DC22&lt;50,40*10.2,IF(DC22=50,50*10.2,55*10.2))))))))))</f>
        <v> </v>
      </c>
      <c r="DO22" s="244" t="str">
        <f aca="false">IF(BR22=0,"",7*SQRT(DC22)*10.1972)</f>
        <v/>
      </c>
      <c r="DP22" s="244" t="str">
        <f aca="false">IF(BR22=0,"",IF(AS22=$AX$4,5*CC22,""))</f>
        <v/>
      </c>
      <c r="DQ22" s="244" t="str">
        <f aca="false">IF(AW22=" "," ",IF(DC22=""," ",IF(DC22&lt;2,4*10.2,IF(DC22=2,6*10.2,IF(DC22&lt;4,12*10.2,IF(DC22=4,20*10.2,IF(DC22&lt;8,30*10.2,IF(DC22=8,35*10.2,IF(DC22&lt;15,40*10.2,IF(DC22=15,42*10.2,IF(DC22&lt;30,45*10.2,IF(DC22=30,50*10.2,70*10.2))))))))))))</f>
        <v> </v>
      </c>
      <c r="DR22" s="244" t="str">
        <f aca="false">IF(BR22=0,"",IF(AS22=$AX$4,220*DP22*0.0101972,""))</f>
        <v/>
      </c>
      <c r="DS22" s="271" t="str">
        <f aca="false">IF(BR22=0,"",IF(AS22=$AX$7,(SUM(DH22:DO22)-MIN(DH22:DO22)-MAX(DH22:DO22))/6,(SUM(DO22:DR22)-MIN(DO22:DR22)-MAX(DO22:DR22))/2))</f>
        <v/>
      </c>
      <c r="DT22" s="244" t="str">
        <f aca="false">IF(AW22=" "," ",IF(DC22=""," ",IF(DC22&lt;4,0.2,IF(DC22=4,0.27,IF(DC22&lt;10,0.33,IF(DC22=10,0.35,IF(DC22&lt;30,0.36,IF(DC22=30,0.37,IF(DC22&lt;50,0.38,IF(DC22=50,0.4,0.45))))))))))</f>
        <v> </v>
      </c>
      <c r="DU22" s="272" t="str">
        <f aca="false">IF(AW22=" "," ",IF(CC22=""," ",IF(CC22&lt;2,0.2,IF(CC22=2,0.23,IF(CC22&lt;4,0.26,IF(CC22=4,0.29,IF(CC22&lt;8,0.32,IF(CC22=8,0.35,IF(CC22&lt;15,0.38,IF(CC22=15,0.41,IF(CC22&lt;30,0.44,IF(CC22=30,0.47,0.5))))))))))))</f>
        <v> </v>
      </c>
      <c r="DV22" s="244" t="str">
        <f aca="false">IF(BR22=0,"",IF(AS22=$AX$3,DT22,DU22))</f>
        <v/>
      </c>
      <c r="DW22" s="244" t="str">
        <f aca="false">IF(BR22=0,"",IF(DC22&gt;15,15+0.5*(DC22-15),DC22))</f>
        <v/>
      </c>
      <c r="DX22" s="244" t="str">
        <f aca="false">IF(BR22=0,"",IF($S$12="SI",IF(CD22="NO",IF($AD$12&gt;(BO22+1.5*$ED$15),1,0.5),0.5),1))</f>
        <v/>
      </c>
      <c r="DY22" s="244" t="str">
        <f aca="false">IF(BR22=0,"",IF(S6="SI",IF(CD22="NO",IF($AD$12&gt;(BO22+1.5*$EE$15),1,0.5))))</f>
        <v/>
      </c>
      <c r="DZ22" s="244" t="str">
        <f aca="false">IF(BR22=0,"",IF($S$12="SI",IF(CD22="NO",IF($AD$12&gt;(BO22+1.5*$EF$15),1,0.5),0.5),1))</f>
        <v/>
      </c>
      <c r="EA22" s="244" t="str">
        <f aca="false">IF(BR22=0,"",IF($S$12="SI",IF(CD22="NO",IF($AD$12&gt;(BO22+1.5*$ED$15),1,0.5),IF($AD$12=BO22,1,0.5)),1))</f>
        <v/>
      </c>
      <c r="EB22" s="244" t="str">
        <f aca="false">IF(BR22=0,"",IF($S$12="SI",IF(CD22="NO",IF($AD$12&gt;(BO22+1.5*$EE$15),1,0.5),IF($AD$12=BO22,1,0.5)),1))</f>
        <v/>
      </c>
      <c r="EC22" s="244" t="str">
        <f aca="false">IF(BR22=0,"",IF($S$12="SI",IF(CD22="NO",IF($AD$12&gt;(BO22+1.5*$EF$15),1,0.5),IF($AD$12=BO22,1,0.5)),1))</f>
        <v/>
      </c>
      <c r="ED22" s="244" t="str">
        <f aca="false">IF(BR22=0,"",(DW22*($ED$15/10)*(DX22+EA22*(BO22/$ED$15))*1)/3)</f>
        <v/>
      </c>
      <c r="EE22" s="244" t="str">
        <f aca="false">IF(BR22=0,"",(DW22*($EE$15/10)*(DY22+EB22*(BO22/$EE$15))*1)/3)</f>
        <v/>
      </c>
      <c r="EF22" s="244" t="str">
        <f aca="false">IF(BR22=0,"",(DW22*($EF$15/10)*(DZ22+EC22*(BO22/$EF$15))*1)/3)</f>
        <v/>
      </c>
      <c r="EG22" s="273" t="str">
        <f aca="false">IF(BR22=0,"",IF(CD22="SI",0.5,1))</f>
        <v/>
      </c>
      <c r="EH22" s="244" t="str">
        <f aca="false">IF(BR22=0,"",IF((1+0.33*(BO22/$ED$15))&lt;=1.33,(1+0.33*(BO22/$ED$15)),1.33))</f>
        <v/>
      </c>
      <c r="EI22" s="244" t="str">
        <f aca="false">IF(BR22=0,"",IF((1+0.33*(BO22/$EE$15))&lt;=1.33,(1+0.33*(BO22/$EE$15)),1.33))</f>
        <v/>
      </c>
      <c r="EJ22" s="244" t="str">
        <f aca="false">IF(BR22=0,"",IF((1+0.33*(BO22/$EF$15))&lt;=1.33,(1+0.33*(BO22/$EF$15)),1.33))</f>
        <v/>
      </c>
      <c r="EK22" s="244" t="str">
        <f aca="false">IF(BR22=0,"",IF($ED$15&lt;=1.2,((20*DC22*EG22*EH22)/3)*0.010197,((12.5*DC22*((($ED$15+0.3)^2)/$ED$15)*EG22*EH22)/3)*0.010197))</f>
        <v/>
      </c>
      <c r="EL22" s="244" t="str">
        <f aca="false">IF(BR22=0,"",IF($EE$15&lt;=1.2,((20*DC22*EG22*EI22)/3)*0.010197,((12.5*DC22*((($EE$15+0.3)^2)/$EE$15)*EG22*EI22)/3)*0.010197))</f>
        <v/>
      </c>
      <c r="EM22" s="244" t="str">
        <f aca="false">IF(BR22=0,"",IF($EF$15&lt;=1.2,((20*DC22*EG22*EJ22)/3)*0.010197,((12.5*DC22*((($EF$15+0.3)^2)/$EF$15)*EG22*EJ22)/3)*0.010197))</f>
        <v/>
      </c>
      <c r="EN22" s="248" t="str">
        <f aca="false">IF(BR22=0,"",SQRT(12*BR22)+25)</f>
        <v/>
      </c>
      <c r="EO22" s="248" t="str">
        <f aca="false">IF(BR22=0,"",28.5+0.25*BR22)</f>
        <v/>
      </c>
      <c r="EP22" s="248" t="str">
        <f aca="false">IF(BR22=0,"",SQRT(20*BR22)+15)</f>
        <v/>
      </c>
      <c r="EQ22" s="248" t="str">
        <f aca="false">IF(BR22=0,"",23.7+0.57*BR22-0.0006*BR22*BR22)</f>
        <v/>
      </c>
      <c r="ER22" s="248" t="str">
        <f aca="false">IF(BR22=0,"",15+SQRT(20*BR22))</f>
        <v/>
      </c>
      <c r="ES22" s="248" t="str">
        <f aca="false">IF(BR22=0,"",3.5*SQRT(BR22)+20)</f>
        <v/>
      </c>
      <c r="ET22" s="248" t="str">
        <f aca="false">IF(BR22=0,"",27.1+0.3*BR22-0.00054*BR22*BR22)</f>
        <v/>
      </c>
      <c r="EU22" s="248" t="str">
        <f aca="false">IF(BR22=0,"",SQRT(20*BR22)+20)</f>
        <v/>
      </c>
      <c r="EV22" s="248" t="str">
        <f aca="false">IF(BR22=0,"",12.79+SQRT(25.86*BR22))</f>
        <v/>
      </c>
      <c r="EW22" s="248" t="str">
        <f aca="false">IF(BR22=0,"",_xlfn.ACOT((CC22/(12.2+20.3*CR22))^0.34))</f>
        <v/>
      </c>
      <c r="EX22" s="248" t="str">
        <f aca="false">IF(BR22=0,"",24+(5.77*LN(0.17*BR22)))</f>
        <v/>
      </c>
      <c r="EY22" s="248" t="str">
        <f aca="false">IF(BR22=0,"",(SUM(EN22:EX22)-MIN(EN22:EX22)-MAX(EN22:EX22))/9)</f>
        <v/>
      </c>
      <c r="EZ22" s="248" t="str">
        <f aca="false">IF(BR22=0,"", -0.0000000034*BR22^6 + 0.0000008305*BR22^5 - 0.0000741842*BR22^4 + 0.0030204278*BR22^3 - 0.0541594733*BR22^2 + 0.8083147848*BR22 - 0.6182191243)</f>
        <v/>
      </c>
      <c r="FA22" s="249" t="str">
        <f aca="false">IF(BR22=0,"",(0.134811827956989*BR22 - 0.0383064516129019)/2)</f>
        <v/>
      </c>
      <c r="FB22" s="249" t="str">
        <f aca="false">IF(BR22=0,"",BR22*0.065)</f>
        <v/>
      </c>
      <c r="FC22" s="249" t="str">
        <f aca="false">IF(BR22=0,"",(BR22*0.12*0.48)*SQRT((1+SIN(EZ22*((2*PI())/360))/(1-SIN(EZ22*((2*PI())/360))))))</f>
        <v/>
      </c>
      <c r="FD22" s="249" t="str">
        <f aca="false">IF(BR22=0,"",(BR22/8)/2)</f>
        <v/>
      </c>
      <c r="FE22" s="249" t="str">
        <f aca="false">IF(BR22=0,"",(SUM(FA22:FD22)-MIN(FA22:FD22)-MAX(FA22:FD22))/2)</f>
        <v/>
      </c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</row>
    <row r="23" customFormat="false" ht="9.75" hidden="false" customHeight="true" outlineLevel="0" collapsed="false">
      <c r="A23" s="197" t="n">
        <f aca="false">ROUND(A22+0.1,1)</f>
        <v>0.6</v>
      </c>
      <c r="B23" s="250" t="n">
        <f aca="false">+A23</f>
        <v>0.6</v>
      </c>
      <c r="C23" s="251"/>
      <c r="D23" s="275"/>
      <c r="E23" s="252"/>
      <c r="F23" s="253"/>
      <c r="G23" s="254"/>
      <c r="H23" s="255"/>
      <c r="I23" s="256"/>
      <c r="J23" s="257"/>
      <c r="K23" s="258"/>
      <c r="L23" s="259"/>
      <c r="M23" s="207"/>
      <c r="N23" s="208"/>
      <c r="O23" s="208"/>
      <c r="P23" s="208"/>
      <c r="Q23" s="260"/>
      <c r="R23" s="210"/>
      <c r="S23" s="210"/>
      <c r="T23" s="261"/>
      <c r="U23" s="261"/>
      <c r="V23" s="262"/>
      <c r="W23" s="262"/>
      <c r="X23" s="262"/>
      <c r="Y23" s="262"/>
      <c r="Z23" s="262"/>
      <c r="AA23" s="262"/>
      <c r="AB23" s="263"/>
      <c r="AC23" s="264"/>
      <c r="AD23" s="265"/>
      <c r="AE23" s="264"/>
      <c r="AF23" s="266"/>
      <c r="AG23" s="267"/>
      <c r="AH23" s="267"/>
      <c r="AI23" s="241"/>
      <c r="AJ23" s="241"/>
      <c r="AK23" s="266"/>
      <c r="AL23" s="266"/>
      <c r="AM23" s="268"/>
      <c r="AN23" s="250" t="n">
        <f aca="false">+AN21+0.2</f>
        <v>0.6</v>
      </c>
      <c r="AO23" s="251"/>
      <c r="AP23" s="275"/>
      <c r="AQ23" s="252"/>
      <c r="AR23" s="253"/>
      <c r="AS23" s="269" t="s">
        <v>13</v>
      </c>
      <c r="AT23" s="221"/>
      <c r="AU23" s="269"/>
      <c r="AV23" s="269"/>
      <c r="AW23" s="270" t="n">
        <f aca="false">+K23+L23</f>
        <v>0</v>
      </c>
      <c r="AX23" s="270" t="str">
        <f aca="false">IF(AS23="&gt;50","CONSISTENCIA",IF(AS23="&lt;50","COMPACIDAD"," "))</f>
        <v>COMPACIDAD</v>
      </c>
      <c r="AY23" s="225" t="str">
        <f aca="false">IF(AS23="&gt;50",AZ23,IF(AS23="&lt;50",BA23," "))</f>
        <v> </v>
      </c>
      <c r="AZ23" s="224" t="str">
        <f aca="false">IF(AW23=" "," ",IF(CC23=""," ",IF(CC23&lt;2,"MUY BLANDA",IF(CC23=2,"MUY BLANDA A BLANDA",IF(CC23&lt;4,"BLANDA",IF(CC23=4,"BLANDA A MEDIA",IF(CC23&lt;8,"MEDIA",IF(CC23=8,"MEDIA A FIRME",IF(CC23&lt;15,"FIRME",IF(CC23=15,"FIRME A MUY FIRME",IF(CC23&lt;30,"MUY FIRME",IF(CC23=30,"MUY FIRME A DURA","DURA"))))))))))))</f>
        <v> </v>
      </c>
      <c r="BA23" s="225" t="str">
        <f aca="false">IF(AW23=" "," ",IF(DC23=""," ",IF(DC23&lt;4,"MUY SUELTA",IF(DC23=4,"MUY SUELTA A SUELTA",IF(DC23&lt;10,"SUELTA",IF(DC23=10,"SUELTA A MEDIA",IF(DC23&lt;30,"MEDIA",IF(DC23=30,"MEDIA A DENSO",IF(DC23&lt;50,"DENSO",IF(DC23=50,"DENSO MUY DENSO","MUY DENSO"))))))))))</f>
        <v> </v>
      </c>
      <c r="BB23" s="226" t="str">
        <f aca="false">IF(BR24=0,"",CQ24*0.0101972)</f>
        <v/>
      </c>
      <c r="BC23" s="227" t="n">
        <f aca="false">+BC22+0.1</f>
        <v>0.6</v>
      </c>
      <c r="BD23" s="227" t="str">
        <f aca="false">IF(BC23&lt;=$AN$10,BC23,"")</f>
        <v/>
      </c>
      <c r="BE23" s="228" t="n">
        <f aca="false">ISNUMBER(BD23)</f>
        <v>0</v>
      </c>
      <c r="BF23" s="229" t="str">
        <f aca="false">MID(M23,1,1)</f>
        <v/>
      </c>
      <c r="BG23" s="230" t="str">
        <f aca="false">IF(BF23="S","",IF(BF23="G","",MID(M23,2,1)))</f>
        <v/>
      </c>
      <c r="BH23" s="231" t="str">
        <f aca="false">CONCATENATE(BF23,BG23)</f>
        <v/>
      </c>
      <c r="BI23" s="6" t="str">
        <f aca="false">IF(BE23=FALSE(),"",IF(BH23="",BI22,BH23))</f>
        <v/>
      </c>
      <c r="BJ23" s="74" t="str">
        <f aca="false">IF(OR(BI23="S",BI23="G"),BI23,"X")</f>
        <v>X</v>
      </c>
      <c r="BK23" s="74" t="s">
        <v>183</v>
      </c>
      <c r="BL23" s="232" t="e">
        <f aca="false">INDEX(sim_0,MATCH($BJ$23,granular,0))</f>
        <v>#NAME?</v>
      </c>
      <c r="BM23" s="232"/>
      <c r="BN23" s="6"/>
      <c r="BO23" s="191" t="n">
        <f aca="false">BO22+0.1</f>
        <v>0.6</v>
      </c>
      <c r="BP23" s="233" t="e">
        <f aca="false">IF(AW23=0,NA(),IF(AS23=$AX$3,ROUND(DC23,0),NA()))</f>
        <v>#N/A</v>
      </c>
      <c r="BQ23" s="31" t="e">
        <f aca="false">IF(AW23=0,NA(),IF(AS23=$AX$4,ROUND(CC23,0),NA()))</f>
        <v>#N/A</v>
      </c>
      <c r="BR23" s="234" t="n">
        <f aca="false">+AW23</f>
        <v>0</v>
      </c>
      <c r="BS23" s="235" t="str">
        <f aca="false">IF(BR23=0,"", -0.00000000016128755327*CC23^6 + 0.00000006709386362421*CC23^5 - 0.0000106217678052217*CC23^4 + 0.00081068114193385*CC23^3 - 0.0314027378159951*CC23^2 + 0.649796593937842*CC23 + 13.7888866455022)</f>
        <v/>
      </c>
      <c r="BT23" s="235" t="str">
        <f aca="false">IF(BR23=0,"",-0.00000000014625939695*CC23^6 + 0.00000004971732060241*CC23^5 - 0.000006683744342031*CC23^4 + 0.0004563177378098*CC23^3 - 0.0171727530635803*CC23^2 + 0.444529932876435*CC23 + 15.6692518940565)</f>
        <v/>
      </c>
      <c r="BU23" s="236" t="str">
        <f aca="false">IF(BR23=0,"", -0.0000000008152265738*BR23^6 + 0.00000022764320256987*BR23^5 - 0.0000248205675927705*BR23^4 + 0.00133186623684865*BR23^3 - 0.0368442570441677*BR23^2 + 0.580111565569094*BR23 + 14.0417598296107)</f>
        <v/>
      </c>
      <c r="BV23" s="236" t="str">
        <f aca="false">IF(BR23=0,"", -0.00000000004321395721*BR23^6 + 0.00000002531844275498*BR23^5 - 0.00000369428022780862*BR23^4 + 0.00020283665900125*BR23^3 - 0.00462426256803268*BR23^2 + 0.139572935065453*BR23 + 15.4475338156923)</f>
        <v/>
      </c>
      <c r="BW23" s="236" t="str">
        <f aca="false">IF(BR23=0,"",-0.00000000033126390082*BR23^6 + 0.00000010463660614506*BR23^5 - 0.0000129629592998707*BR23^4 + 0.000803946335250767*BR23^3 - 0.0270257140395994*BR23^2 + 0.562590210721552*BR23+ 12.1254107606419)</f>
        <v/>
      </c>
      <c r="BX23" s="236" t="str">
        <f aca="false">IF(BR23=0,"",-0.00000000002593504955*BR23^6 + 0.00000002430495156704*BR23^5 - 0.00000386103271086364*BR23^4 + 0.000214416118986322*BR23^3 - 0.0047271462612021*BR23^2 + 0.156696175741135*BR23 + 15.4598891949502)</f>
        <v/>
      </c>
      <c r="BY23" s="234" t="str">
        <f aca="false">IF(BR23=0,"",$BS$2)</f>
        <v/>
      </c>
      <c r="BZ23" s="234" t="str">
        <f aca="false">IF(BR23=0,"",$BS$3)</f>
        <v/>
      </c>
      <c r="CA23" s="234" t="str">
        <f aca="false">IF(BR23=0,"",$BS$4)</f>
        <v/>
      </c>
      <c r="CB23" s="235" t="str">
        <f aca="false">IF(BR23=0,"",IF(AND(BO23&gt;=0,BO23&lt;4),0.75,IF(AND(BO23&gt;=4,BO23&lt;6),0.85,IF(AND(BO23&gt;=6,BO23&lt;=10),0.95,1))))</f>
        <v/>
      </c>
      <c r="CC23" s="234" t="str">
        <f aca="false">IF(BR23=0,"",BR23*BY23*BZ23*CA23*CB23/60)</f>
        <v/>
      </c>
      <c r="CD23" s="238" t="str">
        <f aca="false">IF(BR23=0,"",IF($S$12="NO","NO",IF($AD$12&lt;=BO23,"SI","NO")))</f>
        <v/>
      </c>
      <c r="CE23" s="235" t="n">
        <f aca="false">IF(BR23=0,0,AB23)</f>
        <v>0</v>
      </c>
      <c r="CF23" s="235" t="n">
        <f aca="false">IF(CE23&gt;0,BO23,0)</f>
        <v>0</v>
      </c>
      <c r="CG23" s="239" t="n">
        <f aca="false">IF(CF23=0,CF23+CG22,CF23)</f>
        <v>0</v>
      </c>
      <c r="CH23" s="239" t="n">
        <f aca="false">IF(CG23=CG22,CH22,ABS(CG23-CG22))</f>
        <v>0</v>
      </c>
      <c r="CI23" s="239" t="n">
        <f aca="false">+CE23*CH23</f>
        <v>0</v>
      </c>
      <c r="CJ23" s="239" t="n">
        <f aca="false">IF(CI23=0,CI23+CJ22,CI23)</f>
        <v>0</v>
      </c>
      <c r="CK23" s="239" t="n">
        <f aca="false">IF(CJ23=CJ22,CK22,ABS(CJ23+CK22))</f>
        <v>0</v>
      </c>
      <c r="CL23" s="241" t="n">
        <f aca="false">IF(CE23=0,0,CK23)</f>
        <v>0</v>
      </c>
      <c r="CM23" s="239" t="n">
        <f aca="false">IF(CE23=0,0,CH23*9.81)</f>
        <v>0</v>
      </c>
      <c r="CN23" s="239" t="n">
        <f aca="false">IF(CM23=0,CM23+CN22,CM23)</f>
        <v>0</v>
      </c>
      <c r="CO23" s="239" t="n">
        <f aca="false">IF(CN23=CN22,CO22,ABS(CN23+CO22))</f>
        <v>0</v>
      </c>
      <c r="CP23" s="241" t="n">
        <f aca="false">IF(CD23="NO",0,IF(CE23=0,0,CO23))</f>
        <v>0</v>
      </c>
      <c r="CQ23" s="244" t="str">
        <f aca="false">IF(BR23=0,"",CL23-CP23)</f>
        <v/>
      </c>
      <c r="CR23" s="244" t="str">
        <f aca="false">IF(BR23=0,"",CQ23/101.3)</f>
        <v/>
      </c>
      <c r="CS23" s="244" t="str">
        <f aca="false">IF(BR23=0,"",LOG(10/CR23))</f>
        <v/>
      </c>
      <c r="CT23" s="243" t="str">
        <f aca="false">IF(BR23=0,"",IF(SQRT(101.3/CQ23)&lt;=1.7,SQRT(101.3/CQ23),2.2/(1.2+(CQ23/101.3))))</f>
        <v/>
      </c>
      <c r="CU23" s="244" t="str">
        <f aca="false">IF(BR23=0,"",1.7/(0.7+CR23))</f>
        <v/>
      </c>
      <c r="CV23" s="244" t="str">
        <f aca="false">IF(BR23=0,"",IF(CR23&gt;=0.25,0.77*LOG(20/CR23),""))</f>
        <v/>
      </c>
      <c r="CW23" s="244" t="str">
        <f aca="false">IF(BR23=0,"",32.5/(10.2+20.3*CR23))</f>
        <v/>
      </c>
      <c r="CX23" s="244" t="str">
        <f aca="false">IF(BR23=0,"",1-1.25*LOG(CR23))</f>
        <v/>
      </c>
      <c r="CY23" s="244" t="str">
        <f aca="false">IF(BR23=0,"",IF(CR23&lt;1,1-1.41*LOG(CR23),1+0.92*LOG(CR23)))</f>
        <v/>
      </c>
      <c r="CZ23" s="244" t="str">
        <f aca="false">IF(BR23=0,"",2/(1+CR23))</f>
        <v/>
      </c>
      <c r="DA23" s="244" t="str">
        <f aca="false">IF(BR23=0,"",IF(CR23&lt;=0.75,4/(1+4*CR23),4/(3.25+CR23)))</f>
        <v/>
      </c>
      <c r="DB23" s="244" t="str">
        <f aca="false">IF(BR23=0,"",CT23)</f>
        <v/>
      </c>
      <c r="DC23" s="244" t="str">
        <f aca="false">IF(BR23=0,"",DB23*CC23)</f>
        <v/>
      </c>
      <c r="DD23" s="244"/>
      <c r="DE23" s="244" t="str">
        <f aca="false">IF(BR23=0,"",0.193*(CC23/(CQ23*0.001))^0.689)</f>
        <v/>
      </c>
      <c r="DF23" s="244" t="str">
        <f aca="false">IF(BR23=0,"",IF(AS23=$AX$4,(0.1348118*CC23 - 0.0383065)*98.0665,""))</f>
        <v/>
      </c>
      <c r="DG23" s="244" t="str">
        <f aca="false">IF(BR23=0,"",IF(AS23=$AX$4,DF23/2,""))</f>
        <v/>
      </c>
      <c r="DH23" s="244" t="str">
        <f aca="false">IF(BR23=0,"",IF(DC23&lt;=15,12*(DC23+6),40+12*(DC23-6)))</f>
        <v/>
      </c>
      <c r="DI23" s="244" t="str">
        <f aca="false">IF(BR23=0,"",IF(CD23="SI",5*(DC23+15),((3.3*(DC23+15))+(4*(DC23+12)))/2))</f>
        <v/>
      </c>
      <c r="DJ23" s="244" t="str">
        <f aca="false">IF(BR23=0,"",8*DC23)</f>
        <v/>
      </c>
      <c r="DK23" s="244" t="str">
        <f aca="false">IF(BR23=0,"",215+(10.6*DC23))</f>
        <v/>
      </c>
      <c r="DL23" s="244" t="str">
        <f aca="false">IF(BR23=0,"",10*(7.5+(0.5*DC23)))</f>
        <v/>
      </c>
      <c r="DM23" s="244" t="str">
        <f aca="false">IF(BR23=0,"",8*DC23)</f>
        <v/>
      </c>
      <c r="DN23" s="244" t="str">
        <f aca="false">IF(AW23=" "," ",IF(DC23=""," ",IF(DC23&lt;4,10*10.2,IF(DC23=4,12*10.2,IF(DC23&lt;10,17.5*10.5,IF(DC23=10,15*10.2,IF(DC23&lt;30,22.5*10.2,IF(DC23=30,35*10.2,IF(DC23&lt;50,40*10.2,IF(DC23=50,50*10.2,55*10.2))))))))))</f>
        <v> </v>
      </c>
      <c r="DO23" s="244" t="str">
        <f aca="false">IF(BR23=0,"",7*SQRT(DC23)*10.1972)</f>
        <v/>
      </c>
      <c r="DP23" s="244" t="str">
        <f aca="false">IF(BR23=0,"",IF(AS23=$AX$4,5*CC23,""))</f>
        <v/>
      </c>
      <c r="DQ23" s="244" t="str">
        <f aca="false">IF(AW23=" "," ",IF(DC23=""," ",IF(DC23&lt;2,4*10.2,IF(DC23=2,6*10.2,IF(DC23&lt;4,12*10.2,IF(DC23=4,20*10.2,IF(DC23&lt;8,30*10.2,IF(DC23=8,35*10.2,IF(DC23&lt;15,40*10.2,IF(DC23=15,42*10.2,IF(DC23&lt;30,45*10.2,IF(DC23=30,50*10.2,70*10.2))))))))))))</f>
        <v> </v>
      </c>
      <c r="DR23" s="244" t="str">
        <f aca="false">IF(BR23=0,"",IF(AS23=$AX$4,220*DP23*0.0101972,""))</f>
        <v/>
      </c>
      <c r="DS23" s="271" t="str">
        <f aca="false">IF(BR23=0,"",IF(AS23=$AX$7,(SUM(DH23:DO23)-MIN(DH23:DO23)-MAX(DH23:DO23))/6,(SUM(DO23:DR23)-MIN(DO23:DR23)-MAX(DO23:DR23))/2))</f>
        <v/>
      </c>
      <c r="DT23" s="244" t="str">
        <f aca="false">IF(AW23=" "," ",IF(DC23=""," ",IF(DC23&lt;4,0.2,IF(DC23=4,0.27,IF(DC23&lt;10,0.33,IF(DC23=10,0.35,IF(DC23&lt;30,0.36,IF(DC23=30,0.37,IF(DC23&lt;50,0.38,IF(DC23=50,0.4,0.45))))))))))</f>
        <v> </v>
      </c>
      <c r="DU23" s="272" t="str">
        <f aca="false">IF(AW23=" "," ",IF(CC23=""," ",IF(CC23&lt;2,0.2,IF(CC23=2,0.23,IF(CC23&lt;4,0.26,IF(CC23=4,0.29,IF(CC23&lt;8,0.32,IF(CC23=8,0.35,IF(CC23&lt;15,0.38,IF(CC23=15,0.41,IF(CC23&lt;30,0.44,IF(CC23=30,0.47,0.5))))))))))))</f>
        <v> </v>
      </c>
      <c r="DV23" s="244" t="str">
        <f aca="false">IF(BR23=0,"",IF(AS23=$AX$3,DT23,DU23))</f>
        <v/>
      </c>
      <c r="DW23" s="244" t="str">
        <f aca="false">IF(BR23=0,"",IF(DC23&gt;15,15+0.5*(DC23-15),DC23))</f>
        <v/>
      </c>
      <c r="DX23" s="244" t="str">
        <f aca="false">IF(BR23=0,"",IF($S$12="SI",IF(CD23="NO",IF($AD$12&gt;(BO23+1.5*$ED$15),1,0.5),0.5),1))</f>
        <v/>
      </c>
      <c r="DY23" s="244" t="str">
        <f aca="false">IF(BR23=0,"",IF(S7="SI",IF(CD23="NO",IF($AD$12&gt;(BO23+1.5*$EE$15),1,0.5))))</f>
        <v/>
      </c>
      <c r="DZ23" s="244" t="str">
        <f aca="false">IF(BR23=0,"",IF($S$12="SI",IF(CD23="NO",IF($AD$12&gt;(BO23+1.5*$EF$15),1,0.5),0.5),1))</f>
        <v/>
      </c>
      <c r="EA23" s="244" t="str">
        <f aca="false">IF(BR23=0,"",IF($S$12="SI",IF(CD23="NO",IF($AD$12&gt;(BO23+1.5*$ED$15),1,0.5),IF($AD$12=BO23,1,0.5)),1))</f>
        <v/>
      </c>
      <c r="EB23" s="244" t="str">
        <f aca="false">IF(BR23=0,"",IF($S$12="SI",IF(CD23="NO",IF($AD$12&gt;(BO23+1.5*$EE$15),1,0.5),IF($AD$12=BO23,1,0.5)),1))</f>
        <v/>
      </c>
      <c r="EC23" s="244" t="str">
        <f aca="false">IF(BR23=0,"",IF($S$12="SI",IF(CD23="NO",IF($AD$12&gt;(BO23+1.5*$EF$15),1,0.5),IF($AD$12=BO23,1,0.5)),1))</f>
        <v/>
      </c>
      <c r="ED23" s="244" t="str">
        <f aca="false">IF(BR23=0,"",(DW23*($ED$15/10)*(DX23+EA23*(BO23/$ED$15))*1)/3)</f>
        <v/>
      </c>
      <c r="EE23" s="244" t="str">
        <f aca="false">IF(BR23=0,"",(DW23*($EE$15/10)*(DY23+EB23*(BO23/$EE$15))*1)/3)</f>
        <v/>
      </c>
      <c r="EF23" s="244" t="str">
        <f aca="false">IF(BR23=0,"",(DW23*($EF$15/10)*(DZ23+EC23*(BO23/$EF$15))*1)/3)</f>
        <v/>
      </c>
      <c r="EG23" s="273" t="str">
        <f aca="false">IF(BR23=0,"",IF(CD23="SI",0.5,1))</f>
        <v/>
      </c>
      <c r="EH23" s="244" t="str">
        <f aca="false">IF(BR23=0,"",IF((1+0.33*(BO23/$ED$15))&lt;=1.33,(1+0.33*(BO23/$ED$15)),1.33))</f>
        <v/>
      </c>
      <c r="EI23" s="244" t="str">
        <f aca="false">IF(BR23=0,"",IF((1+0.33*(BO23/$EE$15))&lt;=1.33,(1+0.33*(BO23/$EE$15)),1.33))</f>
        <v/>
      </c>
      <c r="EJ23" s="244" t="str">
        <f aca="false">IF(BR23=0,"",IF((1+0.33*(BO23/$EF$15))&lt;=1.33,(1+0.33*(BO23/$EF$15)),1.33))</f>
        <v/>
      </c>
      <c r="EK23" s="244" t="str">
        <f aca="false">IF(BR23=0,"",IF($ED$15&lt;=1.2,((20*DC23*EG23*EH23)/3)*0.010197,((12.5*DC23*((($ED$15+0.3)^2)/$ED$15)*EG23*EH23)/3)*0.010197))</f>
        <v/>
      </c>
      <c r="EL23" s="244" t="str">
        <f aca="false">IF(BR23=0,"",IF($EE$15&lt;=1.2,((20*DC23*EG23*EI23)/3)*0.010197,((12.5*DC23*((($EE$15+0.3)^2)/$EE$15)*EG23*EI23)/3)*0.010197))</f>
        <v/>
      </c>
      <c r="EM23" s="244" t="str">
        <f aca="false">IF(BR23=0,"",IF($EF$15&lt;=1.2,((20*DC23*EG23*EJ23)/3)*0.010197,((12.5*DC23*((($EF$15+0.3)^2)/$EF$15)*EG23*EJ23)/3)*0.010197))</f>
        <v/>
      </c>
      <c r="EN23" s="248" t="str">
        <f aca="false">IF(BR23=0,"",SQRT(12*BR23)+25)</f>
        <v/>
      </c>
      <c r="EO23" s="248" t="str">
        <f aca="false">IF(BR23=0,"",28.5+0.25*BR23)</f>
        <v/>
      </c>
      <c r="EP23" s="248" t="str">
        <f aca="false">IF(BR23=0,"",SQRT(20*BR23)+15)</f>
        <v/>
      </c>
      <c r="EQ23" s="248" t="str">
        <f aca="false">IF(BR23=0,"",23.7+0.57*BR23-0.0006*BR23*BR23)</f>
        <v/>
      </c>
      <c r="ER23" s="248" t="str">
        <f aca="false">IF(BR23=0,"",15+SQRT(20*BR23))</f>
        <v/>
      </c>
      <c r="ES23" s="248" t="str">
        <f aca="false">IF(BR23=0,"",3.5*SQRT(BR23)+20)</f>
        <v/>
      </c>
      <c r="ET23" s="248" t="str">
        <f aca="false">IF(BR23=0,"",27.1+0.3*BR23-0.00054*BR23*BR23)</f>
        <v/>
      </c>
      <c r="EU23" s="248" t="str">
        <f aca="false">IF(BR23=0,"",SQRT(20*BR23)+20)</f>
        <v/>
      </c>
      <c r="EV23" s="248" t="str">
        <f aca="false">IF(BR23=0,"",12.79+SQRT(25.86*BR23))</f>
        <v/>
      </c>
      <c r="EW23" s="248" t="str">
        <f aca="false">IF(BR23=0,"",_xlfn.ACOT((CC23/(12.2+20.3*CR23))^0.34))</f>
        <v/>
      </c>
      <c r="EX23" s="248" t="str">
        <f aca="false">IF(BR23=0,"",24+(5.77*LN(0.17*BR23)))</f>
        <v/>
      </c>
      <c r="EY23" s="248" t="str">
        <f aca="false">IF(BR23=0,"",(SUM(EN23:EX23)-MIN(EN23:EX23)-MAX(EN23:EX23))/9)</f>
        <v/>
      </c>
      <c r="EZ23" s="248" t="str">
        <f aca="false">IF(BR23=0,"", -0.0000000034*BR23^6 + 0.0000008305*BR23^5 - 0.0000741842*BR23^4 + 0.0030204278*BR23^3 - 0.0541594733*BR23^2 + 0.8083147848*BR23 - 0.6182191243)</f>
        <v/>
      </c>
      <c r="FA23" s="249" t="str">
        <f aca="false">IF(BR23=0,"",(0.134811827956989*BR23 - 0.0383064516129019)/2)</f>
        <v/>
      </c>
      <c r="FB23" s="249" t="str">
        <f aca="false">IF(BR23=0,"",BR23*0.065)</f>
        <v/>
      </c>
      <c r="FC23" s="249" t="str">
        <f aca="false">IF(BR23=0,"",(BR23*0.12*0.48)*SQRT((1+SIN(EZ23*((2*PI())/360))/(1-SIN(EZ23*((2*PI())/360))))))</f>
        <v/>
      </c>
      <c r="FD23" s="249" t="str">
        <f aca="false">IF(BR23=0,"",(BR23/8)/2)</f>
        <v/>
      </c>
      <c r="FE23" s="249" t="str">
        <f aca="false">IF(BR23=0,"",(SUM(FA23:FD23)-MIN(FA23:FD23)-MAX(FA23:FD23))/2)</f>
        <v/>
      </c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</row>
    <row r="24" customFormat="false" ht="9.75" hidden="false" customHeight="true" outlineLevel="0" collapsed="false">
      <c r="A24" s="197" t="n">
        <f aca="false">ROUND(A23+0.1,1)</f>
        <v>0.7</v>
      </c>
      <c r="B24" s="250"/>
      <c r="C24" s="251"/>
      <c r="D24" s="251"/>
      <c r="E24" s="199"/>
      <c r="F24" s="200"/>
      <c r="G24" s="254"/>
      <c r="H24" s="255"/>
      <c r="I24" s="256"/>
      <c r="J24" s="257"/>
      <c r="K24" s="258"/>
      <c r="L24" s="259"/>
      <c r="M24" s="276"/>
      <c r="N24" s="277"/>
      <c r="O24" s="277"/>
      <c r="P24" s="277"/>
      <c r="Q24" s="260"/>
      <c r="R24" s="278"/>
      <c r="S24" s="278"/>
      <c r="T24" s="261"/>
      <c r="U24" s="261"/>
      <c r="V24" s="262"/>
      <c r="W24" s="262"/>
      <c r="X24" s="262"/>
      <c r="Y24" s="262"/>
      <c r="Z24" s="262"/>
      <c r="AA24" s="262"/>
      <c r="AB24" s="263"/>
      <c r="AC24" s="264"/>
      <c r="AD24" s="265"/>
      <c r="AE24" s="264"/>
      <c r="AF24" s="266"/>
      <c r="AG24" s="267"/>
      <c r="AH24" s="267"/>
      <c r="AI24" s="241"/>
      <c r="AJ24" s="241"/>
      <c r="AK24" s="266"/>
      <c r="AL24" s="266"/>
      <c r="AM24" s="268"/>
      <c r="AN24" s="250"/>
      <c r="AO24" s="251"/>
      <c r="AP24" s="251"/>
      <c r="AQ24" s="199"/>
      <c r="AR24" s="200"/>
      <c r="AS24" s="269" t="s">
        <v>13</v>
      </c>
      <c r="AT24" s="221"/>
      <c r="AU24" s="269"/>
      <c r="AV24" s="269"/>
      <c r="AW24" s="270" t="n">
        <f aca="false">+K24+L24</f>
        <v>0</v>
      </c>
      <c r="AX24" s="270" t="str">
        <f aca="false">IF(AS24="&gt;50","CONSISTENCIA",IF(AS24="&lt;50","COMPACIDAD"," "))</f>
        <v>COMPACIDAD</v>
      </c>
      <c r="AY24" s="225" t="str">
        <f aca="false">IF(AS24="&gt;50",AZ24,IF(AS24="&lt;50",BA24," "))</f>
        <v> </v>
      </c>
      <c r="AZ24" s="224" t="str">
        <f aca="false">IF(AW24=" "," ",IF(CC24=""," ",IF(CC24&lt;2,"MUY BLANDA",IF(CC24=2,"MUY BLANDA A BLANDA",IF(CC24&lt;4,"BLANDA",IF(CC24=4,"BLANDA A MEDIA",IF(CC24&lt;8,"MEDIA",IF(CC24=8,"MEDIA A FIRME",IF(CC24&lt;15,"FIRME",IF(CC24=15,"FIRME A MUY FIRME",IF(CC24&lt;30,"MUY FIRME",IF(CC24=30,"MUY FIRME A DURA","DURA"))))))))))))</f>
        <v> </v>
      </c>
      <c r="BA24" s="225" t="str">
        <f aca="false">IF(AW24=" "," ",IF(DC24=""," ",IF(DC24&lt;4,"MUY SUELTA",IF(DC24=4,"MUY SUELTA A SUELTA",IF(DC24&lt;10,"SUELTA",IF(DC24=10,"SUELTA A MEDIA",IF(DC24&lt;30,"MEDIA",IF(DC24=30,"MEDIA A DENSO",IF(DC24&lt;50,"DENSO",IF(DC24=50,"DENSO MUY DENSO","MUY DENSO"))))))))))</f>
        <v> </v>
      </c>
      <c r="BB24" s="226" t="str">
        <f aca="false">IF(BR25=0,"",CQ25*0.0101972)</f>
        <v/>
      </c>
      <c r="BC24" s="227" t="n">
        <f aca="false">+BC23+0.1</f>
        <v>0.7</v>
      </c>
      <c r="BD24" s="227" t="str">
        <f aca="false">IF(BC24&lt;=$AN$10,BC24,"")</f>
        <v/>
      </c>
      <c r="BE24" s="228" t="n">
        <f aca="false">ISNUMBER(BD24)</f>
        <v>0</v>
      </c>
      <c r="BF24" s="229" t="str">
        <f aca="false">MID(M24,1,1)</f>
        <v/>
      </c>
      <c r="BG24" s="230" t="str">
        <f aca="false">IF(BF24="S","",IF(BF24="G","",MID(M24,2,1)))</f>
        <v/>
      </c>
      <c r="BH24" s="231" t="str">
        <f aca="false">CONCATENATE(BF24,BG24)</f>
        <v/>
      </c>
      <c r="BI24" s="6" t="str">
        <f aca="false">IF(BE24=FALSE(),"",IF(BH24="",BI23,BH24))</f>
        <v/>
      </c>
      <c r="BJ24" s="74" t="str">
        <f aca="false">IF(OR(BI24="S",BI24="G"),BI24,"X")</f>
        <v>X</v>
      </c>
      <c r="BK24" s="74" t="s">
        <v>184</v>
      </c>
      <c r="BL24" s="232" t="e">
        <f aca="false">INDEX(sim_0,MATCH($BJ$24,granular,0))</f>
        <v>#NAME?</v>
      </c>
      <c r="BM24" s="232"/>
      <c r="BN24" s="6"/>
      <c r="BO24" s="191" t="n">
        <f aca="false">BO23+0.1</f>
        <v>0.7</v>
      </c>
      <c r="BP24" s="233" t="e">
        <f aca="false">IF(AW24=0,NA(),IF(AS24=$AX$3,ROUND(DC24,0),NA()))</f>
        <v>#N/A</v>
      </c>
      <c r="BQ24" s="31" t="e">
        <f aca="false">IF(AW24=0,NA(),IF(AS24=$AX$4,ROUND(CC24,0),NA()))</f>
        <v>#N/A</v>
      </c>
      <c r="BR24" s="234" t="n">
        <f aca="false">+AW24</f>
        <v>0</v>
      </c>
      <c r="BS24" s="235" t="str">
        <f aca="false">IF(BR24=0,"", -0.00000000016128755327*CC24^6 + 0.00000006709386362421*CC24^5 - 0.0000106217678052217*CC24^4 + 0.00081068114193385*CC24^3 - 0.0314027378159951*CC24^2 + 0.649796593937842*CC24 + 13.7888866455022)</f>
        <v/>
      </c>
      <c r="BT24" s="235" t="str">
        <f aca="false">IF(BR24=0,"",-0.00000000014625939695*CC24^6 + 0.00000004971732060241*CC24^5 - 0.000006683744342031*CC24^4 + 0.0004563177378098*CC24^3 - 0.0171727530635803*CC24^2 + 0.444529932876435*CC24 + 15.6692518940565)</f>
        <v/>
      </c>
      <c r="BU24" s="236" t="str">
        <f aca="false">IF(BR24=0,"", -0.0000000008152265738*BR24^6 + 0.00000022764320256987*BR24^5 - 0.0000248205675927705*BR24^4 + 0.00133186623684865*BR24^3 - 0.0368442570441677*BR24^2 + 0.580111565569094*BR24 + 14.0417598296107)</f>
        <v/>
      </c>
      <c r="BV24" s="236" t="str">
        <f aca="false">IF(BR24=0,"", -0.00000000004321395721*BR24^6 + 0.00000002531844275498*BR24^5 - 0.00000369428022780862*BR24^4 + 0.00020283665900125*BR24^3 - 0.00462426256803268*BR24^2 + 0.139572935065453*BR24 + 15.4475338156923)</f>
        <v/>
      </c>
      <c r="BW24" s="236" t="str">
        <f aca="false">IF(BR24=0,"",-0.00000000033126390082*BR24^6 + 0.00000010463660614506*BR24^5 - 0.0000129629592998707*BR24^4 + 0.000803946335250767*BR24^3 - 0.0270257140395994*BR24^2 + 0.562590210721552*BR24+ 12.1254107606419)</f>
        <v/>
      </c>
      <c r="BX24" s="236" t="str">
        <f aca="false">IF(BR24=0,"",-0.00000000002593504955*BR24^6 + 0.00000002430495156704*BR24^5 - 0.00000386103271086364*BR24^4 + 0.000214416118986322*BR24^3 - 0.0047271462612021*BR24^2 + 0.156696175741135*BR24 + 15.4598891949502)</f>
        <v/>
      </c>
      <c r="BY24" s="234" t="str">
        <f aca="false">IF(BR24=0,"",$BS$2)</f>
        <v/>
      </c>
      <c r="BZ24" s="234" t="str">
        <f aca="false">IF(BR24=0,"",$BS$3)</f>
        <v/>
      </c>
      <c r="CA24" s="234" t="str">
        <f aca="false">IF(BR24=0,"",$BS$4)</f>
        <v/>
      </c>
      <c r="CB24" s="235" t="str">
        <f aca="false">IF(BR24=0,"",IF(AND(BO24&gt;=0,BO24&lt;4),0.75,IF(AND(BO24&gt;=4,BO24&lt;6),0.85,IF(AND(BO24&gt;=6,BO24&lt;=10),0.95,1))))</f>
        <v/>
      </c>
      <c r="CC24" s="234" t="str">
        <f aca="false">IF(BR24=0,"",BR24*BY24*BZ24*CA24*CB24/60)</f>
        <v/>
      </c>
      <c r="CD24" s="238" t="str">
        <f aca="false">IF(BR24=0,"",IF($S$12="NO","NO",IF($AD$12&lt;=BO24,"SI","NO")))</f>
        <v/>
      </c>
      <c r="CE24" s="235" t="n">
        <f aca="false">IF(BR24=0,0,AB24)</f>
        <v>0</v>
      </c>
      <c r="CF24" s="235" t="n">
        <f aca="false">IF(CE24&gt;0,BO24,0)</f>
        <v>0</v>
      </c>
      <c r="CG24" s="239" t="n">
        <f aca="false">IF(CF24=0,CF24+CG23,CF24)</f>
        <v>0</v>
      </c>
      <c r="CH24" s="239" t="n">
        <f aca="false">IF(CG24=CG23,CH23,ABS(CG24-CG23))</f>
        <v>0</v>
      </c>
      <c r="CI24" s="239" t="n">
        <f aca="false">+CE24*CH24</f>
        <v>0</v>
      </c>
      <c r="CJ24" s="239" t="n">
        <f aca="false">IF(CI24=0,CI24+CJ23,CI24)</f>
        <v>0</v>
      </c>
      <c r="CK24" s="239" t="n">
        <f aca="false">IF(CJ24=CJ23,CK23,ABS(CJ24+CK23))</f>
        <v>0</v>
      </c>
      <c r="CL24" s="241" t="n">
        <f aca="false">IF(CE24=0,0,CK24)</f>
        <v>0</v>
      </c>
      <c r="CM24" s="239" t="n">
        <f aca="false">IF(CE24=0,0,CH24*9.81)</f>
        <v>0</v>
      </c>
      <c r="CN24" s="239" t="n">
        <f aca="false">IF(CM24=0,CM24+CN23,CM24)</f>
        <v>0</v>
      </c>
      <c r="CO24" s="239" t="n">
        <f aca="false">IF(CN24=CN23,CO23,ABS(CN24+CO23))</f>
        <v>0</v>
      </c>
      <c r="CP24" s="241" t="n">
        <f aca="false">IF(CD24="NO",0,IF(CE24=0,0,CO24))</f>
        <v>0</v>
      </c>
      <c r="CQ24" s="244" t="str">
        <f aca="false">IF(BR24=0,"",CL24-CP24)</f>
        <v/>
      </c>
      <c r="CR24" s="244" t="str">
        <f aca="false">IF(BR24=0,"",CQ24/101.3)</f>
        <v/>
      </c>
      <c r="CS24" s="244" t="str">
        <f aca="false">IF(BR24=0,"",LOG(10/CR24))</f>
        <v/>
      </c>
      <c r="CT24" s="243" t="str">
        <f aca="false">IF(BR24=0,"",IF(SQRT(101.3/CQ24)&lt;=1.7,SQRT(101.3/CQ24),2.2/(1.2+(CQ24/101.3))))</f>
        <v/>
      </c>
      <c r="CU24" s="244" t="str">
        <f aca="false">IF(BR24=0,"",1.7/(0.7+CR24))</f>
        <v/>
      </c>
      <c r="CV24" s="244" t="str">
        <f aca="false">IF(BR24=0,"",IF(CR24&gt;=0.25,0.77*LOG(20/CR24),""))</f>
        <v/>
      </c>
      <c r="CW24" s="244" t="str">
        <f aca="false">IF(BR24=0,"",32.5/(10.2+20.3*CR24))</f>
        <v/>
      </c>
      <c r="CX24" s="244" t="str">
        <f aca="false">IF(BR24=0,"",1-1.25*LOG(CR24))</f>
        <v/>
      </c>
      <c r="CY24" s="244" t="str">
        <f aca="false">IF(BR24=0,"",IF(CR24&lt;1,1-1.41*LOG(CR24),1+0.92*LOG(CR24)))</f>
        <v/>
      </c>
      <c r="CZ24" s="244" t="str">
        <f aca="false">IF(BR24=0,"",2/(1+CR24))</f>
        <v/>
      </c>
      <c r="DA24" s="244" t="str">
        <f aca="false">IF(BR24=0,"",IF(CR24&lt;=0.75,4/(1+4*CR24),4/(3.25+CR24)))</f>
        <v/>
      </c>
      <c r="DB24" s="244" t="str">
        <f aca="false">IF(BR24=0,"",CT24)</f>
        <v/>
      </c>
      <c r="DC24" s="244" t="str">
        <f aca="false">IF(BR24=0,"",DB24*CC24)</f>
        <v/>
      </c>
      <c r="DD24" s="244"/>
      <c r="DE24" s="244" t="str">
        <f aca="false">IF(BR24=0,"",0.193*(CC24/(CQ24*0.001))^0.689)</f>
        <v/>
      </c>
      <c r="DF24" s="244" t="str">
        <f aca="false">IF(BR24=0,"",IF(AS24=$AX$4,(0.1348118*CC24 - 0.0383065)*98.0665,""))</f>
        <v/>
      </c>
      <c r="DG24" s="244" t="str">
        <f aca="false">IF(BR24=0,"",IF(AS24=$AX$4,DF24/2,""))</f>
        <v/>
      </c>
      <c r="DH24" s="244" t="str">
        <f aca="false">IF(BR24=0,"",IF(DC24&lt;=15,12*(DC24+6),40+12*(DC24-6)))</f>
        <v/>
      </c>
      <c r="DI24" s="244" t="str">
        <f aca="false">IF(BR24=0,"",IF(CD24="SI",5*(DC24+15),((3.3*(DC24+15))+(4*(DC24+12)))/2))</f>
        <v/>
      </c>
      <c r="DJ24" s="244" t="str">
        <f aca="false">IF(BR24=0,"",8*DC24)</f>
        <v/>
      </c>
      <c r="DK24" s="244" t="str">
        <f aca="false">IF(BR24=0,"",215+(10.6*DC24))</f>
        <v/>
      </c>
      <c r="DL24" s="244" t="str">
        <f aca="false">IF(BR24=0,"",10*(7.5+(0.5*DC24)))</f>
        <v/>
      </c>
      <c r="DM24" s="244" t="str">
        <f aca="false">IF(BR24=0,"",8*DC24)</f>
        <v/>
      </c>
      <c r="DN24" s="244" t="str">
        <f aca="false">IF(AW24=" "," ",IF(DC24=""," ",IF(DC24&lt;4,10*10.2,IF(DC24=4,12*10.2,IF(DC24&lt;10,17.5*10.5,IF(DC24=10,15*10.2,IF(DC24&lt;30,22.5*10.2,IF(DC24=30,35*10.2,IF(DC24&lt;50,40*10.2,IF(DC24=50,50*10.2,55*10.2))))))))))</f>
        <v> </v>
      </c>
      <c r="DO24" s="244" t="str">
        <f aca="false">IF(BR24=0,"",7*SQRT(DC24)*10.1972)</f>
        <v/>
      </c>
      <c r="DP24" s="244" t="str">
        <f aca="false">IF(BR24=0,"",IF(AS24=$AX$4,5*CC24,""))</f>
        <v/>
      </c>
      <c r="DQ24" s="244" t="str">
        <f aca="false">IF(AW24=" "," ",IF(DC24=""," ",IF(DC24&lt;2,4*10.2,IF(DC24=2,6*10.2,IF(DC24&lt;4,12*10.2,IF(DC24=4,20*10.2,IF(DC24&lt;8,30*10.2,IF(DC24=8,35*10.2,IF(DC24&lt;15,40*10.2,IF(DC24=15,42*10.2,IF(DC24&lt;30,45*10.2,IF(DC24=30,50*10.2,70*10.2))))))))))))</f>
        <v> </v>
      </c>
      <c r="DR24" s="244" t="str">
        <f aca="false">IF(BR24=0,"",IF(AS24=$AX$4,220*DP24*0.0101972,""))</f>
        <v/>
      </c>
      <c r="DS24" s="271" t="str">
        <f aca="false">IF(BR24=0,"",IF(AS24=$AX$7,(SUM(DH24:DO24)-MIN(DH24:DO24)-MAX(DH24:DO24))/6,(SUM(DO24:DR24)-MIN(DO24:DR24)-MAX(DO24:DR24))/2))</f>
        <v/>
      </c>
      <c r="DT24" s="244" t="str">
        <f aca="false">IF(AW24=" "," ",IF(DC24=""," ",IF(DC24&lt;4,0.2,IF(DC24=4,0.27,IF(DC24&lt;10,0.33,IF(DC24=10,0.35,IF(DC24&lt;30,0.36,IF(DC24=30,0.37,IF(DC24&lt;50,0.38,IF(DC24=50,0.4,0.45))))))))))</f>
        <v> </v>
      </c>
      <c r="DU24" s="272" t="str">
        <f aca="false">IF(AW24=" "," ",IF(CC24=""," ",IF(CC24&lt;2,0.2,IF(CC24=2,0.23,IF(CC24&lt;4,0.26,IF(CC24=4,0.29,IF(CC24&lt;8,0.32,IF(CC24=8,0.35,IF(CC24&lt;15,0.38,IF(CC24=15,0.41,IF(CC24&lt;30,0.44,IF(CC24=30,0.47,0.5))))))))))))</f>
        <v> </v>
      </c>
      <c r="DV24" s="244" t="str">
        <f aca="false">IF(BR24=0,"",IF(AS24=$AX$3,DT24,DU24))</f>
        <v/>
      </c>
      <c r="DW24" s="244" t="str">
        <f aca="false">IF(BR24=0,"",IF(DC24&gt;15,15+0.5*(DC24-15),DC24))</f>
        <v/>
      </c>
      <c r="DX24" s="244" t="str">
        <f aca="false">IF(BR24=0,"",IF($S$12="SI",IF(CD24="NO",IF($AD$12&gt;(BO24+1.5*$ED$15),1,0.5),0.5),1))</f>
        <v/>
      </c>
      <c r="DY24" s="244" t="str">
        <f aca="false">IF(BR24=0,"",IF(S8="SI",IF(CD24="NO",IF($AD$12&gt;(BO24+1.5*$EE$15),1,0.5))))</f>
        <v/>
      </c>
      <c r="DZ24" s="244" t="str">
        <f aca="false">IF(BR24=0,"",IF($S$12="SI",IF(CD24="NO",IF($AD$12&gt;(BO24+1.5*$EF$15),1,0.5),0.5),1))</f>
        <v/>
      </c>
      <c r="EA24" s="244" t="str">
        <f aca="false">IF(BR24=0,"",IF($S$12="SI",IF(CD24="NO",IF($AD$12&gt;(BO24+1.5*$ED$15),1,0.5),IF($AD$12=BO24,1,0.5)),1))</f>
        <v/>
      </c>
      <c r="EB24" s="244" t="str">
        <f aca="false">IF(BR24=0,"",IF($S$12="SI",IF(CD24="NO",IF($AD$12&gt;(BO24+1.5*$EE$15),1,0.5),IF($AD$12=BO24,1,0.5)),1))</f>
        <v/>
      </c>
      <c r="EC24" s="244" t="str">
        <f aca="false">IF(BR24=0,"",IF($S$12="SI",IF(CD24="NO",IF($AD$12&gt;(BO24+1.5*$EF$15),1,0.5),IF($AD$12=BO24,1,0.5)),1))</f>
        <v/>
      </c>
      <c r="ED24" s="244" t="str">
        <f aca="false">IF(BR24=0,"",(DW24*($ED$15/10)*(DX24+EA24*(BO24/$ED$15))*1)/3)</f>
        <v/>
      </c>
      <c r="EE24" s="244" t="str">
        <f aca="false">IF(BR24=0,"",(DW24*($EE$15/10)*(DY24+EB24*(BO24/$EE$15))*1)/3)</f>
        <v/>
      </c>
      <c r="EF24" s="244" t="str">
        <f aca="false">IF(BR24=0,"",(DW24*($EF$15/10)*(DZ24+EC24*(BO24/$EF$15))*1)/3)</f>
        <v/>
      </c>
      <c r="EG24" s="273" t="str">
        <f aca="false">IF(BR24=0,"",IF(CD24="SI",0.5,1))</f>
        <v/>
      </c>
      <c r="EH24" s="244" t="str">
        <f aca="false">IF(BR24=0,"",IF((1+0.33*(BO24/$ED$15))&lt;=1.33,(1+0.33*(BO24/$ED$15)),1.33))</f>
        <v/>
      </c>
      <c r="EI24" s="244" t="str">
        <f aca="false">IF(BR24=0,"",IF((1+0.33*(BO24/$EE$15))&lt;=1.33,(1+0.33*(BO24/$EE$15)),1.33))</f>
        <v/>
      </c>
      <c r="EJ24" s="244" t="str">
        <f aca="false">IF(BR24=0,"",IF((1+0.33*(BO24/$EF$15))&lt;=1.33,(1+0.33*(BO24/$EF$15)),1.33))</f>
        <v/>
      </c>
      <c r="EK24" s="244" t="str">
        <f aca="false">IF(BR24=0,"",IF($ED$15&lt;=1.2,((20*DC24*EG24*EH24)/3)*0.010197,((12.5*DC24*((($ED$15+0.3)^2)/$ED$15)*EG24*EH24)/3)*0.010197))</f>
        <v/>
      </c>
      <c r="EL24" s="244" t="str">
        <f aca="false">IF(BR24=0,"",IF($EE$15&lt;=1.2,((20*DC24*EG24*EI24)/3)*0.010197,((12.5*DC24*((($EE$15+0.3)^2)/$EE$15)*EG24*EI24)/3)*0.010197))</f>
        <v/>
      </c>
      <c r="EM24" s="244" t="str">
        <f aca="false">IF(BR24=0,"",IF($EF$15&lt;=1.2,((20*DC24*EG24*EJ24)/3)*0.010197,((12.5*DC24*((($EF$15+0.3)^2)/$EF$15)*EG24*EJ24)/3)*0.010197))</f>
        <v/>
      </c>
      <c r="EN24" s="248" t="str">
        <f aca="false">IF(BR24=0,"",SQRT(12*BR24)+25)</f>
        <v/>
      </c>
      <c r="EO24" s="248" t="str">
        <f aca="false">IF(BR24=0,"",28.5+0.25*BR24)</f>
        <v/>
      </c>
      <c r="EP24" s="248" t="str">
        <f aca="false">IF(BR24=0,"",SQRT(20*BR24)+15)</f>
        <v/>
      </c>
      <c r="EQ24" s="248" t="str">
        <f aca="false">IF(BR24=0,"",23.7+0.57*BR24-0.0006*BR24*BR24)</f>
        <v/>
      </c>
      <c r="ER24" s="248" t="str">
        <f aca="false">IF(BR24=0,"",15+SQRT(20*BR24))</f>
        <v/>
      </c>
      <c r="ES24" s="248" t="str">
        <f aca="false">IF(BR24=0,"",3.5*SQRT(BR24)+20)</f>
        <v/>
      </c>
      <c r="ET24" s="248" t="str">
        <f aca="false">IF(BR24=0,"",27.1+0.3*BR24-0.00054*BR24*BR24)</f>
        <v/>
      </c>
      <c r="EU24" s="248" t="str">
        <f aca="false">IF(BR24=0,"",SQRT(20*BR24)+20)</f>
        <v/>
      </c>
      <c r="EV24" s="248" t="str">
        <f aca="false">IF(BR24=0,"",12.79+SQRT(25.86*BR24))</f>
        <v/>
      </c>
      <c r="EW24" s="248" t="str">
        <f aca="false">IF(BR24=0,"",_xlfn.ACOT((CC24/(12.2+20.3*CR24))^0.34))</f>
        <v/>
      </c>
      <c r="EX24" s="248" t="str">
        <f aca="false">IF(BR24=0,"",24+(5.77*LN(0.17*BR24)))</f>
        <v/>
      </c>
      <c r="EY24" s="248" t="str">
        <f aca="false">IF(BR24=0,"",(SUM(EN24:EX24)-MIN(EN24:EX24)-MAX(EN24:EX24))/9)</f>
        <v/>
      </c>
      <c r="EZ24" s="248" t="str">
        <f aca="false">IF(BR24=0,"", -0.0000000034*BR24^6 + 0.0000008305*BR24^5 - 0.0000741842*BR24^4 + 0.0030204278*BR24^3 - 0.0541594733*BR24^2 + 0.8083147848*BR24 - 0.6182191243)</f>
        <v/>
      </c>
      <c r="FA24" s="249" t="str">
        <f aca="false">IF(BR24=0,"",(0.134811827956989*BR24 - 0.0383064516129019)/2)</f>
        <v/>
      </c>
      <c r="FB24" s="249" t="str">
        <f aca="false">IF(BR24=0,"",BR24*0.065)</f>
        <v/>
      </c>
      <c r="FC24" s="249" t="str">
        <f aca="false">IF(BR24=0,"",(BR24*0.12*0.48)*SQRT((1+SIN(EZ24*((2*PI())/360))/(1-SIN(EZ24*((2*PI())/360))))))</f>
        <v/>
      </c>
      <c r="FD24" s="249" t="str">
        <f aca="false">IF(BR24=0,"",(BR24/8)/2)</f>
        <v/>
      </c>
      <c r="FE24" s="249" t="str">
        <f aca="false">IF(BR24=0,"",(SUM(FA24:FD24)-MIN(FA24:FD24)-MAX(FA24:FD24))/2)</f>
        <v/>
      </c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</row>
    <row r="25" customFormat="false" ht="9.75" hidden="false" customHeight="true" outlineLevel="0" collapsed="false">
      <c r="A25" s="197" t="n">
        <f aca="false">ROUND(A24+0.1,1)</f>
        <v>0.8</v>
      </c>
      <c r="B25" s="250" t="n">
        <f aca="false">+A25</f>
        <v>0.8</v>
      </c>
      <c r="C25" s="251"/>
      <c r="D25" s="251"/>
      <c r="E25" s="274"/>
      <c r="F25" s="253"/>
      <c r="G25" s="254"/>
      <c r="H25" s="255"/>
      <c r="I25" s="256"/>
      <c r="J25" s="257"/>
      <c r="K25" s="258"/>
      <c r="L25" s="259"/>
      <c r="M25" s="276"/>
      <c r="N25" s="277"/>
      <c r="O25" s="277"/>
      <c r="P25" s="277"/>
      <c r="Q25" s="260"/>
      <c r="R25" s="278"/>
      <c r="S25" s="278"/>
      <c r="T25" s="261"/>
      <c r="U25" s="261"/>
      <c r="V25" s="262"/>
      <c r="W25" s="262"/>
      <c r="X25" s="262"/>
      <c r="Y25" s="262"/>
      <c r="Z25" s="262"/>
      <c r="AA25" s="262"/>
      <c r="AB25" s="263"/>
      <c r="AC25" s="264"/>
      <c r="AD25" s="265"/>
      <c r="AE25" s="264"/>
      <c r="AF25" s="266"/>
      <c r="AG25" s="267"/>
      <c r="AH25" s="267"/>
      <c r="AI25" s="241"/>
      <c r="AJ25" s="241"/>
      <c r="AK25" s="266"/>
      <c r="AL25" s="266"/>
      <c r="AM25" s="268"/>
      <c r="AN25" s="250" t="n">
        <f aca="false">+AN23+0.2</f>
        <v>0.8</v>
      </c>
      <c r="AO25" s="251"/>
      <c r="AP25" s="251"/>
      <c r="AQ25" s="274"/>
      <c r="AR25" s="253"/>
      <c r="AS25" s="269" t="s">
        <v>13</v>
      </c>
      <c r="AT25" s="221"/>
      <c r="AU25" s="269"/>
      <c r="AV25" s="269"/>
      <c r="AW25" s="270" t="n">
        <f aca="false">+K25+L25</f>
        <v>0</v>
      </c>
      <c r="AX25" s="270" t="str">
        <f aca="false">IF(AS25="&gt;50","CONSISTENCIA",IF(AS25="&lt;50","COMPACIDAD"," "))</f>
        <v>COMPACIDAD</v>
      </c>
      <c r="AY25" s="225" t="str">
        <f aca="false">IF(AS25="&gt;50",AZ25,IF(AS25="&lt;50",BA25," "))</f>
        <v> </v>
      </c>
      <c r="AZ25" s="224" t="str">
        <f aca="false">IF(AW25=" "," ",IF(CC25=""," ",IF(CC25&lt;2,"MUY BLANDA",IF(CC25=2,"MUY BLANDA A BLANDA",IF(CC25&lt;4,"BLANDA",IF(CC25=4,"BLANDA A MEDIA",IF(CC25&lt;8,"MEDIA",IF(CC25=8,"MEDIA A FIRME",IF(CC25&lt;15,"FIRME",IF(CC25=15,"FIRME A MUY FIRME",IF(CC25&lt;30,"MUY FIRME",IF(CC25=30,"MUY FIRME A DURA","DURA"))))))))))))</f>
        <v> </v>
      </c>
      <c r="BA25" s="225" t="str">
        <f aca="false">IF(AW25=" "," ",IF(DC25=""," ",IF(DC25&lt;4,"MUY SUELTA",IF(DC25=4,"MUY SUELTA A SUELTA",IF(DC25&lt;10,"SUELTA",IF(DC25=10,"SUELTA A MEDIA",IF(DC25&lt;30,"MEDIA",IF(DC25=30,"MEDIA A DENSO",IF(DC25&lt;50,"DENSO",IF(DC25=50,"DENSO MUY DENSO","MUY DENSO"))))))))))</f>
        <v> </v>
      </c>
      <c r="BB25" s="226" t="str">
        <f aca="false">IF(BR26=0,"",CQ26*0.0101972)</f>
        <v/>
      </c>
      <c r="BC25" s="227" t="n">
        <f aca="false">+BC24+0.1</f>
        <v>0.8</v>
      </c>
      <c r="BD25" s="227" t="str">
        <f aca="false">IF(BC25&lt;=$AN$10,BC25,"")</f>
        <v/>
      </c>
      <c r="BE25" s="228" t="n">
        <f aca="false">ISNUMBER(BD25)</f>
        <v>0</v>
      </c>
      <c r="BF25" s="229" t="str">
        <f aca="false">MID(M25,1,1)</f>
        <v/>
      </c>
      <c r="BG25" s="230" t="str">
        <f aca="false">IF(BF25="S","",IF(BF25="G","",MID(M25,2,1)))</f>
        <v/>
      </c>
      <c r="BH25" s="231" t="str">
        <f aca="false">CONCATENATE(BF25,BG25)</f>
        <v/>
      </c>
      <c r="BI25" s="6" t="str">
        <f aca="false">IF(BE25=FALSE(),"",IF(BH25="",BI24,BH25))</f>
        <v/>
      </c>
      <c r="BJ25" s="74" t="str">
        <f aca="false">IF(OR(BI25="S",BI25="G"),BI25,"X")</f>
        <v>X</v>
      </c>
      <c r="BK25" s="74" t="s">
        <v>185</v>
      </c>
      <c r="BL25" s="232" t="e">
        <f aca="false">INDEX(sim_0,MATCH($BJ$25,granular,0))</f>
        <v>#NAME?</v>
      </c>
      <c r="BM25" s="232"/>
      <c r="BN25" s="6"/>
      <c r="BO25" s="191" t="n">
        <f aca="false">BO24+0.1</f>
        <v>0.8</v>
      </c>
      <c r="BP25" s="233" t="e">
        <f aca="false">IF(AW25=0,NA(),IF(AS25=$AX$3,ROUND(DC25,0),NA()))</f>
        <v>#N/A</v>
      </c>
      <c r="BQ25" s="31" t="e">
        <f aca="false">IF(AW25=0,NA(),IF(AS25=$AX$4,ROUND(CC25,0),NA()))</f>
        <v>#N/A</v>
      </c>
      <c r="BR25" s="234" t="n">
        <f aca="false">+AW25</f>
        <v>0</v>
      </c>
      <c r="BS25" s="235" t="str">
        <f aca="false">IF(BR25=0,"", -0.00000000016128755327*CC25^6 + 0.00000006709386362421*CC25^5 - 0.0000106217678052217*CC25^4 + 0.00081068114193385*CC25^3 - 0.0314027378159951*CC25^2 + 0.649796593937842*CC25 + 13.7888866455022)</f>
        <v/>
      </c>
      <c r="BT25" s="235" t="str">
        <f aca="false">IF(BR25=0,"",-0.00000000014625939695*CC25^6 + 0.00000004971732060241*CC25^5 - 0.000006683744342031*CC25^4 + 0.0004563177378098*CC25^3 - 0.0171727530635803*CC25^2 + 0.444529932876435*CC25 + 15.6692518940565)</f>
        <v/>
      </c>
      <c r="BU25" s="236" t="str">
        <f aca="false">IF(BR25=0,"", -0.0000000008152265738*BR25^6 + 0.00000022764320256987*BR25^5 - 0.0000248205675927705*BR25^4 + 0.00133186623684865*BR25^3 - 0.0368442570441677*BR25^2 + 0.580111565569094*BR25 + 14.0417598296107)</f>
        <v/>
      </c>
      <c r="BV25" s="236" t="str">
        <f aca="false">IF(BR25=0,"", -0.00000000004321395721*BR25^6 + 0.00000002531844275498*BR25^5 - 0.00000369428022780862*BR25^4 + 0.00020283665900125*BR25^3 - 0.00462426256803268*BR25^2 + 0.139572935065453*BR25 + 15.4475338156923)</f>
        <v/>
      </c>
      <c r="BW25" s="236" t="str">
        <f aca="false">IF(BR25=0,"",-0.00000000033126390082*BR25^6 + 0.00000010463660614506*BR25^5 - 0.0000129629592998707*BR25^4 + 0.000803946335250767*BR25^3 - 0.0270257140395994*BR25^2 + 0.562590210721552*BR25+ 12.1254107606419)</f>
        <v/>
      </c>
      <c r="BX25" s="236" t="str">
        <f aca="false">IF(BR25=0,"",-0.00000000002593504955*BR25^6 + 0.00000002430495156704*BR25^5 - 0.00000386103271086364*BR25^4 + 0.000214416118986322*BR25^3 - 0.0047271462612021*BR25^2 + 0.156696175741135*BR25 + 15.4598891949502)</f>
        <v/>
      </c>
      <c r="BY25" s="234" t="str">
        <f aca="false">IF(BR25=0,"",$BS$2)</f>
        <v/>
      </c>
      <c r="BZ25" s="234" t="str">
        <f aca="false">IF(BR25=0,"",$BS$3)</f>
        <v/>
      </c>
      <c r="CA25" s="234" t="str">
        <f aca="false">IF(BR25=0,"",$BS$4)</f>
        <v/>
      </c>
      <c r="CB25" s="235" t="str">
        <f aca="false">IF(BR25=0,"",IF(AND(BO25&gt;=0,BO25&lt;4),0.75,IF(AND(BO25&gt;=4,BO25&lt;6),0.85,IF(AND(BO25&gt;=6,BO25&lt;=10),0.95,1))))</f>
        <v/>
      </c>
      <c r="CC25" s="234" t="str">
        <f aca="false">IF(BR25=0,"",BR25*BY25*BZ25*CA25*CB25/60)</f>
        <v/>
      </c>
      <c r="CD25" s="238" t="str">
        <f aca="false">IF(BR25=0,"",IF($S$12="NO","NO",IF($AD$12&lt;=BO25,"SI","NO")))</f>
        <v/>
      </c>
      <c r="CE25" s="235" t="n">
        <f aca="false">IF(BR25=0,0,AB25)</f>
        <v>0</v>
      </c>
      <c r="CF25" s="235" t="n">
        <f aca="false">IF(CE25&gt;0,BO25,0)</f>
        <v>0</v>
      </c>
      <c r="CG25" s="239" t="n">
        <f aca="false">IF(CF25=0,CF25+CG24,CF25)</f>
        <v>0</v>
      </c>
      <c r="CH25" s="239" t="n">
        <f aca="false">IF(CG25=CG24,CH24,ABS(CG25-CG24))</f>
        <v>0</v>
      </c>
      <c r="CI25" s="239" t="n">
        <f aca="false">+CE25*CH25</f>
        <v>0</v>
      </c>
      <c r="CJ25" s="239" t="n">
        <f aca="false">IF(CI25=0,CI25+CJ24,CI25)</f>
        <v>0</v>
      </c>
      <c r="CK25" s="239" t="n">
        <f aca="false">IF(CJ25=CJ24,CK24,ABS(CJ25+CK24))</f>
        <v>0</v>
      </c>
      <c r="CL25" s="241" t="n">
        <f aca="false">IF(CE25=0,0,CK25)</f>
        <v>0</v>
      </c>
      <c r="CM25" s="239" t="n">
        <f aca="false">IF(CE25=0,0,CH25*9.81)</f>
        <v>0</v>
      </c>
      <c r="CN25" s="239" t="n">
        <f aca="false">IF(CM25=0,CM25+CN24,CM25)</f>
        <v>0</v>
      </c>
      <c r="CO25" s="239" t="n">
        <f aca="false">IF(CN25=CN24,CO24,ABS(CN25+CO24))</f>
        <v>0</v>
      </c>
      <c r="CP25" s="241" t="n">
        <f aca="false">IF(CD25="NO",0,IF(CE25=0,0,CO25))</f>
        <v>0</v>
      </c>
      <c r="CQ25" s="244" t="str">
        <f aca="false">IF(BR25=0,"",CL25-CP25)</f>
        <v/>
      </c>
      <c r="CR25" s="244" t="str">
        <f aca="false">IF(BR25=0,"",CQ25/101.3)</f>
        <v/>
      </c>
      <c r="CS25" s="244" t="str">
        <f aca="false">IF(BR25=0,"",LOG(10/CR25))</f>
        <v/>
      </c>
      <c r="CT25" s="243" t="str">
        <f aca="false">IF(BR25=0,"",IF(SQRT(101.3/CQ25)&lt;=1.7,SQRT(101.3/CQ25),2.2/(1.2+(CQ25/101.3))))</f>
        <v/>
      </c>
      <c r="CU25" s="244" t="str">
        <f aca="false">IF(BR25=0,"",1.7/(0.7+CR25))</f>
        <v/>
      </c>
      <c r="CV25" s="244" t="str">
        <f aca="false">IF(BR25=0,"",IF(CR25&gt;=0.25,0.77*LOG(20/CR25),""))</f>
        <v/>
      </c>
      <c r="CW25" s="244" t="str">
        <f aca="false">IF(BR25=0,"",32.5/(10.2+20.3*CR25))</f>
        <v/>
      </c>
      <c r="CX25" s="244" t="str">
        <f aca="false">IF(BR25=0,"",1-1.25*LOG(CR25))</f>
        <v/>
      </c>
      <c r="CY25" s="244" t="str">
        <f aca="false">IF(BR25=0,"",IF(CR25&lt;1,1-1.41*LOG(CR25),1+0.92*LOG(CR25)))</f>
        <v/>
      </c>
      <c r="CZ25" s="244" t="str">
        <f aca="false">IF(BR25=0,"",2/(1+CR25))</f>
        <v/>
      </c>
      <c r="DA25" s="244" t="str">
        <f aca="false">IF(BR25=0,"",IF(CR25&lt;=0.75,4/(1+4*CR25),4/(3.25+CR25)))</f>
        <v/>
      </c>
      <c r="DB25" s="244" t="str">
        <f aca="false">IF(BR25=0,"",CT25)</f>
        <v/>
      </c>
      <c r="DC25" s="244" t="str">
        <f aca="false">IF(BR25=0,"",DB25*CC25)</f>
        <v/>
      </c>
      <c r="DD25" s="244"/>
      <c r="DE25" s="244" t="str">
        <f aca="false">IF(BR25=0,"",0.193*(CC25/(CQ25*0.001))^0.689)</f>
        <v/>
      </c>
      <c r="DF25" s="244" t="str">
        <f aca="false">IF(BR25=0,"",IF(AS25=$AX$4,(0.1348118*CC25 - 0.0383065)*98.0665,""))</f>
        <v/>
      </c>
      <c r="DG25" s="244" t="str">
        <f aca="false">IF(BR25=0,"",IF(AS25=$AX$4,DF25/2,""))</f>
        <v/>
      </c>
      <c r="DH25" s="244" t="str">
        <f aca="false">IF(BR25=0,"",IF(DC25&lt;=15,12*(DC25+6),40+12*(DC25-6)))</f>
        <v/>
      </c>
      <c r="DI25" s="244" t="str">
        <f aca="false">IF(BR25=0,"",IF(CD25="SI",5*(DC25+15),((3.3*(DC25+15))+(4*(DC25+12)))/2))</f>
        <v/>
      </c>
      <c r="DJ25" s="244" t="str">
        <f aca="false">IF(BR25=0,"",8*DC25)</f>
        <v/>
      </c>
      <c r="DK25" s="244" t="str">
        <f aca="false">IF(BR25=0,"",215+(10.6*DC25))</f>
        <v/>
      </c>
      <c r="DL25" s="244" t="str">
        <f aca="false">IF(BR25=0,"",10*(7.5+(0.5*DC25)))</f>
        <v/>
      </c>
      <c r="DM25" s="244" t="str">
        <f aca="false">IF(BR25=0,"",8*DC25)</f>
        <v/>
      </c>
      <c r="DN25" s="244" t="str">
        <f aca="false">IF(AW25=" "," ",IF(DC25=""," ",IF(DC25&lt;4,10*10.2,IF(DC25=4,12*10.2,IF(DC25&lt;10,17.5*10.5,IF(DC25=10,15*10.2,IF(DC25&lt;30,22.5*10.2,IF(DC25=30,35*10.2,IF(DC25&lt;50,40*10.2,IF(DC25=50,50*10.2,55*10.2))))))))))</f>
        <v> </v>
      </c>
      <c r="DO25" s="244" t="str">
        <f aca="false">IF(BR25=0,"",7*SQRT(DC25)*10.1972)</f>
        <v/>
      </c>
      <c r="DP25" s="244" t="str">
        <f aca="false">IF(BR25=0,"",IF(AS25=$AX$4,5*CC25,""))</f>
        <v/>
      </c>
      <c r="DQ25" s="244" t="str">
        <f aca="false">IF(AW25=" "," ",IF(DC25=""," ",IF(DC25&lt;2,4*10.2,IF(DC25=2,6*10.2,IF(DC25&lt;4,12*10.2,IF(DC25=4,20*10.2,IF(DC25&lt;8,30*10.2,IF(DC25=8,35*10.2,IF(DC25&lt;15,40*10.2,IF(DC25=15,42*10.2,IF(DC25&lt;30,45*10.2,IF(DC25=30,50*10.2,70*10.2))))))))))))</f>
        <v> </v>
      </c>
      <c r="DR25" s="244" t="str">
        <f aca="false">IF(BR25=0,"",IF(AS25=$AX$4,220*DP25*0.0101972,""))</f>
        <v/>
      </c>
      <c r="DS25" s="271" t="str">
        <f aca="false">IF(BR25=0,"",IF(AS25=$AX$7,(SUM(DH25:DO25)-MIN(DH25:DO25)-MAX(DH25:DO25))/6,(SUM(DO25:DR25)-MIN(DO25:DR25)-MAX(DO25:DR25))/2))</f>
        <v/>
      </c>
      <c r="DT25" s="244" t="str">
        <f aca="false">IF(AW25=" "," ",IF(DC25=""," ",IF(DC25&lt;4,0.2,IF(DC25=4,0.27,IF(DC25&lt;10,0.33,IF(DC25=10,0.35,IF(DC25&lt;30,0.36,IF(DC25=30,0.37,IF(DC25&lt;50,0.38,IF(DC25=50,0.4,0.45))))))))))</f>
        <v> </v>
      </c>
      <c r="DU25" s="272" t="str">
        <f aca="false">IF(AW25=" "," ",IF(CC25=""," ",IF(CC25&lt;2,0.2,IF(CC25=2,0.23,IF(CC25&lt;4,0.26,IF(CC25=4,0.29,IF(CC25&lt;8,0.32,IF(CC25=8,0.35,IF(CC25&lt;15,0.38,IF(CC25=15,0.41,IF(CC25&lt;30,0.44,IF(CC25=30,0.47,0.5))))))))))))</f>
        <v> </v>
      </c>
      <c r="DV25" s="244" t="str">
        <f aca="false">IF(BR25=0,"",IF(AS25=$AX$3,DT25,DU25))</f>
        <v/>
      </c>
      <c r="DW25" s="244" t="str">
        <f aca="false">IF(BR25=0,"",IF(DC25&gt;15,15+0.5*(DC25-15),DC25))</f>
        <v/>
      </c>
      <c r="DX25" s="244" t="str">
        <f aca="false">IF(BR25=0,"",IF($S$12="SI",IF(CD25="NO",IF($AD$12&gt;(BO25+1.5*$ED$15),1,0.5),0.5),1))</f>
        <v/>
      </c>
      <c r="DY25" s="244" t="str">
        <f aca="false">IF(BR25=0,"",IF(S9="SI",IF(CD25="NO",IF($AD$12&gt;(BO25+1.5*$EE$15),1,0.5))))</f>
        <v/>
      </c>
      <c r="DZ25" s="244" t="str">
        <f aca="false">IF(BR25=0,"",IF($S$12="SI",IF(CD25="NO",IF($AD$12&gt;(BO25+1.5*$EF$15),1,0.5),0.5),1))</f>
        <v/>
      </c>
      <c r="EA25" s="244" t="str">
        <f aca="false">IF(BR25=0,"",IF($S$12="SI",IF(CD25="NO",IF($AD$12&gt;(BO25+1.5*$ED$15),1,0.5),IF($AD$12=BO25,1,0.5)),1))</f>
        <v/>
      </c>
      <c r="EB25" s="244" t="str">
        <f aca="false">IF(BR25=0,"",IF($S$12="SI",IF(CD25="NO",IF($AD$12&gt;(BO25+1.5*$EE$15),1,0.5),IF($AD$12=BO25,1,0.5)),1))</f>
        <v/>
      </c>
      <c r="EC25" s="244" t="str">
        <f aca="false">IF(BR25=0,"",IF($S$12="SI",IF(CD25="NO",IF($AD$12&gt;(BO25+1.5*$EF$15),1,0.5),IF($AD$12=BO25,1,0.5)),1))</f>
        <v/>
      </c>
      <c r="ED25" s="244" t="str">
        <f aca="false">IF(BR25=0,"",(DW25*($ED$15/10)*(DX25+EA25*(BO25/$ED$15))*1)/3)</f>
        <v/>
      </c>
      <c r="EE25" s="244" t="str">
        <f aca="false">IF(BR25=0,"",(DW25*($EE$15/10)*(DY25+EB25*(BO25/$EE$15))*1)/3)</f>
        <v/>
      </c>
      <c r="EF25" s="244" t="str">
        <f aca="false">IF(BR25=0,"",(DW25*($EF$15/10)*(DZ25+EC25*(BO25/$EF$15))*1)/3)</f>
        <v/>
      </c>
      <c r="EG25" s="273" t="str">
        <f aca="false">IF(BR25=0,"",IF(CD25="SI",0.5,1))</f>
        <v/>
      </c>
      <c r="EH25" s="244" t="str">
        <f aca="false">IF(BR25=0,"",IF((1+0.33*(BO25/$ED$15))&lt;=1.33,(1+0.33*(BO25/$ED$15)),1.33))</f>
        <v/>
      </c>
      <c r="EI25" s="244" t="str">
        <f aca="false">IF(BR25=0,"",IF((1+0.33*(BO25/$EE$15))&lt;=1.33,(1+0.33*(BO25/$EE$15)),1.33))</f>
        <v/>
      </c>
      <c r="EJ25" s="244" t="str">
        <f aca="false">IF(BR25=0,"",IF((1+0.33*(BO25/$EF$15))&lt;=1.33,(1+0.33*(BO25/$EF$15)),1.33))</f>
        <v/>
      </c>
      <c r="EK25" s="244" t="str">
        <f aca="false">IF(BR25=0,"",IF($ED$15&lt;=1.2,((20*DC25*EG25*EH25)/3)*0.010197,((12.5*DC25*((($ED$15+0.3)^2)/$ED$15)*EG25*EH25)/3)*0.010197))</f>
        <v/>
      </c>
      <c r="EL25" s="244" t="str">
        <f aca="false">IF(BR25=0,"",IF($EE$15&lt;=1.2,((20*DC25*EG25*EI25)/3)*0.010197,((12.5*DC25*((($EE$15+0.3)^2)/$EE$15)*EG25*EI25)/3)*0.010197))</f>
        <v/>
      </c>
      <c r="EM25" s="244" t="str">
        <f aca="false">IF(BR25=0,"",IF($EF$15&lt;=1.2,((20*DC25*EG25*EJ25)/3)*0.010197,((12.5*DC25*((($EF$15+0.3)^2)/$EF$15)*EG25*EJ25)/3)*0.010197))</f>
        <v/>
      </c>
      <c r="EN25" s="248" t="str">
        <f aca="false">IF(BR25=0,"",SQRT(12*BR25)+25)</f>
        <v/>
      </c>
      <c r="EO25" s="248" t="str">
        <f aca="false">IF(BR25=0,"",28.5+0.25*BR25)</f>
        <v/>
      </c>
      <c r="EP25" s="248" t="str">
        <f aca="false">IF(BR25=0,"",SQRT(20*BR25)+15)</f>
        <v/>
      </c>
      <c r="EQ25" s="248" t="str">
        <f aca="false">IF(BR25=0,"",23.7+0.57*BR25-0.0006*BR25*BR25)</f>
        <v/>
      </c>
      <c r="ER25" s="248" t="str">
        <f aca="false">IF(BR25=0,"",15+SQRT(20*BR25))</f>
        <v/>
      </c>
      <c r="ES25" s="248" t="str">
        <f aca="false">IF(BR25=0,"",3.5*SQRT(BR25)+20)</f>
        <v/>
      </c>
      <c r="ET25" s="248" t="str">
        <f aca="false">IF(BR25=0,"",27.1+0.3*BR25-0.00054*BR25*BR25)</f>
        <v/>
      </c>
      <c r="EU25" s="248" t="str">
        <f aca="false">IF(BR25=0,"",SQRT(20*BR25)+20)</f>
        <v/>
      </c>
      <c r="EV25" s="248" t="str">
        <f aca="false">IF(BR25=0,"",12.79+SQRT(25.86*BR25))</f>
        <v/>
      </c>
      <c r="EW25" s="248" t="str">
        <f aca="false">IF(BR25=0,"",_xlfn.ACOT((CC25/(12.2+20.3*CR25))^0.34))</f>
        <v/>
      </c>
      <c r="EX25" s="248" t="str">
        <f aca="false">IF(BR25=0,"",24+(5.77*LN(0.17*BR25)))</f>
        <v/>
      </c>
      <c r="EY25" s="248" t="str">
        <f aca="false">IF(BR25=0,"",(SUM(EN25:EX25)-MIN(EN25:EX25)-MAX(EN25:EX25))/9)</f>
        <v/>
      </c>
      <c r="EZ25" s="248" t="str">
        <f aca="false">IF(BR25=0,"", -0.0000000034*BR25^6 + 0.0000008305*BR25^5 - 0.0000741842*BR25^4 + 0.0030204278*BR25^3 - 0.0541594733*BR25^2 + 0.8083147848*BR25 - 0.6182191243)</f>
        <v/>
      </c>
      <c r="FA25" s="249" t="str">
        <f aca="false">IF(BR25=0,"",(0.134811827956989*BR25 - 0.0383064516129019)/2)</f>
        <v/>
      </c>
      <c r="FB25" s="249" t="str">
        <f aca="false">IF(BR25=0,"",BR25*0.065)</f>
        <v/>
      </c>
      <c r="FC25" s="249" t="str">
        <f aca="false">IF(BR25=0,"",(BR25*0.12*0.48)*SQRT((1+SIN(EZ25*((2*PI())/360))/(1-SIN(EZ25*((2*PI())/360))))))</f>
        <v/>
      </c>
      <c r="FD25" s="249" t="str">
        <f aca="false">IF(BR25=0,"",(BR25/8)/2)</f>
        <v/>
      </c>
      <c r="FE25" s="249" t="str">
        <f aca="false">IF(BR25=0,"",(SUM(FA25:FD25)-MIN(FA25:FD25)-MAX(FA25:FD25))/2)</f>
        <v/>
      </c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</row>
    <row r="26" customFormat="false" ht="9.75" hidden="false" customHeight="true" outlineLevel="0" collapsed="false">
      <c r="A26" s="197" t="n">
        <f aca="false">ROUND(A25+0.1,1)</f>
        <v>0.9</v>
      </c>
      <c r="B26" s="250"/>
      <c r="C26" s="251"/>
      <c r="D26" s="251"/>
      <c r="E26" s="199"/>
      <c r="F26" s="200"/>
      <c r="G26" s="279"/>
      <c r="H26" s="280"/>
      <c r="I26" s="280"/>
      <c r="J26" s="257"/>
      <c r="K26" s="258"/>
      <c r="L26" s="259"/>
      <c r="M26" s="276"/>
      <c r="N26" s="277"/>
      <c r="O26" s="277"/>
      <c r="P26" s="277"/>
      <c r="Q26" s="260"/>
      <c r="R26" s="278"/>
      <c r="S26" s="278"/>
      <c r="T26" s="261"/>
      <c r="U26" s="261"/>
      <c r="V26" s="262"/>
      <c r="W26" s="262"/>
      <c r="X26" s="262"/>
      <c r="Y26" s="262"/>
      <c r="Z26" s="262"/>
      <c r="AA26" s="262"/>
      <c r="AB26" s="263"/>
      <c r="AC26" s="264"/>
      <c r="AD26" s="265"/>
      <c r="AE26" s="264"/>
      <c r="AF26" s="266"/>
      <c r="AG26" s="267"/>
      <c r="AH26" s="267"/>
      <c r="AI26" s="241"/>
      <c r="AJ26" s="241"/>
      <c r="AK26" s="266"/>
      <c r="AL26" s="266"/>
      <c r="AM26" s="268"/>
      <c r="AN26" s="250"/>
      <c r="AO26" s="251"/>
      <c r="AP26" s="251"/>
      <c r="AQ26" s="199"/>
      <c r="AR26" s="200"/>
      <c r="AS26" s="269" t="s">
        <v>13</v>
      </c>
      <c r="AT26" s="221"/>
      <c r="AU26" s="269"/>
      <c r="AV26" s="269"/>
      <c r="AW26" s="270" t="n">
        <f aca="false">+K26+L26</f>
        <v>0</v>
      </c>
      <c r="AX26" s="270" t="str">
        <f aca="false">IF(AS26="&gt;50","CONSISTENCIA",IF(AS26="&lt;50","COMPACIDAD"," "))</f>
        <v>COMPACIDAD</v>
      </c>
      <c r="AY26" s="225" t="str">
        <f aca="false">IF(AS26="&gt;50",AZ26,IF(AS26="&lt;50",BA26," "))</f>
        <v> </v>
      </c>
      <c r="AZ26" s="224" t="str">
        <f aca="false">IF(AW26=" "," ",IF(CC26=""," ",IF(CC26&lt;2,"MUY BLANDA",IF(CC26=2,"MUY BLANDA A BLANDA",IF(CC26&lt;4,"BLANDA",IF(CC26=4,"BLANDA A MEDIA",IF(CC26&lt;8,"MEDIA",IF(CC26=8,"MEDIA A FIRME",IF(CC26&lt;15,"FIRME",IF(CC26=15,"FIRME A MUY FIRME",IF(CC26&lt;30,"MUY FIRME",IF(CC26=30,"MUY FIRME A DURA","DURA"))))))))))))</f>
        <v> </v>
      </c>
      <c r="BA26" s="225" t="str">
        <f aca="false">IF(AW26=" "," ",IF(DC26=""," ",IF(DC26&lt;4,"MUY SUELTA",IF(DC26=4,"MUY SUELTA A SUELTA",IF(DC26&lt;10,"SUELTA",IF(DC26=10,"SUELTA A MEDIA",IF(DC26&lt;30,"MEDIA",IF(DC26=30,"MEDIA A DENSO",IF(DC26&lt;50,"DENSO",IF(DC26=50,"DENSO MUY DENSO","MUY DENSO"))))))))))</f>
        <v> </v>
      </c>
      <c r="BB26" s="226" t="str">
        <f aca="false">IF(BR27=0,"",CQ27*0.0101972)</f>
        <v/>
      </c>
      <c r="BC26" s="227" t="n">
        <f aca="false">+BC25+0.1</f>
        <v>0.9</v>
      </c>
      <c r="BD26" s="227" t="str">
        <f aca="false">IF(BC26&lt;=$AN$10,BC26,"")</f>
        <v/>
      </c>
      <c r="BE26" s="228" t="n">
        <f aca="false">ISNUMBER(BD26)</f>
        <v>0</v>
      </c>
      <c r="BF26" s="229" t="str">
        <f aca="false">MID(M26,1,1)</f>
        <v/>
      </c>
      <c r="BG26" s="230" t="str">
        <f aca="false">IF(BF26="S","",IF(BF26="G","",MID(M26,2,1)))</f>
        <v/>
      </c>
      <c r="BH26" s="231" t="str">
        <f aca="false">CONCATENATE(BF26,BG26)</f>
        <v/>
      </c>
      <c r="BI26" s="6" t="str">
        <f aca="false">IF(BE26=FALSE(),"",IF(BH26="",BI25,BH26))</f>
        <v/>
      </c>
      <c r="BJ26" s="74" t="str">
        <f aca="false">IF(OR(BI26="S",BI26="G"),BI26,"X")</f>
        <v>X</v>
      </c>
      <c r="BK26" s="74" t="s">
        <v>186</v>
      </c>
      <c r="BL26" s="232" t="e">
        <f aca="false">INDEX(sim_0,MATCH($BJ$26,granular,0))</f>
        <v>#NAME?</v>
      </c>
      <c r="BM26" s="232"/>
      <c r="BN26" s="6"/>
      <c r="BO26" s="191" t="n">
        <f aca="false">BO25+0.1</f>
        <v>0.9</v>
      </c>
      <c r="BP26" s="233" t="e">
        <f aca="false">IF(AW26=0,NA(),IF(AS26=$AX$3,ROUND(DC26,0),NA()))</f>
        <v>#N/A</v>
      </c>
      <c r="BQ26" s="31" t="e">
        <f aca="false">IF(AW26=0,NA(),IF(AS26=$AX$4,ROUND(CC26,0),NA()))</f>
        <v>#N/A</v>
      </c>
      <c r="BR26" s="234" t="n">
        <f aca="false">+AW26</f>
        <v>0</v>
      </c>
      <c r="BS26" s="235" t="str">
        <f aca="false">IF(BR26=0,"", -0.00000000016128755327*CC26^6 + 0.00000006709386362421*CC26^5 - 0.0000106217678052217*CC26^4 + 0.00081068114193385*CC26^3 - 0.0314027378159951*CC26^2 + 0.649796593937842*CC26 + 13.7888866455022)</f>
        <v/>
      </c>
      <c r="BT26" s="235" t="str">
        <f aca="false">IF(BR26=0,"",-0.00000000014625939695*CC26^6 + 0.00000004971732060241*CC26^5 - 0.000006683744342031*CC26^4 + 0.0004563177378098*CC26^3 - 0.0171727530635803*CC26^2 + 0.444529932876435*CC26 + 15.6692518940565)</f>
        <v/>
      </c>
      <c r="BU26" s="236" t="str">
        <f aca="false">IF(BR26=0,"", -0.0000000008152265738*BR26^6 + 0.00000022764320256987*BR26^5 - 0.0000248205675927705*BR26^4 + 0.00133186623684865*BR26^3 - 0.0368442570441677*BR26^2 + 0.580111565569094*BR26 + 14.0417598296107)</f>
        <v/>
      </c>
      <c r="BV26" s="236" t="str">
        <f aca="false">IF(BR26=0,"", -0.00000000004321395721*BR26^6 + 0.00000002531844275498*BR26^5 - 0.00000369428022780862*BR26^4 + 0.00020283665900125*BR26^3 - 0.00462426256803268*BR26^2 + 0.139572935065453*BR26 + 15.4475338156923)</f>
        <v/>
      </c>
      <c r="BW26" s="236" t="str">
        <f aca="false">IF(BR26=0,"",-0.00000000033126390082*BR26^6 + 0.00000010463660614506*BR26^5 - 0.0000129629592998707*BR26^4 + 0.000803946335250767*BR26^3 - 0.0270257140395994*BR26^2 + 0.562590210721552*BR26+ 12.1254107606419)</f>
        <v/>
      </c>
      <c r="BX26" s="236" t="str">
        <f aca="false">IF(BR26=0,"",-0.00000000002593504955*BR26^6 + 0.00000002430495156704*BR26^5 - 0.00000386103271086364*BR26^4 + 0.000214416118986322*BR26^3 - 0.0047271462612021*BR26^2 + 0.156696175741135*BR26 + 15.4598891949502)</f>
        <v/>
      </c>
      <c r="BY26" s="234" t="str">
        <f aca="false">IF(BR26=0,"",$BS$2)</f>
        <v/>
      </c>
      <c r="BZ26" s="234" t="str">
        <f aca="false">IF(BR26=0,"",$BS$3)</f>
        <v/>
      </c>
      <c r="CA26" s="234" t="str">
        <f aca="false">IF(BR26=0,"",$BS$4)</f>
        <v/>
      </c>
      <c r="CB26" s="235" t="str">
        <f aca="false">IF(BR26=0,"",IF(AND(BO26&gt;=0,BO26&lt;4),0.75,IF(AND(BO26&gt;=4,BO26&lt;6),0.85,IF(AND(BO26&gt;=6,BO26&lt;=10),0.95,1))))</f>
        <v/>
      </c>
      <c r="CC26" s="234" t="str">
        <f aca="false">IF(BR26=0,"",BR26*BY26*BZ26*CA26*CB26/60)</f>
        <v/>
      </c>
      <c r="CD26" s="238" t="str">
        <f aca="false">IF(BR26=0,"",IF($S$12="NO","NO",IF($AD$12&lt;=BO26,"SI","NO")))</f>
        <v/>
      </c>
      <c r="CE26" s="235" t="n">
        <f aca="false">IF(BR26=0,0,AB26)</f>
        <v>0</v>
      </c>
      <c r="CF26" s="235" t="n">
        <f aca="false">IF(CE26&gt;0,BO26,0)</f>
        <v>0</v>
      </c>
      <c r="CG26" s="239" t="n">
        <f aca="false">IF(CF26=0,CF26+CG25,CF26)</f>
        <v>0</v>
      </c>
      <c r="CH26" s="239" t="n">
        <f aca="false">IF(CG26=CG25,CH25,ABS(CG26-CG25))</f>
        <v>0</v>
      </c>
      <c r="CI26" s="239" t="n">
        <f aca="false">+CE26*CH26</f>
        <v>0</v>
      </c>
      <c r="CJ26" s="239" t="n">
        <f aca="false">IF(CI26=0,CI26+CJ25,CI26)</f>
        <v>0</v>
      </c>
      <c r="CK26" s="239" t="n">
        <f aca="false">IF(CJ26=CJ25,CK25,ABS(CJ26+CK25))</f>
        <v>0</v>
      </c>
      <c r="CL26" s="241" t="n">
        <f aca="false">IF(CE26=0,0,CK26)</f>
        <v>0</v>
      </c>
      <c r="CM26" s="239" t="n">
        <f aca="false">IF(CE26=0,0,CH26*9.81)</f>
        <v>0</v>
      </c>
      <c r="CN26" s="239" t="n">
        <f aca="false">IF(CM26=0,CM26+CN25,CM26)</f>
        <v>0</v>
      </c>
      <c r="CO26" s="239" t="n">
        <f aca="false">IF(CN26=CN25,CO25,ABS(CN26+CO25))</f>
        <v>0</v>
      </c>
      <c r="CP26" s="241" t="n">
        <f aca="false">IF(CD26="NO",0,IF(CE26=0,0,CO26))</f>
        <v>0</v>
      </c>
      <c r="CQ26" s="244" t="str">
        <f aca="false">IF(BR26=0,"",CL26-CP26)</f>
        <v/>
      </c>
      <c r="CR26" s="244" t="str">
        <f aca="false">IF(BR26=0,"",CQ26/101.3)</f>
        <v/>
      </c>
      <c r="CS26" s="244" t="str">
        <f aca="false">IF(BR26=0,"",LOG(10/CR26))</f>
        <v/>
      </c>
      <c r="CT26" s="243" t="str">
        <f aca="false">IF(BR26=0,"",IF(SQRT(101.3/CQ26)&lt;=1.7,SQRT(101.3/CQ26),2.2/(1.2+(CQ26/101.3))))</f>
        <v/>
      </c>
      <c r="CU26" s="244" t="str">
        <f aca="false">IF(BR26=0,"",1.7/(0.7+CR26))</f>
        <v/>
      </c>
      <c r="CV26" s="244" t="str">
        <f aca="false">IF(BR26=0,"",IF(CR26&gt;=0.25,0.77*LOG(20/CR26),""))</f>
        <v/>
      </c>
      <c r="CW26" s="244" t="str">
        <f aca="false">IF(BR26=0,"",32.5/(10.2+20.3*CR26))</f>
        <v/>
      </c>
      <c r="CX26" s="244" t="str">
        <f aca="false">IF(BR26=0,"",1-1.25*LOG(CR26))</f>
        <v/>
      </c>
      <c r="CY26" s="244" t="str">
        <f aca="false">IF(BR26=0,"",IF(CR26&lt;1,1-1.41*LOG(CR26),1+0.92*LOG(CR26)))</f>
        <v/>
      </c>
      <c r="CZ26" s="244" t="str">
        <f aca="false">IF(BR26=0,"",2/(1+CR26))</f>
        <v/>
      </c>
      <c r="DA26" s="244" t="str">
        <f aca="false">IF(BR26=0,"",IF(CR26&lt;=0.75,4/(1+4*CR26),4/(3.25+CR26)))</f>
        <v/>
      </c>
      <c r="DB26" s="244" t="str">
        <f aca="false">IF(BR26=0,"",CT26)</f>
        <v/>
      </c>
      <c r="DC26" s="244" t="str">
        <f aca="false">IF(BR26=0,"",DB26*CC26)</f>
        <v/>
      </c>
      <c r="DD26" s="244"/>
      <c r="DE26" s="244" t="str">
        <f aca="false">IF(BR26=0,"",0.193*(CC26/(CQ26*0.001))^0.689)</f>
        <v/>
      </c>
      <c r="DF26" s="244" t="str">
        <f aca="false">IF(BR26=0,"",IF(AS26=$AX$4,(0.1348118*CC26 - 0.0383065)*98.0665,""))</f>
        <v/>
      </c>
      <c r="DG26" s="244" t="str">
        <f aca="false">IF(BR26=0,"",IF(AS26=$AX$4,DF26/2,""))</f>
        <v/>
      </c>
      <c r="DH26" s="244" t="str">
        <f aca="false">IF(BR26=0,"",IF(DC26&lt;=15,12*(DC26+6),40+12*(DC26-6)))</f>
        <v/>
      </c>
      <c r="DI26" s="244" t="str">
        <f aca="false">IF(BR26=0,"",IF(CD26="SI",5*(DC26+15),((3.3*(DC26+15))+(4*(DC26+12)))/2))</f>
        <v/>
      </c>
      <c r="DJ26" s="244" t="str">
        <f aca="false">IF(BR26=0,"",8*DC26)</f>
        <v/>
      </c>
      <c r="DK26" s="244" t="str">
        <f aca="false">IF(BR26=0,"",215+(10.6*DC26))</f>
        <v/>
      </c>
      <c r="DL26" s="244" t="str">
        <f aca="false">IF(BR26=0,"",10*(7.5+(0.5*DC26)))</f>
        <v/>
      </c>
      <c r="DM26" s="244" t="str">
        <f aca="false">IF(BR26=0,"",8*DC26)</f>
        <v/>
      </c>
      <c r="DN26" s="244" t="str">
        <f aca="false">IF(AW26=" "," ",IF(DC26=""," ",IF(DC26&lt;4,10*10.2,IF(DC26=4,12*10.2,IF(DC26&lt;10,17.5*10.5,IF(DC26=10,15*10.2,IF(DC26&lt;30,22.5*10.2,IF(DC26=30,35*10.2,IF(DC26&lt;50,40*10.2,IF(DC26=50,50*10.2,55*10.2))))))))))</f>
        <v> </v>
      </c>
      <c r="DO26" s="244" t="str">
        <f aca="false">IF(BR26=0,"",7*SQRT(DC26)*10.1972)</f>
        <v/>
      </c>
      <c r="DP26" s="244" t="str">
        <f aca="false">IF(BR26=0,"",IF(AS26=$AX$4,5*CC26,""))</f>
        <v/>
      </c>
      <c r="DQ26" s="244" t="str">
        <f aca="false">IF(AW26=" "," ",IF(DC26=""," ",IF(DC26&lt;2,4*10.2,IF(DC26=2,6*10.2,IF(DC26&lt;4,12*10.2,IF(DC26=4,20*10.2,IF(DC26&lt;8,30*10.2,IF(DC26=8,35*10.2,IF(DC26&lt;15,40*10.2,IF(DC26=15,42*10.2,IF(DC26&lt;30,45*10.2,IF(DC26=30,50*10.2,70*10.2))))))))))))</f>
        <v> </v>
      </c>
      <c r="DR26" s="244" t="str">
        <f aca="false">IF(BR26=0,"",IF(AS26=$AX$4,220*DP26*0.0101972,""))</f>
        <v/>
      </c>
      <c r="DS26" s="271" t="str">
        <f aca="false">IF(BR26=0,"",IF(AS26=$AX$7,(SUM(DH26:DO26)-MIN(DH26:DO26)-MAX(DH26:DO26))/6,(SUM(DO26:DR26)-MIN(DO26:DR26)-MAX(DO26:DR26))/2))</f>
        <v/>
      </c>
      <c r="DT26" s="244" t="str">
        <f aca="false">IF(AW26=" "," ",IF(DC26=""," ",IF(DC26&lt;4,0.2,IF(DC26=4,0.27,IF(DC26&lt;10,0.33,IF(DC26=10,0.35,IF(DC26&lt;30,0.36,IF(DC26=30,0.37,IF(DC26&lt;50,0.38,IF(DC26=50,0.4,0.45))))))))))</f>
        <v> </v>
      </c>
      <c r="DU26" s="272" t="str">
        <f aca="false">IF(AW26=" "," ",IF(CC26=""," ",IF(CC26&lt;2,0.2,IF(CC26=2,0.23,IF(CC26&lt;4,0.26,IF(CC26=4,0.29,IF(CC26&lt;8,0.32,IF(CC26=8,0.35,IF(CC26&lt;15,0.38,IF(CC26=15,0.41,IF(CC26&lt;30,0.44,IF(CC26=30,0.47,0.5))))))))))))</f>
        <v> </v>
      </c>
      <c r="DV26" s="244" t="str">
        <f aca="false">IF(BR26=0,"",IF(AS26=$AX$3,DT26,DU26))</f>
        <v/>
      </c>
      <c r="DW26" s="244" t="str">
        <f aca="false">IF(BR26=0,"",IF(DC26&gt;15,15+0.5*(DC26-15),DC26))</f>
        <v/>
      </c>
      <c r="DX26" s="244" t="str">
        <f aca="false">IF(BR26=0,"",IF($S$12="SI",IF(CD26="NO",IF($AD$12&gt;(BO26+1.5*$ED$15),1,0.5),0.5),1))</f>
        <v/>
      </c>
      <c r="DY26" s="244" t="str">
        <f aca="false">IF(BR26=0,"",IF(S10="SI",IF(CD26="NO",IF($AD$12&gt;(BO26+1.5*$EE$15),1,0.5))))</f>
        <v/>
      </c>
      <c r="DZ26" s="244" t="str">
        <f aca="false">IF(BR26=0,"",IF($S$12="SI",IF(CD26="NO",IF($AD$12&gt;(BO26+1.5*$EF$15),1,0.5),0.5),1))</f>
        <v/>
      </c>
      <c r="EA26" s="244" t="str">
        <f aca="false">IF(BR26=0,"",IF($S$12="SI",IF(CD26="NO",IF($AD$12&gt;(BO26+1.5*$ED$15),1,0.5),IF($AD$12=BO26,1,0.5)),1))</f>
        <v/>
      </c>
      <c r="EB26" s="244" t="str">
        <f aca="false">IF(BR26=0,"",IF($S$12="SI",IF(CD26="NO",IF($AD$12&gt;(BO26+1.5*$EE$15),1,0.5),IF($AD$12=BO26,1,0.5)),1))</f>
        <v/>
      </c>
      <c r="EC26" s="244" t="str">
        <f aca="false">IF(BR26=0,"",IF($S$12="SI",IF(CD26="NO",IF($AD$12&gt;(BO26+1.5*$EF$15),1,0.5),IF($AD$12=BO26,1,0.5)),1))</f>
        <v/>
      </c>
      <c r="ED26" s="244" t="str">
        <f aca="false">IF(BR26=0,"",(DW26*($ED$15/10)*(DX26+EA26*(BO26/$ED$15))*1)/3)</f>
        <v/>
      </c>
      <c r="EE26" s="244" t="str">
        <f aca="false">IF(BR26=0,"",(DW26*($EE$15/10)*(DY26+EB26*(BO26/$EE$15))*1)/3)</f>
        <v/>
      </c>
      <c r="EF26" s="244" t="str">
        <f aca="false">IF(BR26=0,"",(DW26*($EF$15/10)*(DZ26+EC26*(BO26/$EF$15))*1)/3)</f>
        <v/>
      </c>
      <c r="EG26" s="273" t="str">
        <f aca="false">IF(BR26=0,"",IF(CD26="SI",0.5,1))</f>
        <v/>
      </c>
      <c r="EH26" s="244" t="str">
        <f aca="false">IF(BR26=0,"",IF((1+0.33*(BO26/$ED$15))&lt;=1.33,(1+0.33*(BO26/$ED$15)),1.33))</f>
        <v/>
      </c>
      <c r="EI26" s="244" t="str">
        <f aca="false">IF(BR26=0,"",IF((1+0.33*(BO26/$EE$15))&lt;=1.33,(1+0.33*(BO26/$EE$15)),1.33))</f>
        <v/>
      </c>
      <c r="EJ26" s="244" t="str">
        <f aca="false">IF(BR26=0,"",IF((1+0.33*(BO26/$EF$15))&lt;=1.33,(1+0.33*(BO26/$EF$15)),1.33))</f>
        <v/>
      </c>
      <c r="EK26" s="244" t="str">
        <f aca="false">IF(BR26=0,"",IF($ED$15&lt;=1.2,((20*DC26*EG26*EH26)/3)*0.010197,((12.5*DC26*((($ED$15+0.3)^2)/$ED$15)*EG26*EH26)/3)*0.010197))</f>
        <v/>
      </c>
      <c r="EL26" s="244" t="str">
        <f aca="false">IF(BR26=0,"",IF($EE$15&lt;=1.2,((20*DC26*EG26*EI26)/3)*0.010197,((12.5*DC26*((($EE$15+0.3)^2)/$EE$15)*EG26*EI26)/3)*0.010197))</f>
        <v/>
      </c>
      <c r="EM26" s="244" t="str">
        <f aca="false">IF(BR26=0,"",IF($EF$15&lt;=1.2,((20*DC26*EG26*EJ26)/3)*0.010197,((12.5*DC26*((($EF$15+0.3)^2)/$EF$15)*EG26*EJ26)/3)*0.010197))</f>
        <v/>
      </c>
      <c r="EN26" s="248" t="str">
        <f aca="false">IF(BR26=0,"",SQRT(12*BR26)+25)</f>
        <v/>
      </c>
      <c r="EO26" s="248" t="str">
        <f aca="false">IF(BR26=0,"",28.5+0.25*BR26)</f>
        <v/>
      </c>
      <c r="EP26" s="248" t="str">
        <f aca="false">IF(BR26=0,"",SQRT(20*BR26)+15)</f>
        <v/>
      </c>
      <c r="EQ26" s="248" t="str">
        <f aca="false">IF(BR26=0,"",23.7+0.57*BR26-0.0006*BR26*BR26)</f>
        <v/>
      </c>
      <c r="ER26" s="248" t="str">
        <f aca="false">IF(BR26=0,"",15+SQRT(20*BR26))</f>
        <v/>
      </c>
      <c r="ES26" s="248" t="str">
        <f aca="false">IF(BR26=0,"",3.5*SQRT(BR26)+20)</f>
        <v/>
      </c>
      <c r="ET26" s="248" t="str">
        <f aca="false">IF(BR26=0,"",27.1+0.3*BR26-0.00054*BR26*BR26)</f>
        <v/>
      </c>
      <c r="EU26" s="248" t="str">
        <f aca="false">IF(BR26=0,"",SQRT(20*BR26)+20)</f>
        <v/>
      </c>
      <c r="EV26" s="248" t="str">
        <f aca="false">IF(BR26=0,"",12.79+SQRT(25.86*BR26))</f>
        <v/>
      </c>
      <c r="EW26" s="248" t="str">
        <f aca="false">IF(BR26=0,"",_xlfn.ACOT((CC26/(12.2+20.3*CR26))^0.34))</f>
        <v/>
      </c>
      <c r="EX26" s="248" t="str">
        <f aca="false">IF(BR26=0,"",24+(5.77*LN(0.17*BR26)))</f>
        <v/>
      </c>
      <c r="EY26" s="248" t="str">
        <f aca="false">IF(BR26=0,"",(SUM(EN26:EX26)-MIN(EN26:EX26)-MAX(EN26:EX26))/9)</f>
        <v/>
      </c>
      <c r="EZ26" s="248" t="str">
        <f aca="false">IF(BR26=0,"", -0.0000000034*BR26^6 + 0.0000008305*BR26^5 - 0.0000741842*BR26^4 + 0.0030204278*BR26^3 - 0.0541594733*BR26^2 + 0.8083147848*BR26 - 0.6182191243)</f>
        <v/>
      </c>
      <c r="FA26" s="249" t="str">
        <f aca="false">IF(BR26=0,"",(0.134811827956989*BR26 - 0.0383064516129019)/2)</f>
        <v/>
      </c>
      <c r="FB26" s="249" t="str">
        <f aca="false">IF(BR26=0,"",BR26*0.065)</f>
        <v/>
      </c>
      <c r="FC26" s="249" t="str">
        <f aca="false">IF(BR26=0,"",(BR26*0.12*0.48)*SQRT((1+SIN(EZ26*((2*PI())/360))/(1-SIN(EZ26*((2*PI())/360))))))</f>
        <v/>
      </c>
      <c r="FD26" s="249" t="str">
        <f aca="false">IF(BR26=0,"",(BR26/8)/2)</f>
        <v/>
      </c>
      <c r="FE26" s="249" t="str">
        <f aca="false">IF(BR26=0,"",(SUM(FA26:FD26)-MIN(FA26:FD26)-MAX(FA26:FD26))/2)</f>
        <v/>
      </c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</row>
    <row r="27" customFormat="false" ht="9.75" hidden="false" customHeight="true" outlineLevel="0" collapsed="false">
      <c r="A27" s="197" t="n">
        <f aca="false">ROUND(A26+0.1,1)</f>
        <v>1</v>
      </c>
      <c r="B27" s="281" t="n">
        <f aca="false">+A27</f>
        <v>1</v>
      </c>
      <c r="C27" s="172"/>
      <c r="D27" s="282"/>
      <c r="E27" s="252"/>
      <c r="F27" s="253"/>
      <c r="G27" s="279"/>
      <c r="H27" s="280"/>
      <c r="I27" s="280"/>
      <c r="J27" s="257"/>
      <c r="K27" s="258"/>
      <c r="L27" s="259"/>
      <c r="M27" s="276"/>
      <c r="N27" s="277"/>
      <c r="O27" s="277"/>
      <c r="P27" s="277"/>
      <c r="Q27" s="260"/>
      <c r="R27" s="278"/>
      <c r="S27" s="278"/>
      <c r="T27" s="261"/>
      <c r="U27" s="261"/>
      <c r="V27" s="262"/>
      <c r="W27" s="262"/>
      <c r="X27" s="262"/>
      <c r="Y27" s="262"/>
      <c r="Z27" s="262"/>
      <c r="AA27" s="262"/>
      <c r="AB27" s="263"/>
      <c r="AC27" s="264"/>
      <c r="AD27" s="265"/>
      <c r="AE27" s="264"/>
      <c r="AF27" s="266"/>
      <c r="AG27" s="267"/>
      <c r="AH27" s="267"/>
      <c r="AI27" s="241"/>
      <c r="AJ27" s="241"/>
      <c r="AK27" s="266"/>
      <c r="AL27" s="266"/>
      <c r="AM27" s="268"/>
      <c r="AN27" s="281" t="n">
        <f aca="false">+AN25+0.2</f>
        <v>1</v>
      </c>
      <c r="AO27" s="172"/>
      <c r="AP27" s="282"/>
      <c r="AQ27" s="252"/>
      <c r="AR27" s="253"/>
      <c r="AS27" s="269" t="s">
        <v>21</v>
      </c>
      <c r="AT27" s="221"/>
      <c r="AU27" s="269"/>
      <c r="AV27" s="269"/>
      <c r="AW27" s="270" t="n">
        <f aca="false">+K27+L27</f>
        <v>0</v>
      </c>
      <c r="AX27" s="270" t="str">
        <f aca="false">IF(AS27="&gt;50","CONSISTENCIA",IF(AS27="&lt;50","COMPACIDAD"," "))</f>
        <v>CONSISTENCIA</v>
      </c>
      <c r="AY27" s="225" t="str">
        <f aca="false">IF(AS27="&gt;50",AZ27,IF(AS27="&lt;50",BA27," "))</f>
        <v> </v>
      </c>
      <c r="AZ27" s="224" t="str">
        <f aca="false">IF(AW27=" "," ",IF(CC27=""," ",IF(CC27&lt;2,"MUY BLANDA",IF(CC27=2,"MUY BLANDA A BLANDA",IF(CC27&lt;4,"BLANDA",IF(CC27=4,"BLANDA A MEDIA",IF(CC27&lt;8,"MEDIA",IF(CC27=8,"MEDIA A FIRME",IF(CC27&lt;15,"FIRME",IF(CC27=15,"FIRME A MUY FIRME",IF(CC27&lt;30,"MUY FIRME",IF(CC27=30,"MUY FIRME A DURA","DURA"))))))))))))</f>
        <v> </v>
      </c>
      <c r="BA27" s="225" t="str">
        <f aca="false">IF(AW27=" "," ",IF(DC27=""," ",IF(DC27&lt;4,"MUY SUELTA",IF(DC27=4,"MUY SUELTA A SUELTA",IF(DC27&lt;10,"SUELTA",IF(DC27=10,"SUELTA A MEDIA",IF(DC27&lt;30,"MEDIA",IF(DC27=30,"MEDIA A DENSO",IF(DC27&lt;50,"DENSO",IF(DC27=50,"DENSO MUY DENSO","MUY DENSO"))))))))))</f>
        <v> </v>
      </c>
      <c r="BB27" s="190" t="str">
        <f aca="false">IF(BR28=0,"",CQ28*0.0101972)</f>
        <v/>
      </c>
      <c r="BC27" s="227" t="n">
        <f aca="false">+BC26+0.1</f>
        <v>1</v>
      </c>
      <c r="BD27" s="227" t="str">
        <f aca="false">IF(BC27&lt;=$AN$10,BC27,"")</f>
        <v/>
      </c>
      <c r="BE27" s="228" t="n">
        <f aca="false">ISNUMBER(BD27)</f>
        <v>0</v>
      </c>
      <c r="BF27" s="229" t="str">
        <f aca="false">MID(M27,1,1)</f>
        <v/>
      </c>
      <c r="BG27" s="230" t="str">
        <f aca="false">IF(BF27="S","",IF(BF27="G","",MID(M27,2,1)))</f>
        <v/>
      </c>
      <c r="BH27" s="231" t="str">
        <f aca="false">CONCATENATE(BF27,BG27)</f>
        <v/>
      </c>
      <c r="BI27" s="6" t="str">
        <f aca="false">IF(BE27=FALSE(),"",IF(BH27="",BI26,BH27))</f>
        <v/>
      </c>
      <c r="BJ27" s="74" t="str">
        <f aca="false">IF(OR(BI27="S",BI27="G"),BI27,"X")</f>
        <v>X</v>
      </c>
      <c r="BK27" s="74" t="s">
        <v>187</v>
      </c>
      <c r="BL27" s="232" t="e">
        <f aca="false">INDEX(sim_0,MATCH($BJ$27,granular,0))</f>
        <v>#NAME?</v>
      </c>
      <c r="BM27" s="232"/>
      <c r="BN27" s="6"/>
      <c r="BO27" s="191" t="n">
        <f aca="false">BO26+0.1</f>
        <v>1</v>
      </c>
      <c r="BP27" s="233" t="e">
        <f aca="false">IF(AW27=0,NA(),IF(AS27=$AX$3,ROUND(DC27,0),NA()))</f>
        <v>#N/A</v>
      </c>
      <c r="BQ27" s="31" t="e">
        <f aca="false">IF(AW27=0,NA(),IF(AS27=$AX$4,ROUND(CC27,0),NA()))</f>
        <v>#N/A</v>
      </c>
      <c r="BR27" s="234" t="n">
        <f aca="false">+AW27</f>
        <v>0</v>
      </c>
      <c r="BS27" s="235" t="str">
        <f aca="false">IF(BR27=0,"", -0.00000000016128755327*CC27^6 + 0.00000006709386362421*CC27^5 - 0.0000106217678052217*CC27^4 + 0.00081068114193385*CC27^3 - 0.0314027378159951*CC27^2 + 0.649796593937842*CC27 + 13.7888866455022)</f>
        <v/>
      </c>
      <c r="BT27" s="235" t="str">
        <f aca="false">IF(BR27=0,"",-0.00000000014625939695*CC27^6 + 0.00000004971732060241*CC27^5 - 0.000006683744342031*CC27^4 + 0.0004563177378098*CC27^3 - 0.0171727530635803*CC27^2 + 0.444529932876435*CC27 + 15.6692518940565)</f>
        <v/>
      </c>
      <c r="BU27" s="236" t="str">
        <f aca="false">IF(BR27=0,"", -0.0000000008152265738*BR27^6 + 0.00000022764320256987*BR27^5 - 0.0000248205675927705*BR27^4 + 0.00133186623684865*BR27^3 - 0.0368442570441677*BR27^2 + 0.580111565569094*BR27 + 14.0417598296107)</f>
        <v/>
      </c>
      <c r="BV27" s="236" t="str">
        <f aca="false">IF(BR27=0,"", -0.00000000004321395721*BR27^6 + 0.00000002531844275498*BR27^5 - 0.00000369428022780862*BR27^4 + 0.00020283665900125*BR27^3 - 0.00462426256803268*BR27^2 + 0.139572935065453*BR27 + 15.4475338156923)</f>
        <v/>
      </c>
      <c r="BW27" s="236" t="str">
        <f aca="false">IF(BR27=0,"",-0.00000000033126390082*BR27^6 + 0.00000010463660614506*BR27^5 - 0.0000129629592998707*BR27^4 + 0.000803946335250767*BR27^3 - 0.0270257140395994*BR27^2 + 0.562590210721552*BR27+ 12.1254107606419)</f>
        <v/>
      </c>
      <c r="BX27" s="236" t="str">
        <f aca="false">IF(BR27=0,"",-0.00000000002593504955*BR27^6 + 0.00000002430495156704*BR27^5 - 0.00000386103271086364*BR27^4 + 0.000214416118986322*BR27^3 - 0.0047271462612021*BR27^2 + 0.156696175741135*BR27 + 15.4598891949502)</f>
        <v/>
      </c>
      <c r="BY27" s="234" t="str">
        <f aca="false">IF(BR27=0,"",$BS$2)</f>
        <v/>
      </c>
      <c r="BZ27" s="234" t="str">
        <f aca="false">IF(BR27=0,"",$BS$3)</f>
        <v/>
      </c>
      <c r="CA27" s="234" t="str">
        <f aca="false">IF(BR27=0,"",$BS$4)</f>
        <v/>
      </c>
      <c r="CB27" s="235" t="str">
        <f aca="false">IF(BR27=0,"",IF(AND(BO27&gt;=0,BO27&lt;4),0.75,IF(AND(BO27&gt;=4,BO27&lt;6),0.85,IF(AND(BO27&gt;=6,BO27&lt;=10),0.95,1))))</f>
        <v/>
      </c>
      <c r="CC27" s="234" t="str">
        <f aca="false">IF(BR27=0,"",BR27*BY27*BZ27*CA27*CB27/60)</f>
        <v/>
      </c>
      <c r="CD27" s="238" t="str">
        <f aca="false">IF(BR27=0,"",IF($S$12="NO","NO",IF($AD$12&lt;=BO27,"SI","NO")))</f>
        <v/>
      </c>
      <c r="CE27" s="235" t="n">
        <f aca="false">IF(BR27=0,0,AB27)</f>
        <v>0</v>
      </c>
      <c r="CF27" s="235" t="n">
        <f aca="false">IF(CE27&gt;0,BO27,0)</f>
        <v>0</v>
      </c>
      <c r="CG27" s="239" t="n">
        <f aca="false">IF(CF27=0,CF27+CG26,CF27)</f>
        <v>0</v>
      </c>
      <c r="CH27" s="239" t="n">
        <f aca="false">IF(CG27=CG26,CH26,ABS(CG27-CG26))</f>
        <v>0</v>
      </c>
      <c r="CI27" s="239" t="n">
        <f aca="false">+CE27*CH27</f>
        <v>0</v>
      </c>
      <c r="CJ27" s="239" t="n">
        <f aca="false">IF(CI27=0,CI27+CJ26,CI27)</f>
        <v>0</v>
      </c>
      <c r="CK27" s="239" t="n">
        <f aca="false">IF(CJ27=CJ26,CK26,ABS(CJ27+CK26))</f>
        <v>0</v>
      </c>
      <c r="CL27" s="241" t="n">
        <f aca="false">IF(CE27=0,0,CK27)</f>
        <v>0</v>
      </c>
      <c r="CM27" s="239" t="n">
        <f aca="false">IF(CE27=0,0,CH27*9.81)</f>
        <v>0</v>
      </c>
      <c r="CN27" s="239" t="n">
        <f aca="false">IF(CM27=0,CM27+CN26,CM27)</f>
        <v>0</v>
      </c>
      <c r="CO27" s="239" t="n">
        <f aca="false">IF(CN27=CN26,CO26,ABS(CN27+CO26))</f>
        <v>0</v>
      </c>
      <c r="CP27" s="241" t="n">
        <f aca="false">IF(CD27="NO",0,IF(CE27=0,0,CO27))</f>
        <v>0</v>
      </c>
      <c r="CQ27" s="244" t="str">
        <f aca="false">IF(BR27=0,"",CL27-CP27)</f>
        <v/>
      </c>
      <c r="CR27" s="244" t="str">
        <f aca="false">IF(BR27=0,"",CQ27/101.3)</f>
        <v/>
      </c>
      <c r="CS27" s="244" t="str">
        <f aca="false">IF(BR27=0,"",LOG(10/CR27))</f>
        <v/>
      </c>
      <c r="CT27" s="243" t="str">
        <f aca="false">IF(BR27=0,"",IF(SQRT(101.3/CQ27)&lt;=1.7,SQRT(101.3/CQ27),2.2/(1.2+(CQ27/101.3))))</f>
        <v/>
      </c>
      <c r="CU27" s="244" t="str">
        <f aca="false">IF(BR27=0,"",1.7/(0.7+CR27))</f>
        <v/>
      </c>
      <c r="CV27" s="244" t="str">
        <f aca="false">IF(BR27=0,"",IF(CR27&gt;=0.25,0.77*LOG(20/CR27),""))</f>
        <v/>
      </c>
      <c r="CW27" s="244" t="str">
        <f aca="false">IF(BR27=0,"",32.5/(10.2+20.3*CR27))</f>
        <v/>
      </c>
      <c r="CX27" s="244" t="str">
        <f aca="false">IF(BR27=0,"",1-1.25*LOG(CR27))</f>
        <v/>
      </c>
      <c r="CY27" s="244" t="str">
        <f aca="false">IF(BR27=0,"",IF(CR27&lt;1,1-1.41*LOG(CR27),1+0.92*LOG(CR27)))</f>
        <v/>
      </c>
      <c r="CZ27" s="244" t="str">
        <f aca="false">IF(BR27=0,"",2/(1+CR27))</f>
        <v/>
      </c>
      <c r="DA27" s="244" t="str">
        <f aca="false">IF(BR27=0,"",IF(CR27&lt;=0.75,4/(1+4*CR27),4/(3.25+CR27)))</f>
        <v/>
      </c>
      <c r="DB27" s="244" t="str">
        <f aca="false">IF(BR27=0,"",CT27)</f>
        <v/>
      </c>
      <c r="DC27" s="244" t="str">
        <f aca="false">IF(BR27=0,"",DB27*CC27)</f>
        <v/>
      </c>
      <c r="DD27" s="244"/>
      <c r="DE27" s="244" t="str">
        <f aca="false">IF(BR27=0,"",0.193*(CC27/(CQ27*0.001))^0.689)</f>
        <v/>
      </c>
      <c r="DF27" s="244" t="str">
        <f aca="false">IF(BR27=0,"",IF(AS27=$AX$4,(0.1348118*CC27 - 0.0383065)*98.0665,""))</f>
        <v/>
      </c>
      <c r="DG27" s="244" t="str">
        <f aca="false">IF(BR27=0,"",IF(AS27=$AX$4,DF27/2,""))</f>
        <v/>
      </c>
      <c r="DH27" s="244" t="str">
        <f aca="false">IF(BR27=0,"",IF(DC27&lt;=15,12*(DC27+6),40+12*(DC27-6)))</f>
        <v/>
      </c>
      <c r="DI27" s="244" t="str">
        <f aca="false">IF(BR27=0,"",IF(CD27="SI",5*(DC27+15),((3.3*(DC27+15))+(4*(DC27+12)))/2))</f>
        <v/>
      </c>
      <c r="DJ27" s="244" t="str">
        <f aca="false">IF(BR27=0,"",8*DC27)</f>
        <v/>
      </c>
      <c r="DK27" s="244" t="str">
        <f aca="false">IF(BR27=0,"",215+(10.6*DC27))</f>
        <v/>
      </c>
      <c r="DL27" s="244" t="str">
        <f aca="false">IF(BR27=0,"",10*(7.5+(0.5*DC27)))</f>
        <v/>
      </c>
      <c r="DM27" s="244" t="str">
        <f aca="false">IF(BR27=0,"",8*DC27)</f>
        <v/>
      </c>
      <c r="DN27" s="244" t="str">
        <f aca="false">IF(AW27=" "," ",IF(DC27=""," ",IF(DC27&lt;4,10*10.2,IF(DC27=4,12*10.2,IF(DC27&lt;10,17.5*10.5,IF(DC27=10,15*10.2,IF(DC27&lt;30,22.5*10.2,IF(DC27=30,35*10.2,IF(DC27&lt;50,40*10.2,IF(DC27=50,50*10.2,55*10.2))))))))))</f>
        <v> </v>
      </c>
      <c r="DO27" s="244" t="str">
        <f aca="false">IF(BR27=0,"",7*SQRT(DC27)*10.1972)</f>
        <v/>
      </c>
      <c r="DP27" s="244" t="str">
        <f aca="false">IF(BR27=0,"",IF(AS27=$AX$4,5*CC27,""))</f>
        <v/>
      </c>
      <c r="DQ27" s="244" t="str">
        <f aca="false">IF(AW27=" "," ",IF(DC27=""," ",IF(DC27&lt;2,4*10.2,IF(DC27=2,6*10.2,IF(DC27&lt;4,12*10.2,IF(DC27=4,20*10.2,IF(DC27&lt;8,30*10.2,IF(DC27=8,35*10.2,IF(DC27&lt;15,40*10.2,IF(DC27=15,42*10.2,IF(DC27&lt;30,45*10.2,IF(DC27=30,50*10.2,70*10.2))))))))))))</f>
        <v> </v>
      </c>
      <c r="DR27" s="244" t="str">
        <f aca="false">IF(BR27=0,"",IF(AS27=$AX$4,220*DP27*0.0101972,""))</f>
        <v/>
      </c>
      <c r="DS27" s="271" t="str">
        <f aca="false">IF(BR27=0,"",IF(AS27=$AX$7,(SUM(DH27:DO27)-MIN(DH27:DO27)-MAX(DH27:DO27))/6,(SUM(DO27:DR27)-MIN(DO27:DR27)-MAX(DO27:DR27))/2))</f>
        <v/>
      </c>
      <c r="DT27" s="244" t="str">
        <f aca="false">IF(AW27=" "," ",IF(DC27=""," ",IF(DC27&lt;4,0.2,IF(DC27=4,0.27,IF(DC27&lt;10,0.33,IF(DC27=10,0.35,IF(DC27&lt;30,0.36,IF(DC27=30,0.37,IF(DC27&lt;50,0.38,IF(DC27=50,0.4,0.45))))))))))</f>
        <v> </v>
      </c>
      <c r="DU27" s="272" t="str">
        <f aca="false">IF(AW27=" "," ",IF(CC27=""," ",IF(CC27&lt;2,0.2,IF(CC27=2,0.23,IF(CC27&lt;4,0.26,IF(CC27=4,0.29,IF(CC27&lt;8,0.32,IF(CC27=8,0.35,IF(CC27&lt;15,0.38,IF(CC27=15,0.41,IF(CC27&lt;30,0.44,IF(CC27=30,0.47,0.5))))))))))))</f>
        <v> </v>
      </c>
      <c r="DV27" s="244" t="str">
        <f aca="false">IF(BR27=0,"",IF(AS27=$AX$3,DT27,DU27))</f>
        <v/>
      </c>
      <c r="DW27" s="244" t="str">
        <f aca="false">IF(BR27=0,"",IF(DC27&gt;15,15+0.5*(DC27-15),DC27))</f>
        <v/>
      </c>
      <c r="DX27" s="244" t="str">
        <f aca="false">IF(BR27=0,"",IF($S$12="SI",IF(CD27="NO",IF($AD$12&gt;(BO27+1.5*$ED$15),1,0.5),0.5),1))</f>
        <v/>
      </c>
      <c r="DY27" s="244" t="str">
        <f aca="false">IF(BR27=0,"",IF(S11="SI",IF(CD27="NO",IF($AD$12&gt;(BO27+1.5*$EE$15),1,0.5))))</f>
        <v/>
      </c>
      <c r="DZ27" s="244" t="str">
        <f aca="false">IF(BR27=0,"",IF($S$12="SI",IF(CD27="NO",IF($AD$12&gt;(BO27+1.5*$EF$15),1,0.5),0.5),1))</f>
        <v/>
      </c>
      <c r="EA27" s="244" t="str">
        <f aca="false">IF(BR27=0,"",IF($S$12="SI",IF(CD27="NO",IF($AD$12&gt;(BO27+1.5*$ED$15),1,0.5),IF($AD$12=BO27,1,0.5)),1))</f>
        <v/>
      </c>
      <c r="EB27" s="244" t="str">
        <f aca="false">IF(BR27=0,"",IF($S$12="SI",IF(CD27="NO",IF($AD$12&gt;(BO27+1.5*$EE$15),1,0.5),IF($AD$12=BO27,1,0.5)),1))</f>
        <v/>
      </c>
      <c r="EC27" s="244" t="str">
        <f aca="false">IF(BR27=0,"",IF($S$12="SI",IF(CD27="NO",IF($AD$12&gt;(BO27+1.5*$EF$15),1,0.5),IF($AD$12=BO27,1,0.5)),1))</f>
        <v/>
      </c>
      <c r="ED27" s="244" t="str">
        <f aca="false">IF(BR27=0,"",(DW27*($ED$15/10)*(DX27+EA27*(BO27/$ED$15))*1)/3)</f>
        <v/>
      </c>
      <c r="EE27" s="244" t="str">
        <f aca="false">IF(BR27=0,"",(DW27*($EE$15/10)*(DY27+EB27*(BO27/$EE$15))*1)/3)</f>
        <v/>
      </c>
      <c r="EF27" s="244" t="str">
        <f aca="false">IF(BR27=0,"",(DW27*($EF$15/10)*(DZ27+EC27*(BO27/$EF$15))*1)/3)</f>
        <v/>
      </c>
      <c r="EG27" s="273" t="str">
        <f aca="false">IF(BR27=0,"",IF(CD27="SI",0.5,1))</f>
        <v/>
      </c>
      <c r="EH27" s="244" t="str">
        <f aca="false">IF(BR27=0,"",IF((1+0.33*(BO27/$ED$15))&lt;=1.33,(1+0.33*(BO27/$ED$15)),1.33))</f>
        <v/>
      </c>
      <c r="EI27" s="244" t="str">
        <f aca="false">IF(BR27=0,"",IF((1+0.33*(BO27/$EE$15))&lt;=1.33,(1+0.33*(BO27/$EE$15)),1.33))</f>
        <v/>
      </c>
      <c r="EJ27" s="244" t="str">
        <f aca="false">IF(BR27=0,"",IF((1+0.33*(BO27/$EF$15))&lt;=1.33,(1+0.33*(BO27/$EF$15)),1.33))</f>
        <v/>
      </c>
      <c r="EK27" s="244" t="str">
        <f aca="false">IF(BR27=0,"",IF($ED$15&lt;=1.2,((20*DC27*EG27*EH27)/3)*0.010197,((12.5*DC27*((($ED$15+0.3)^2)/$ED$15)*EG27*EH27)/3)*0.010197))</f>
        <v/>
      </c>
      <c r="EL27" s="244" t="str">
        <f aca="false">IF(BR27=0,"",IF($EE$15&lt;=1.2,((20*DC27*EG27*EI27)/3)*0.010197,((12.5*DC27*((($EE$15+0.3)^2)/$EE$15)*EG27*EI27)/3)*0.010197))</f>
        <v/>
      </c>
      <c r="EM27" s="244" t="str">
        <f aca="false">IF(BR27=0,"",IF($EF$15&lt;=1.2,((20*DC27*EG27*EJ27)/3)*0.010197,((12.5*DC27*((($EF$15+0.3)^2)/$EF$15)*EG27*EJ27)/3)*0.010197))</f>
        <v/>
      </c>
      <c r="EN27" s="248" t="str">
        <f aca="false">IF(BR27=0,"",SQRT(12*BR27)+25)</f>
        <v/>
      </c>
      <c r="EO27" s="248" t="str">
        <f aca="false">IF(BR27=0,"",28.5+0.25*BR27)</f>
        <v/>
      </c>
      <c r="EP27" s="248" t="str">
        <f aca="false">IF(BR27=0,"",SQRT(20*BR27)+15)</f>
        <v/>
      </c>
      <c r="EQ27" s="248" t="str">
        <f aca="false">IF(BR27=0,"",23.7+0.57*BR27-0.0006*BR27*BR27)</f>
        <v/>
      </c>
      <c r="ER27" s="248" t="str">
        <f aca="false">IF(BR27=0,"",15+SQRT(20*BR27))</f>
        <v/>
      </c>
      <c r="ES27" s="248" t="str">
        <f aca="false">IF(BR27=0,"",3.5*SQRT(BR27)+20)</f>
        <v/>
      </c>
      <c r="ET27" s="248" t="str">
        <f aca="false">IF(BR27=0,"",27.1+0.3*BR27-0.00054*BR27*BR27)</f>
        <v/>
      </c>
      <c r="EU27" s="248" t="str">
        <f aca="false">IF(BR27=0,"",SQRT(20*BR27)+20)</f>
        <v/>
      </c>
      <c r="EV27" s="248" t="str">
        <f aca="false">IF(BR27=0,"",12.79+SQRT(25.86*BR27))</f>
        <v/>
      </c>
      <c r="EW27" s="248" t="str">
        <f aca="false">IF(BR27=0,"",_xlfn.ACOT((CC27/(12.2+20.3*CR27))^0.34))</f>
        <v/>
      </c>
      <c r="EX27" s="248" t="str">
        <f aca="false">IF(BR27=0,"",24+(5.77*LN(0.17*BR27)))</f>
        <v/>
      </c>
      <c r="EY27" s="248" t="str">
        <f aca="false">IF(BR27=0,"",(SUM(EN27:EX27)-MIN(EN27:EX27)-MAX(EN27:EX27))/9)</f>
        <v/>
      </c>
      <c r="EZ27" s="248" t="str">
        <f aca="false">IF(BR27=0,"", -0.0000000034*BR27^6 + 0.0000008305*BR27^5 - 0.0000741842*BR27^4 + 0.0030204278*BR27^3 - 0.0541594733*BR27^2 + 0.8083147848*BR27 - 0.6182191243)</f>
        <v/>
      </c>
      <c r="FA27" s="249" t="str">
        <f aca="false">IF(BR27=0,"",(0.134811827956989*BR27 - 0.0383064516129019)/2)</f>
        <v/>
      </c>
      <c r="FB27" s="249" t="str">
        <f aca="false">IF(BR27=0,"",BR27*0.065)</f>
        <v/>
      </c>
      <c r="FC27" s="249" t="str">
        <f aca="false">IF(BR27=0,"",(BR27*0.12*0.48)*SQRT((1+SIN(EZ27*((2*PI())/360))/(1-SIN(EZ27*((2*PI())/360))))))</f>
        <v/>
      </c>
      <c r="FD27" s="249" t="str">
        <f aca="false">IF(BR27=0,"",(BR27/8)/2)</f>
        <v/>
      </c>
      <c r="FE27" s="249" t="str">
        <f aca="false">IF(BR27=0,"",(SUM(FA27:FD27)-MIN(FA27:FD27)-MAX(FA27:FD27))/2)</f>
        <v/>
      </c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</row>
    <row r="28" customFormat="false" ht="9.75" hidden="false" customHeight="true" outlineLevel="0" collapsed="false">
      <c r="A28" s="197" t="n">
        <f aca="false">ROUND(A27+0.1,1)</f>
        <v>1.1</v>
      </c>
      <c r="B28" s="281"/>
      <c r="C28" s="251"/>
      <c r="D28" s="283"/>
      <c r="E28" s="199"/>
      <c r="F28" s="200"/>
      <c r="G28" s="254"/>
      <c r="H28" s="284"/>
      <c r="I28" s="285"/>
      <c r="J28" s="257"/>
      <c r="K28" s="258"/>
      <c r="L28" s="259"/>
      <c r="M28" s="276"/>
      <c r="N28" s="277"/>
      <c r="O28" s="277"/>
      <c r="P28" s="277"/>
      <c r="Q28" s="260"/>
      <c r="R28" s="278"/>
      <c r="S28" s="278"/>
      <c r="T28" s="261"/>
      <c r="U28" s="261"/>
      <c r="V28" s="262"/>
      <c r="W28" s="262"/>
      <c r="X28" s="262"/>
      <c r="Y28" s="262"/>
      <c r="Z28" s="262"/>
      <c r="AA28" s="262"/>
      <c r="AB28" s="263"/>
      <c r="AC28" s="264"/>
      <c r="AD28" s="265"/>
      <c r="AE28" s="264"/>
      <c r="AF28" s="266"/>
      <c r="AG28" s="267"/>
      <c r="AH28" s="267"/>
      <c r="AI28" s="241"/>
      <c r="AJ28" s="241"/>
      <c r="AK28" s="266"/>
      <c r="AL28" s="266"/>
      <c r="AM28" s="268"/>
      <c r="AN28" s="281"/>
      <c r="AO28" s="251"/>
      <c r="AP28" s="283"/>
      <c r="AQ28" s="199"/>
      <c r="AR28" s="200"/>
      <c r="AS28" s="269" t="s">
        <v>13</v>
      </c>
      <c r="AT28" s="221"/>
      <c r="AU28" s="269"/>
      <c r="AV28" s="269"/>
      <c r="AW28" s="270" t="n">
        <f aca="false">+K28+L28</f>
        <v>0</v>
      </c>
      <c r="AX28" s="270" t="str">
        <f aca="false">IF(AS28="&gt;50","CONSISTENCIA",IF(AS28="&lt;50","COMPACIDAD"," "))</f>
        <v>COMPACIDAD</v>
      </c>
      <c r="AY28" s="225" t="str">
        <f aca="false">IF(AS28="&gt;50",AZ28,IF(AS28="&lt;50",BA28," "))</f>
        <v> </v>
      </c>
      <c r="AZ28" s="224" t="str">
        <f aca="false">IF(AW28=" "," ",IF(CC28=""," ",IF(CC28&lt;2,"MUY BLANDA",IF(CC28=2,"MUY BLANDA A BLANDA",IF(CC28&lt;4,"BLANDA",IF(CC28=4,"BLANDA A MEDIA",IF(CC28&lt;8,"MEDIA",IF(CC28=8,"MEDIA A FIRME",IF(CC28&lt;15,"FIRME",IF(CC28=15,"FIRME A MUY FIRME",IF(CC28&lt;30,"MUY FIRME",IF(CC28=30,"MUY FIRME A DURA","DURA"))))))))))))</f>
        <v> </v>
      </c>
      <c r="BA28" s="225" t="str">
        <f aca="false">IF(AW28=" "," ",IF(DC28=""," ",IF(DC28&lt;4,"MUY SUELTA",IF(DC28=4,"MUY SUELTA A SUELTA",IF(DC28&lt;10,"SUELTA",IF(DC28=10,"SUELTA A MEDIA",IF(DC28&lt;30,"MEDIA",IF(DC28=30,"MEDIA A DENSO",IF(DC28&lt;50,"DENSO",IF(DC28=50,"DENSO MUY DENSO","MUY DENSO"))))))))))</f>
        <v> </v>
      </c>
      <c r="BB28" s="226" t="str">
        <f aca="false">IF(BR29=0,"",CQ29*0.0101972)</f>
        <v/>
      </c>
      <c r="BC28" s="227" t="n">
        <f aca="false">+BC27+0.1</f>
        <v>1.1</v>
      </c>
      <c r="BD28" s="227" t="str">
        <f aca="false">IF(BC28&lt;=$AN$10,BC28,"")</f>
        <v/>
      </c>
      <c r="BE28" s="228" t="n">
        <f aca="false">ISNUMBER(BD28)</f>
        <v>0</v>
      </c>
      <c r="BF28" s="229" t="str">
        <f aca="false">MID(M28,1,1)</f>
        <v/>
      </c>
      <c r="BG28" s="230" t="str">
        <f aca="false">IF(BF28="S","",IF(BF28="G","",MID(M28,2,1)))</f>
        <v/>
      </c>
      <c r="BH28" s="231" t="str">
        <f aca="false">CONCATENATE(BF28,BG28)</f>
        <v/>
      </c>
      <c r="BI28" s="6" t="str">
        <f aca="false">IF(BE28=FALSE(),"",IF(BH28="",BI27,BH28))</f>
        <v/>
      </c>
      <c r="BJ28" s="74" t="str">
        <f aca="false">IF(OR(BI28="S",BI28="G"),BI28,"X")</f>
        <v>X</v>
      </c>
      <c r="BK28" s="74" t="s">
        <v>188</v>
      </c>
      <c r="BL28" s="286" t="e">
        <f aca="false">INDEX(sim_0,MATCH($BJ$28,granular,0))</f>
        <v>#NAME?</v>
      </c>
      <c r="BM28" s="286"/>
      <c r="BN28" s="6"/>
      <c r="BO28" s="191" t="n">
        <f aca="false">BO27+0.1</f>
        <v>1.1</v>
      </c>
      <c r="BP28" s="233" t="e">
        <f aca="false">IF(AW28=0,NA(),IF(AS28=$AX$3,ROUND(DC28,0),NA()))</f>
        <v>#N/A</v>
      </c>
      <c r="BQ28" s="31" t="e">
        <f aca="false">IF(AW28=0,NA(),IF(AS28=$AX$4,ROUND(CC28,0),NA()))</f>
        <v>#N/A</v>
      </c>
      <c r="BR28" s="234" t="n">
        <f aca="false">+AW28</f>
        <v>0</v>
      </c>
      <c r="BS28" s="235" t="str">
        <f aca="false">IF(BR28=0,"", -0.00000000016128755327*CC28^6 + 0.00000006709386362421*CC28^5 - 0.0000106217678052217*CC28^4 + 0.00081068114193385*CC28^3 - 0.0314027378159951*CC28^2 + 0.649796593937842*CC28 + 13.7888866455022)</f>
        <v/>
      </c>
      <c r="BT28" s="235" t="str">
        <f aca="false">IF(BR28=0,"",-0.00000000014625939695*CC28^6 + 0.00000004971732060241*CC28^5 - 0.000006683744342031*CC28^4 + 0.0004563177378098*CC28^3 - 0.0171727530635803*CC28^2 + 0.444529932876435*CC28 + 15.6692518940565)</f>
        <v/>
      </c>
      <c r="BU28" s="236" t="str">
        <f aca="false">IF(BR28=0,"", -0.0000000008152265738*BR28^6 + 0.00000022764320256987*BR28^5 - 0.0000248205675927705*BR28^4 + 0.00133186623684865*BR28^3 - 0.0368442570441677*BR28^2 + 0.580111565569094*BR28 + 14.0417598296107)</f>
        <v/>
      </c>
      <c r="BV28" s="236" t="str">
        <f aca="false">IF(BR28=0,"", -0.00000000004321395721*BR28^6 + 0.00000002531844275498*BR28^5 - 0.00000369428022780862*BR28^4 + 0.00020283665900125*BR28^3 - 0.00462426256803268*BR28^2 + 0.139572935065453*BR28 + 15.4475338156923)</f>
        <v/>
      </c>
      <c r="BW28" s="236" t="str">
        <f aca="false">IF(BR28=0,"",-0.00000000033126390082*BR28^6 + 0.00000010463660614506*BR28^5 - 0.0000129629592998707*BR28^4 + 0.000803946335250767*BR28^3 - 0.0270257140395994*BR28^2 + 0.562590210721552*BR28+ 12.1254107606419)</f>
        <v/>
      </c>
      <c r="BX28" s="236" t="str">
        <f aca="false">IF(BR28=0,"",-0.00000000002593504955*BR28^6 + 0.00000002430495156704*BR28^5 - 0.00000386103271086364*BR28^4 + 0.000214416118986322*BR28^3 - 0.0047271462612021*BR28^2 + 0.156696175741135*BR28 + 15.4598891949502)</f>
        <v/>
      </c>
      <c r="BY28" s="234" t="str">
        <f aca="false">IF(BR28=0,"",$BS$2)</f>
        <v/>
      </c>
      <c r="BZ28" s="234" t="str">
        <f aca="false">IF(BR28=0,"",$BS$3)</f>
        <v/>
      </c>
      <c r="CA28" s="234" t="str">
        <f aca="false">IF(BR28=0,"",$BS$4)</f>
        <v/>
      </c>
      <c r="CB28" s="235" t="str">
        <f aca="false">IF(BR28=0,"",IF(AND(BO28&gt;=0,BO28&lt;4),0.75,IF(AND(BO28&gt;=4,BO28&lt;6),0.85,IF(AND(BO28&gt;=6,BO28&lt;=10),0.95,1))))</f>
        <v/>
      </c>
      <c r="CC28" s="234" t="str">
        <f aca="false">IF(BR28=0,"",BR28*BY28*BZ28*CA28*CB28/60)</f>
        <v/>
      </c>
      <c r="CD28" s="238" t="str">
        <f aca="false">IF(BR28=0,"",IF($S$12="NO","NO",IF($AD$12&lt;=BO28,"SI","NO")))</f>
        <v/>
      </c>
      <c r="CE28" s="235" t="n">
        <f aca="false">IF(BR28=0,0,AB28)</f>
        <v>0</v>
      </c>
      <c r="CF28" s="235" t="n">
        <f aca="false">IF(CE28&gt;0,BO28,0)</f>
        <v>0</v>
      </c>
      <c r="CG28" s="239" t="n">
        <f aca="false">IF(CF28=0,CF28+CG27,CF28)</f>
        <v>0</v>
      </c>
      <c r="CH28" s="239" t="n">
        <f aca="false">IF(CG28=CG27,CH27,ABS(CG28-CG27))</f>
        <v>0</v>
      </c>
      <c r="CI28" s="239" t="n">
        <f aca="false">+CE28*CH28</f>
        <v>0</v>
      </c>
      <c r="CJ28" s="239" t="n">
        <f aca="false">IF(CI28=0,CI28+CJ27,CI28)</f>
        <v>0</v>
      </c>
      <c r="CK28" s="239" t="n">
        <f aca="false">IF(CJ28=CJ27,CK27,ABS(CJ28+CK27))</f>
        <v>0</v>
      </c>
      <c r="CL28" s="241" t="n">
        <f aca="false">IF(CE28=0,0,CK28)</f>
        <v>0</v>
      </c>
      <c r="CM28" s="239" t="n">
        <f aca="false">IF(CE28=0,0,CH28*9.81)</f>
        <v>0</v>
      </c>
      <c r="CN28" s="239" t="n">
        <f aca="false">IF(CM28=0,CM28+CN27,CM28)</f>
        <v>0</v>
      </c>
      <c r="CO28" s="239" t="n">
        <f aca="false">IF(CN28=CN27,CO27,ABS(CN28+CO27))</f>
        <v>0</v>
      </c>
      <c r="CP28" s="241" t="n">
        <f aca="false">IF(CD28="NO",0,IF(CE28=0,0,CO28))</f>
        <v>0</v>
      </c>
      <c r="CQ28" s="244" t="str">
        <f aca="false">IF(BR28=0,"",CL28-CP28)</f>
        <v/>
      </c>
      <c r="CR28" s="244" t="str">
        <f aca="false">IF(BR28=0,"",CQ28/101.3)</f>
        <v/>
      </c>
      <c r="CS28" s="244" t="str">
        <f aca="false">IF(BR28=0,"",LOG(10/CR28))</f>
        <v/>
      </c>
      <c r="CT28" s="243" t="str">
        <f aca="false">IF(BR28=0,"",IF(SQRT(101.3/CQ28)&lt;=1.7,SQRT(101.3/CQ28),2.2/(1.2+(CQ28/101.3))))</f>
        <v/>
      </c>
      <c r="CU28" s="244" t="str">
        <f aca="false">IF(BR28=0,"",1.7/(0.7+CR28))</f>
        <v/>
      </c>
      <c r="CV28" s="244" t="str">
        <f aca="false">IF(BR28=0,"",IF(CR28&gt;=0.25,0.77*LOG(20/CR28),""))</f>
        <v/>
      </c>
      <c r="CW28" s="244" t="str">
        <f aca="false">IF(BR28=0,"",32.5/(10.2+20.3*CR28))</f>
        <v/>
      </c>
      <c r="CX28" s="244" t="str">
        <f aca="false">IF(BR28=0,"",1-1.25*LOG(CR28))</f>
        <v/>
      </c>
      <c r="CY28" s="244" t="str">
        <f aca="false">IF(BR28=0,"",IF(CR28&lt;1,1-1.41*LOG(CR28),1+0.92*LOG(CR28)))</f>
        <v/>
      </c>
      <c r="CZ28" s="244" t="str">
        <f aca="false">IF(BR28=0,"",2/(1+CR28))</f>
        <v/>
      </c>
      <c r="DA28" s="244" t="str">
        <f aca="false">IF(BR28=0,"",IF(CR28&lt;=0.75,4/(1+4*CR28),4/(3.25+CR28)))</f>
        <v/>
      </c>
      <c r="DB28" s="244" t="str">
        <f aca="false">IF(BR28=0,"",CT28)</f>
        <v/>
      </c>
      <c r="DC28" s="244" t="str">
        <f aca="false">IF(BR28=0,"",DB28*CC28)</f>
        <v/>
      </c>
      <c r="DD28" s="244"/>
      <c r="DE28" s="244" t="str">
        <f aca="false">IF(BR28=0,"",0.193*(CC28/(CQ28*0.001))^0.689)</f>
        <v/>
      </c>
      <c r="DF28" s="244" t="str">
        <f aca="false">IF(BR28=0,"",IF(AS28=$AX$4,(0.1348118*CC28 - 0.0383065)*98.0665,""))</f>
        <v/>
      </c>
      <c r="DG28" s="244" t="str">
        <f aca="false">IF(BR28=0,"",IF(AS28=$AX$4,DF28/2,""))</f>
        <v/>
      </c>
      <c r="DH28" s="244" t="str">
        <f aca="false">IF(BR28=0,"",IF(DC28&lt;=15,12*(DC28+6),40+12*(DC28-6)))</f>
        <v/>
      </c>
      <c r="DI28" s="244" t="str">
        <f aca="false">IF(BR28=0,"",IF(CD28="SI",5*(DC28+15),((3.3*(DC28+15))+(4*(DC28+12)))/2))</f>
        <v/>
      </c>
      <c r="DJ28" s="244" t="str">
        <f aca="false">IF(BR28=0,"",8*DC28)</f>
        <v/>
      </c>
      <c r="DK28" s="244" t="str">
        <f aca="false">IF(BR28=0,"",215+(10.6*DC28))</f>
        <v/>
      </c>
      <c r="DL28" s="244" t="str">
        <f aca="false">IF(BR28=0,"",10*(7.5+(0.5*DC28)))</f>
        <v/>
      </c>
      <c r="DM28" s="244" t="str">
        <f aca="false">IF(BR28=0,"",8*DC28)</f>
        <v/>
      </c>
      <c r="DN28" s="244" t="str">
        <f aca="false">IF(AW28=" "," ",IF(DC28=""," ",IF(DC28&lt;4,10*10.2,IF(DC28=4,12*10.2,IF(DC28&lt;10,17.5*10.5,IF(DC28=10,15*10.2,IF(DC28&lt;30,22.5*10.2,IF(DC28=30,35*10.2,IF(DC28&lt;50,40*10.2,IF(DC28=50,50*10.2,55*10.2))))))))))</f>
        <v> </v>
      </c>
      <c r="DO28" s="244" t="str">
        <f aca="false">IF(BR28=0,"",7*SQRT(DC28)*10.1972)</f>
        <v/>
      </c>
      <c r="DP28" s="244" t="str">
        <f aca="false">IF(BR28=0,"",IF(AS28=$AX$4,5*CC28,""))</f>
        <v/>
      </c>
      <c r="DQ28" s="244" t="str">
        <f aca="false">IF(AW28=" "," ",IF(DC28=""," ",IF(DC28&lt;2,4*10.2,IF(DC28=2,6*10.2,IF(DC28&lt;4,12*10.2,IF(DC28=4,20*10.2,IF(DC28&lt;8,30*10.2,IF(DC28=8,35*10.2,IF(DC28&lt;15,40*10.2,IF(DC28=15,42*10.2,IF(DC28&lt;30,45*10.2,IF(DC28=30,50*10.2,70*10.2))))))))))))</f>
        <v> </v>
      </c>
      <c r="DR28" s="244" t="str">
        <f aca="false">IF(BR28=0,"",IF(AS28=$AX$4,220*DP28*0.0101972,""))</f>
        <v/>
      </c>
      <c r="DS28" s="271" t="str">
        <f aca="false">IF(BR28=0,"",IF(AS28=$AX$7,(SUM(DH28:DO28)-MIN(DH28:DO28)-MAX(DH28:DO28))/6,(SUM(DO28:DR28)-MIN(DO28:DR28)-MAX(DO28:DR28))/2))</f>
        <v/>
      </c>
      <c r="DT28" s="244" t="str">
        <f aca="false">IF(AW28=" "," ",IF(DC28=""," ",IF(DC28&lt;4,0.2,IF(DC28=4,0.27,IF(DC28&lt;10,0.33,IF(DC28=10,0.35,IF(DC28&lt;30,0.36,IF(DC28=30,0.37,IF(DC28&lt;50,0.38,IF(DC28=50,0.4,0.45))))))))))</f>
        <v> </v>
      </c>
      <c r="DU28" s="272" t="str">
        <f aca="false">IF(AW28=" "," ",IF(CC28=""," ",IF(CC28&lt;2,0.2,IF(CC28=2,0.23,IF(CC28&lt;4,0.26,IF(CC28=4,0.29,IF(CC28&lt;8,0.32,IF(CC28=8,0.35,IF(CC28&lt;15,0.38,IF(CC28=15,0.41,IF(CC28&lt;30,0.44,IF(CC28=30,0.47,0.5))))))))))))</f>
        <v> </v>
      </c>
      <c r="DV28" s="244" t="str">
        <f aca="false">IF(BR28=0,"",IF(AS28=$AX$3,DT28,DU28))</f>
        <v/>
      </c>
      <c r="DW28" s="244" t="str">
        <f aca="false">IF(BR28=0,"",IF(DC28&gt;15,15+0.5*(DC28-15),DC28))</f>
        <v/>
      </c>
      <c r="DX28" s="244" t="str">
        <f aca="false">IF(BR28=0,"",IF($S$12="SI",IF(CD28="NO",IF($AD$12&gt;(BO28+1.5*$ED$15),1,0.5),0.5),1))</f>
        <v/>
      </c>
      <c r="DY28" s="244" t="str">
        <f aca="false">IF(BR28=0,"",IF($S$12="SI",IF(CD28="NO",IF($AD$12&gt;(BO28+1.5*$EE$15),1,0.5),0.5),1))</f>
        <v/>
      </c>
      <c r="DZ28" s="244" t="str">
        <f aca="false">IF(BR28=0,"",IF($S$12="SI",IF(CD28="NO",IF($AD$12&gt;(BO28+1.5*$EF$15),1,0.5),0.5),1))</f>
        <v/>
      </c>
      <c r="EA28" s="244" t="str">
        <f aca="false">IF(BR28=0,"",IF($S$12="SI",IF(CD28="NO",IF($AD$12&gt;(BO28+1.5*$ED$15),1,0.5),IF($AD$12=BO28,1,0.5)),1))</f>
        <v/>
      </c>
      <c r="EB28" s="244" t="str">
        <f aca="false">IF(BR28=0,"",IF($S$12="SI",IF(CD28="NO",IF($AD$12&gt;(BO28+1.5*$EE$15),1,0.5),IF($AD$12=BO28,1,0.5)),1))</f>
        <v/>
      </c>
      <c r="EC28" s="244" t="str">
        <f aca="false">IF(BR28=0,"",IF($S$12="SI",IF(CD28="NO",IF($AD$12&gt;(BO28+1.5*$EF$15),1,0.5),IF($AD$12=BO28,1,0.5)),1))</f>
        <v/>
      </c>
      <c r="ED28" s="244" t="str">
        <f aca="false">IF(BR28=0,"",(DW28*($ED$15/10)*(DX28+EA28*(BO28/$ED$15))*1)/3)</f>
        <v/>
      </c>
      <c r="EE28" s="244" t="str">
        <f aca="false">IF(BR28=0,"",(DW28*($EE$15/10)*(DY28+EB28*(BO28/$EE$15))*1)/3)</f>
        <v/>
      </c>
      <c r="EF28" s="244" t="str">
        <f aca="false">IF(BR28=0,"",(DW28*($EF$15/10)*(DZ28+EC28*(BO28/$EF$15))*1)/3)</f>
        <v/>
      </c>
      <c r="EG28" s="273" t="str">
        <f aca="false">IF(BR28=0,"",IF(CD28="SI",0.5,1))</f>
        <v/>
      </c>
      <c r="EH28" s="244" t="str">
        <f aca="false">IF(BR28=0,"",IF((1+0.33*(BO28/$ED$15))&lt;=1.33,(1+0.33*(BO28/$ED$15)),1.33))</f>
        <v/>
      </c>
      <c r="EI28" s="244" t="str">
        <f aca="false">IF(BR28=0,"",IF((1+0.33*(BO28/$EE$15))&lt;=1.33,(1+0.33*(BO28/$EE$15)),1.33))</f>
        <v/>
      </c>
      <c r="EJ28" s="244" t="str">
        <f aca="false">IF(BR28=0,"",IF((1+0.33*(BO28/$EF$15))&lt;=1.33,(1+0.33*(BO28/$EF$15)),1.33))</f>
        <v/>
      </c>
      <c r="EK28" s="244" t="str">
        <f aca="false">IF(BR28=0,"",IF($ED$15&lt;=1.2,((20*DC28*EG28*EH28)/3)*0.010197,((12.5*DC28*((($ED$15+0.3)^2)/$ED$15)*EG28*EH28)/3)*0.010197))</f>
        <v/>
      </c>
      <c r="EL28" s="244" t="str">
        <f aca="false">IF(BR28=0,"",IF($EE$15&lt;=1.2,((20*DC28*EG28*EI28)/3)*0.010197,((12.5*DC28*((($EE$15+0.3)^2)/$EE$15)*EG28*EI28)/3)*0.010197))</f>
        <v/>
      </c>
      <c r="EM28" s="244" t="str">
        <f aca="false">IF(BR28=0,"",IF($EF$15&lt;=1.2,((20*DC28*EG28*EJ28)/3)*0.010197,((12.5*DC28*((($EF$15+0.3)^2)/$EF$15)*EG28*EJ28)/3)*0.010197))</f>
        <v/>
      </c>
      <c r="EN28" s="248" t="str">
        <f aca="false">IF(BR28=0,"",SQRT(12*BR28)+25)</f>
        <v/>
      </c>
      <c r="EO28" s="248" t="str">
        <f aca="false">IF(BR28=0,"",28.5+0.25*BR28)</f>
        <v/>
      </c>
      <c r="EP28" s="248" t="str">
        <f aca="false">IF(BR28=0,"",SQRT(20*BR28)+15)</f>
        <v/>
      </c>
      <c r="EQ28" s="248" t="str">
        <f aca="false">IF(BR28=0,"",23.7+0.57*BR28-0.0006*BR28*BR28)</f>
        <v/>
      </c>
      <c r="ER28" s="248" t="str">
        <f aca="false">IF(BR28=0,"",15+SQRT(20*BR28))</f>
        <v/>
      </c>
      <c r="ES28" s="248" t="str">
        <f aca="false">IF(BR28=0,"",3.5*SQRT(BR28)+20)</f>
        <v/>
      </c>
      <c r="ET28" s="248" t="str">
        <f aca="false">IF(BR28=0,"",27.1+0.3*BR28-0.00054*BR28*BR28)</f>
        <v/>
      </c>
      <c r="EU28" s="248" t="str">
        <f aca="false">IF(BR28=0,"",SQRT(20*BR28)+20)</f>
        <v/>
      </c>
      <c r="EV28" s="248" t="str">
        <f aca="false">IF(BR28=0,"",12.79+SQRT(25.86*BR28))</f>
        <v/>
      </c>
      <c r="EW28" s="248" t="str">
        <f aca="false">IF(BR28=0,"",_xlfn.ACOT((CC28/(12.2+20.3*CR28))^0.34))</f>
        <v/>
      </c>
      <c r="EX28" s="248" t="str">
        <f aca="false">IF(BR28=0,"",24+(5.77*LN(0.17*BR28)))</f>
        <v/>
      </c>
      <c r="EY28" s="248" t="str">
        <f aca="false">IF(BR28=0,"",(SUM(EN28:EX28)-MIN(EN28:EX28)-MAX(EN28:EX28))/9)</f>
        <v/>
      </c>
      <c r="EZ28" s="248" t="str">
        <f aca="false">IF(BR28=0,"", -0.0000000034*BR28^6 + 0.0000008305*BR28^5 - 0.0000741842*BR28^4 + 0.0030204278*BR28^3 - 0.0541594733*BR28^2 + 0.8083147848*BR28 - 0.6182191243)</f>
        <v/>
      </c>
      <c r="FA28" s="249" t="str">
        <f aca="false">IF(BR28=0,"",(0.134811827956989*BR28 - 0.0383064516129019)/2)</f>
        <v/>
      </c>
      <c r="FB28" s="249" t="str">
        <f aca="false">IF(BR28=0,"",BR28*0.065)</f>
        <v/>
      </c>
      <c r="FC28" s="249" t="str">
        <f aca="false">IF(BR28=0,"",(BR28*0.12*0.48)*SQRT((1+SIN(EZ28*((2*PI())/360))/(1-SIN(EZ28*((2*PI())/360))))))</f>
        <v/>
      </c>
      <c r="FD28" s="249" t="str">
        <f aca="false">IF(BR28=0,"",(BR28/8)/2)</f>
        <v/>
      </c>
      <c r="FE28" s="249" t="str">
        <f aca="false">IF(BR28=0,"",(SUM(FA28:FD28)-MIN(FA28:FD28)-MAX(FA28:FD28))/2)</f>
        <v/>
      </c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</row>
    <row r="29" customFormat="false" ht="9.75" hidden="false" customHeight="true" outlineLevel="0" collapsed="false">
      <c r="A29" s="197" t="n">
        <f aca="false">ROUND(A28+0.1,1)</f>
        <v>1.2</v>
      </c>
      <c r="B29" s="250" t="n">
        <f aca="false">+A29</f>
        <v>1.2</v>
      </c>
      <c r="C29" s="251"/>
      <c r="D29" s="251"/>
      <c r="E29" s="252"/>
      <c r="F29" s="253"/>
      <c r="G29" s="254"/>
      <c r="H29" s="284"/>
      <c r="I29" s="285"/>
      <c r="J29" s="257"/>
      <c r="K29" s="258"/>
      <c r="L29" s="259"/>
      <c r="M29" s="276"/>
      <c r="N29" s="277"/>
      <c r="O29" s="277"/>
      <c r="P29" s="277"/>
      <c r="Q29" s="260"/>
      <c r="R29" s="278"/>
      <c r="S29" s="278"/>
      <c r="T29" s="261"/>
      <c r="U29" s="261"/>
      <c r="V29" s="262"/>
      <c r="W29" s="262"/>
      <c r="X29" s="262"/>
      <c r="Y29" s="262"/>
      <c r="Z29" s="262"/>
      <c r="AA29" s="262"/>
      <c r="AB29" s="263"/>
      <c r="AC29" s="264"/>
      <c r="AD29" s="265"/>
      <c r="AE29" s="264"/>
      <c r="AF29" s="266"/>
      <c r="AG29" s="267"/>
      <c r="AH29" s="267"/>
      <c r="AI29" s="241"/>
      <c r="AJ29" s="241"/>
      <c r="AK29" s="266"/>
      <c r="AL29" s="266"/>
      <c r="AM29" s="268"/>
      <c r="AN29" s="250" t="n">
        <f aca="false">+AN27+0.2</f>
        <v>1.2</v>
      </c>
      <c r="AO29" s="251"/>
      <c r="AP29" s="251"/>
      <c r="AQ29" s="252"/>
      <c r="AR29" s="253"/>
      <c r="AS29" s="269" t="s">
        <v>13</v>
      </c>
      <c r="AT29" s="221"/>
      <c r="AU29" s="269"/>
      <c r="AV29" s="269"/>
      <c r="AW29" s="270" t="n">
        <f aca="false">+K29+L29</f>
        <v>0</v>
      </c>
      <c r="AX29" s="270" t="str">
        <f aca="false">IF(AS29="&gt;50","CONSISTENCIA",IF(AS29="&lt;50","COMPACIDAD"," "))</f>
        <v>COMPACIDAD</v>
      </c>
      <c r="AY29" s="225" t="str">
        <f aca="false">IF(AS29="&gt;50",AZ29,IF(AS29="&lt;50",BA29," "))</f>
        <v> </v>
      </c>
      <c r="AZ29" s="224" t="str">
        <f aca="false">IF(AW29=" "," ",IF(CC29=""," ",IF(CC29&lt;2,"MUY BLANDA",IF(CC29=2,"MUY BLANDA A BLANDA",IF(CC29&lt;4,"BLANDA",IF(CC29=4,"BLANDA A MEDIA",IF(CC29&lt;8,"MEDIA",IF(CC29=8,"MEDIA A FIRME",IF(CC29&lt;15,"FIRME",IF(CC29=15,"FIRME A MUY FIRME",IF(CC29&lt;30,"MUY FIRME",IF(CC29=30,"MUY FIRME A DURA","DURA"))))))))))))</f>
        <v> </v>
      </c>
      <c r="BA29" s="225" t="str">
        <f aca="false">IF(AW29=" "," ",IF(DC29=""," ",IF(DC29&lt;4,"MUY SUELTA",IF(DC29=4,"MUY SUELTA A SUELTA",IF(DC29&lt;10,"SUELTA",IF(DC29=10,"SUELTA A MEDIA",IF(DC29&lt;30,"MEDIA",IF(DC29=30,"MEDIA A DENSO",IF(DC29&lt;50,"DENSO",IF(DC29=50,"DENSO MUY DENSO","MUY DENSO"))))))))))</f>
        <v> </v>
      </c>
      <c r="BB29" s="226" t="str">
        <f aca="false">IF(BR30=0,"",CQ30*0.0101972)</f>
        <v/>
      </c>
      <c r="BC29" s="227" t="n">
        <f aca="false">+BC28+0.1</f>
        <v>1.2</v>
      </c>
      <c r="BD29" s="227" t="str">
        <f aca="false">IF(BC29&lt;=$AN$10,BC29,"")</f>
        <v/>
      </c>
      <c r="BE29" s="228" t="n">
        <f aca="false">ISNUMBER(BD29)</f>
        <v>0</v>
      </c>
      <c r="BF29" s="229" t="str">
        <f aca="false">MID(M29,1,1)</f>
        <v/>
      </c>
      <c r="BG29" s="230" t="str">
        <f aca="false">IF(BF29="S","",IF(BF29="G","",MID(M29,2,1)))</f>
        <v/>
      </c>
      <c r="BH29" s="231" t="str">
        <f aca="false">CONCATENATE(BF29,BG29)</f>
        <v/>
      </c>
      <c r="BI29" s="6" t="str">
        <f aca="false">IF(BE29=FALSE(),"",IF(BH29="",BI28,BH29))</f>
        <v/>
      </c>
      <c r="BJ29" s="74" t="str">
        <f aca="false">IF(OR(BI29="S",BI29="G"),BI29,"X")</f>
        <v>X</v>
      </c>
      <c r="BK29" s="74" t="s">
        <v>189</v>
      </c>
      <c r="BL29" s="286" t="e">
        <f aca="false">INDEX(sim_0,MATCH($BJ$29,granular,0))</f>
        <v>#NAME?</v>
      </c>
      <c r="BM29" s="286"/>
      <c r="BN29" s="6"/>
      <c r="BO29" s="191" t="n">
        <f aca="false">BO28+0.1</f>
        <v>1.2</v>
      </c>
      <c r="BP29" s="233" t="e">
        <f aca="false">IF(AW29=0,NA(),IF(AS29=$AX$3,ROUND(DC29,0),NA()))</f>
        <v>#N/A</v>
      </c>
      <c r="BQ29" s="31" t="e">
        <f aca="false">IF(AW29=0,NA(),IF(AS29=$AX$4,ROUND(CC29,0),NA()))</f>
        <v>#N/A</v>
      </c>
      <c r="BR29" s="234" t="n">
        <f aca="false">+AW29</f>
        <v>0</v>
      </c>
      <c r="BS29" s="235" t="str">
        <f aca="false">IF(BR29=0,"", -0.00000000016128755327*CC29^6 + 0.00000006709386362421*CC29^5 - 0.0000106217678052217*CC29^4 + 0.00081068114193385*CC29^3 - 0.0314027378159951*CC29^2 + 0.649796593937842*CC29 + 13.7888866455022)</f>
        <v/>
      </c>
      <c r="BT29" s="235" t="str">
        <f aca="false">IF(BR29=0,"",-0.00000000014625939695*CC29^6 + 0.00000004971732060241*CC29^5 - 0.000006683744342031*CC29^4 + 0.0004563177378098*CC29^3 - 0.0171727530635803*CC29^2 + 0.444529932876435*CC29 + 15.6692518940565)</f>
        <v/>
      </c>
      <c r="BU29" s="236" t="str">
        <f aca="false">IF(BR29=0,"", -0.0000000008152265738*BR29^6 + 0.00000022764320256987*BR29^5 - 0.0000248205675927705*BR29^4 + 0.00133186623684865*BR29^3 - 0.0368442570441677*BR29^2 + 0.580111565569094*BR29 + 14.0417598296107)</f>
        <v/>
      </c>
      <c r="BV29" s="236" t="str">
        <f aca="false">IF(BR29=0,"", -0.00000000004321395721*BR29^6 + 0.00000002531844275498*BR29^5 - 0.00000369428022780862*BR29^4 + 0.00020283665900125*BR29^3 - 0.00462426256803268*BR29^2 + 0.139572935065453*BR29 + 15.4475338156923)</f>
        <v/>
      </c>
      <c r="BW29" s="236" t="str">
        <f aca="false">IF(BR29=0,"",-0.00000000033126390082*BR29^6 + 0.00000010463660614506*BR29^5 - 0.0000129629592998707*BR29^4 + 0.000803946335250767*BR29^3 - 0.0270257140395994*BR29^2 + 0.562590210721552*BR29+ 12.1254107606419)</f>
        <v/>
      </c>
      <c r="BX29" s="236" t="str">
        <f aca="false">IF(BR29=0,"",-0.00000000002593504955*BR29^6 + 0.00000002430495156704*BR29^5 - 0.00000386103271086364*BR29^4 + 0.000214416118986322*BR29^3 - 0.0047271462612021*BR29^2 + 0.156696175741135*BR29 + 15.4598891949502)</f>
        <v/>
      </c>
      <c r="BY29" s="234" t="str">
        <f aca="false">IF(BR29=0,"",$BS$2)</f>
        <v/>
      </c>
      <c r="BZ29" s="234" t="str">
        <f aca="false">IF(BR29=0,"",$BS$3)</f>
        <v/>
      </c>
      <c r="CA29" s="234" t="str">
        <f aca="false">IF(BR29=0,"",$BS$4)</f>
        <v/>
      </c>
      <c r="CB29" s="235" t="str">
        <f aca="false">IF(BR29=0,"",IF(AND(BO29&gt;=0,BO29&lt;4),0.75,IF(AND(BO29&gt;=4,BO29&lt;6),0.85,IF(AND(BO29&gt;=6,BO29&lt;=10),0.95,1))))</f>
        <v/>
      </c>
      <c r="CC29" s="234" t="str">
        <f aca="false">IF(BR29=0,"",BR29*BY29*BZ29*CA29*CB29/60)</f>
        <v/>
      </c>
      <c r="CD29" s="238" t="str">
        <f aca="false">IF(BR29=0,"",IF($S$12="NO","NO",IF($AD$12&lt;=BO29,"SI","NO")))</f>
        <v/>
      </c>
      <c r="CE29" s="235" t="n">
        <f aca="false">IF(BR29=0,0,AB29)</f>
        <v>0</v>
      </c>
      <c r="CF29" s="235" t="n">
        <f aca="false">IF(CE29&gt;0,BO29,0)</f>
        <v>0</v>
      </c>
      <c r="CG29" s="239" t="n">
        <f aca="false">IF(CF29=0,CF29+CG28,CF29)</f>
        <v>0</v>
      </c>
      <c r="CH29" s="239" t="n">
        <f aca="false">IF(CG29=CG28,CH28,ABS(CG29-CG28))</f>
        <v>0</v>
      </c>
      <c r="CI29" s="239" t="n">
        <f aca="false">+CE29*CH29</f>
        <v>0</v>
      </c>
      <c r="CJ29" s="239" t="n">
        <f aca="false">IF(CI29=0,CI29+CJ28,CI29)</f>
        <v>0</v>
      </c>
      <c r="CK29" s="239" t="n">
        <f aca="false">IF(CJ29=CJ28,CK28,ABS(CJ29+CK28))</f>
        <v>0</v>
      </c>
      <c r="CL29" s="241" t="n">
        <f aca="false">IF(CE29=0,0,CK29)</f>
        <v>0</v>
      </c>
      <c r="CM29" s="239" t="n">
        <f aca="false">IF(CE29=0,0,CH29*9.81)</f>
        <v>0</v>
      </c>
      <c r="CN29" s="239" t="n">
        <f aca="false">IF(CM29=0,CM29+CN28,CM29)</f>
        <v>0</v>
      </c>
      <c r="CO29" s="239" t="n">
        <f aca="false">IF(CN29=CN28,CO28,ABS(CN29+CO28))</f>
        <v>0</v>
      </c>
      <c r="CP29" s="241" t="n">
        <f aca="false">IF(CD29="NO",0,IF(CE29=0,0,CO29))</f>
        <v>0</v>
      </c>
      <c r="CQ29" s="244" t="str">
        <f aca="false">IF(BR29=0,"",CL29-CP29)</f>
        <v/>
      </c>
      <c r="CR29" s="244" t="str">
        <f aca="false">IF(BR29=0,"",CQ29/101.3)</f>
        <v/>
      </c>
      <c r="CS29" s="244" t="str">
        <f aca="false">IF(BR29=0,"",LOG(10/CR29))</f>
        <v/>
      </c>
      <c r="CT29" s="243" t="str">
        <f aca="false">IF(BR29=0,"",IF(SQRT(101.3/CQ29)&lt;=1.7,SQRT(101.3/CQ29),2.2/(1.2+(CQ29/101.3))))</f>
        <v/>
      </c>
      <c r="CU29" s="244" t="str">
        <f aca="false">IF(BR29=0,"",1.7/(0.7+CR29))</f>
        <v/>
      </c>
      <c r="CV29" s="244" t="str">
        <f aca="false">IF(BR29=0,"",IF(CR29&gt;=0.25,0.77*LOG(20/CR29),""))</f>
        <v/>
      </c>
      <c r="CW29" s="244" t="str">
        <f aca="false">IF(BR29=0,"",32.5/(10.2+20.3*CR29))</f>
        <v/>
      </c>
      <c r="CX29" s="244" t="str">
        <f aca="false">IF(BR29=0,"",1-1.25*LOG(CR29))</f>
        <v/>
      </c>
      <c r="CY29" s="244" t="str">
        <f aca="false">IF(BR29=0,"",IF(CR29&lt;1,1-1.41*LOG(CR29),1+0.92*LOG(CR29)))</f>
        <v/>
      </c>
      <c r="CZ29" s="244" t="str">
        <f aca="false">IF(BR29=0,"",2/(1+CR29))</f>
        <v/>
      </c>
      <c r="DA29" s="244" t="str">
        <f aca="false">IF(BR29=0,"",IF(CR29&lt;=0.75,4/(1+4*CR29),4/(3.25+CR29)))</f>
        <v/>
      </c>
      <c r="DB29" s="244" t="str">
        <f aca="false">IF(BR29=0,"",CT29)</f>
        <v/>
      </c>
      <c r="DC29" s="244" t="str">
        <f aca="false">IF(BR29=0,"",DB29*CC29)</f>
        <v/>
      </c>
      <c r="DD29" s="244"/>
      <c r="DE29" s="244" t="str">
        <f aca="false">IF(BR29=0,"",0.193*(CC29/(CQ29*0.001))^0.689)</f>
        <v/>
      </c>
      <c r="DF29" s="244" t="str">
        <f aca="false">IF(BR29=0,"",IF(AS29=$AX$4,(0.1348118*CC29 - 0.0383065)*98.0665,""))</f>
        <v/>
      </c>
      <c r="DG29" s="244" t="str">
        <f aca="false">IF(BR29=0,"",IF(AS29=$AX$4,DF29/2,""))</f>
        <v/>
      </c>
      <c r="DH29" s="244" t="str">
        <f aca="false">IF(BR29=0,"",IF(DC29&lt;=15,12*(DC29+6),40+12*(DC29-6)))</f>
        <v/>
      </c>
      <c r="DI29" s="244" t="str">
        <f aca="false">IF(BR29=0,"",IF(CD29="SI",5*(DC29+15),((3.3*(DC29+15))+(4*(DC29+12)))/2))</f>
        <v/>
      </c>
      <c r="DJ29" s="244" t="str">
        <f aca="false">IF(BR29=0,"",8*DC29)</f>
        <v/>
      </c>
      <c r="DK29" s="244" t="str">
        <f aca="false">IF(BR29=0,"",215+(10.6*DC29))</f>
        <v/>
      </c>
      <c r="DL29" s="244" t="str">
        <f aca="false">IF(BR29=0,"",10*(7.5+(0.5*DC29)))</f>
        <v/>
      </c>
      <c r="DM29" s="244" t="str">
        <f aca="false">IF(BR29=0,"",8*DC29)</f>
        <v/>
      </c>
      <c r="DN29" s="244" t="str">
        <f aca="false">IF(AW29=" "," ",IF(DC29=""," ",IF(DC29&lt;4,10*10.2,IF(DC29=4,12*10.2,IF(DC29&lt;10,17.5*10.5,IF(DC29=10,15*10.2,IF(DC29&lt;30,22.5*10.2,IF(DC29=30,35*10.2,IF(DC29&lt;50,40*10.2,IF(DC29=50,50*10.2,55*10.2))))))))))</f>
        <v> </v>
      </c>
      <c r="DO29" s="244" t="str">
        <f aca="false">IF(BR29=0,"",7*SQRT(DC29)*10.1972)</f>
        <v/>
      </c>
      <c r="DP29" s="244" t="str">
        <f aca="false">IF(BR29=0,"",IF(AS29=$AX$4,5*CC29,""))</f>
        <v/>
      </c>
      <c r="DQ29" s="244" t="str">
        <f aca="false">IF(AW29=" "," ",IF(DC29=""," ",IF(DC29&lt;2,4*10.2,IF(DC29=2,6*10.2,IF(DC29&lt;4,12*10.2,IF(DC29=4,20*10.2,IF(DC29&lt;8,30*10.2,IF(DC29=8,35*10.2,IF(DC29&lt;15,40*10.2,IF(DC29=15,42*10.2,IF(DC29&lt;30,45*10.2,IF(DC29=30,50*10.2,70*10.2))))))))))))</f>
        <v> </v>
      </c>
      <c r="DR29" s="244" t="str">
        <f aca="false">IF(BR29=0,"",IF(AS29=$AX$4,220*DP29*0.0101972,""))</f>
        <v/>
      </c>
      <c r="DS29" s="271" t="str">
        <f aca="false">IF(BR29=0,"",IF(AS29=$AX$7,(SUM(DH29:DO29)-MIN(DH29:DO29)-MAX(DH29:DO29))/6,(SUM(DO29:DR29)-MIN(DO29:DR29)-MAX(DO29:DR29))/2))</f>
        <v/>
      </c>
      <c r="DT29" s="244" t="str">
        <f aca="false">IF(AW29=" "," ",IF(DC29=""," ",IF(DC29&lt;4,0.2,IF(DC29=4,0.27,IF(DC29&lt;10,0.33,IF(DC29=10,0.35,IF(DC29&lt;30,0.36,IF(DC29=30,0.37,IF(DC29&lt;50,0.38,IF(DC29=50,0.4,0.45))))))))))</f>
        <v> </v>
      </c>
      <c r="DU29" s="272" t="str">
        <f aca="false">IF(AW29=" "," ",IF(CC29=""," ",IF(CC29&lt;2,0.2,IF(CC29=2,0.23,IF(CC29&lt;4,0.26,IF(CC29=4,0.29,IF(CC29&lt;8,0.32,IF(CC29=8,0.35,IF(CC29&lt;15,0.38,IF(CC29=15,0.41,IF(CC29&lt;30,0.44,IF(CC29=30,0.47,0.5))))))))))))</f>
        <v> </v>
      </c>
      <c r="DV29" s="244" t="str">
        <f aca="false">IF(BR29=0,"",IF(AS29=$AX$3,DT29,DU29))</f>
        <v/>
      </c>
      <c r="DW29" s="244" t="str">
        <f aca="false">IF(BR29=0,"",IF(DC29&gt;15,15+0.5*(DC29-15),DC29))</f>
        <v/>
      </c>
      <c r="DX29" s="244" t="str">
        <f aca="false">IF(BR29=0,"",IF($S$12="SI",IF(CD29="NO",IF($AD$12&gt;(BO29+1.5*$ED$15),1,0.5),0.5),1))</f>
        <v/>
      </c>
      <c r="DY29" s="244" t="str">
        <f aca="false">IF(BR29=0,"",IF($S$12="SI",IF(CD29="NO",IF($AD$12&gt;(BO29+1.5*$EE$15),1,0.5),0.5),1))</f>
        <v/>
      </c>
      <c r="DZ29" s="244" t="str">
        <f aca="false">IF(BR29=0,"",IF($S$12="SI",IF(CD29="NO",IF($AD$12&gt;(BO29+1.5*$EF$15),1,0.5),0.5),1))</f>
        <v/>
      </c>
      <c r="EA29" s="244" t="str">
        <f aca="false">IF(BR29=0,"",IF($S$12="SI",IF(CD29="NO",IF($AD$12&gt;(BO29+1.5*$ED$15),1,0.5),IF($AD$12=BO29,1,0.5)),1))</f>
        <v/>
      </c>
      <c r="EB29" s="244" t="str">
        <f aca="false">IF(BR29=0,"",IF($S$12="SI",IF(CD29="NO",IF($AD$12&gt;(BO29+1.5*$EE$15),1,0.5),IF($AD$12=BO29,1,0.5)),1))</f>
        <v/>
      </c>
      <c r="EC29" s="244" t="str">
        <f aca="false">IF(BR29=0,"",IF($S$12="SI",IF(CD29="NO",IF($AD$12&gt;(BO29+1.5*$EF$15),1,0.5),IF($AD$12=BO29,1,0.5)),1))</f>
        <v/>
      </c>
      <c r="ED29" s="244" t="str">
        <f aca="false">IF(BR29=0,"",(DW29*($ED$15/10)*(DX29+EA29*(BO29/$ED$15))*1)/3)</f>
        <v/>
      </c>
      <c r="EE29" s="244" t="str">
        <f aca="false">IF(BR29=0,"",(DW29*($EE$15/10)*(DY29+EB29*(BO29/$EE$15))*1)/3)</f>
        <v/>
      </c>
      <c r="EF29" s="244" t="str">
        <f aca="false">IF(BR29=0,"",(DW29*($EF$15/10)*(DZ29+EC29*(BO29/$EF$15))*1)/3)</f>
        <v/>
      </c>
      <c r="EG29" s="273" t="str">
        <f aca="false">IF(BR29=0,"",IF(CD29="SI",0.5,1))</f>
        <v/>
      </c>
      <c r="EH29" s="244" t="str">
        <f aca="false">IF(BR29=0,"",IF((1+0.33*(BO29/$ED$15))&lt;=1.33,(1+0.33*(BO29/$ED$15)),1.33))</f>
        <v/>
      </c>
      <c r="EI29" s="244" t="str">
        <f aca="false">IF(BR29=0,"",IF((1+0.33*(BO29/$EE$15))&lt;=1.33,(1+0.33*(BO29/$EE$15)),1.33))</f>
        <v/>
      </c>
      <c r="EJ29" s="244" t="str">
        <f aca="false">IF(BR29=0,"",IF((1+0.33*(BO29/$EF$15))&lt;=1.33,(1+0.33*(BO29/$EF$15)),1.33))</f>
        <v/>
      </c>
      <c r="EK29" s="244" t="str">
        <f aca="false">IF(BR29=0,"",IF($ED$15&lt;=1.2,((20*DC29*EG29*EH29)/3)*0.010197,((12.5*DC29*((($ED$15+0.3)^2)/$ED$15)*EG29*EH29)/3)*0.010197))</f>
        <v/>
      </c>
      <c r="EL29" s="244" t="str">
        <f aca="false">IF(BR29=0,"",IF($EE$15&lt;=1.2,((20*DC29*EG29*EI29)/3)*0.010197,((12.5*DC29*((($EE$15+0.3)^2)/$EE$15)*EG29*EI29)/3)*0.010197))</f>
        <v/>
      </c>
      <c r="EM29" s="244" t="str">
        <f aca="false">IF(BR29=0,"",IF($EF$15&lt;=1.2,((20*DC29*EG29*EJ29)/3)*0.010197,((12.5*DC29*((($EF$15+0.3)^2)/$EF$15)*EG29*EJ29)/3)*0.010197))</f>
        <v/>
      </c>
      <c r="EN29" s="248" t="str">
        <f aca="false">IF(BR29=0,"",SQRT(12*BR29)+25)</f>
        <v/>
      </c>
      <c r="EO29" s="248" t="str">
        <f aca="false">IF(BR29=0,"",28.5+0.25*BR29)</f>
        <v/>
      </c>
      <c r="EP29" s="248" t="str">
        <f aca="false">IF(BR29=0,"",SQRT(20*BR29)+15)</f>
        <v/>
      </c>
      <c r="EQ29" s="248" t="str">
        <f aca="false">IF(BR29=0,"",23.7+0.57*BR29-0.0006*BR29*BR29)</f>
        <v/>
      </c>
      <c r="ER29" s="248" t="str">
        <f aca="false">IF(BR29=0,"",15+SQRT(20*BR29))</f>
        <v/>
      </c>
      <c r="ES29" s="248" t="str">
        <f aca="false">IF(BR29=0,"",3.5*SQRT(BR29)+20)</f>
        <v/>
      </c>
      <c r="ET29" s="248" t="str">
        <f aca="false">IF(BR29=0,"",27.1+0.3*BR29-0.00054*BR29*BR29)</f>
        <v/>
      </c>
      <c r="EU29" s="248" t="str">
        <f aca="false">IF(BR29=0,"",SQRT(20*BR29)+20)</f>
        <v/>
      </c>
      <c r="EV29" s="248" t="str">
        <f aca="false">IF(BR29=0,"",12.79+SQRT(25.86*BR29))</f>
        <v/>
      </c>
      <c r="EW29" s="248" t="str">
        <f aca="false">IF(BR29=0,"",_xlfn.ACOT((CC29/(12.2+20.3*CR29))^0.34))</f>
        <v/>
      </c>
      <c r="EX29" s="248" t="str">
        <f aca="false">IF(BR29=0,"",24+(5.77*LN(0.17*BR29)))</f>
        <v/>
      </c>
      <c r="EY29" s="248" t="str">
        <f aca="false">IF(BR29=0,"",(SUM(EN29:EX29)-MIN(EN29:EX29)-MAX(EN29:EX29))/9)</f>
        <v/>
      </c>
      <c r="EZ29" s="248" t="str">
        <f aca="false">IF(BR29=0,"", -0.0000000034*BR29^6 + 0.0000008305*BR29^5 - 0.0000741842*BR29^4 + 0.0030204278*BR29^3 - 0.0541594733*BR29^2 + 0.8083147848*BR29 - 0.6182191243)</f>
        <v/>
      </c>
      <c r="FA29" s="249" t="str">
        <f aca="false">IF(BR29=0,"",(0.134811827956989*BR29 - 0.0383064516129019)/2)</f>
        <v/>
      </c>
      <c r="FB29" s="249" t="str">
        <f aca="false">IF(BR29=0,"",BR29*0.065)</f>
        <v/>
      </c>
      <c r="FC29" s="249" t="str">
        <f aca="false">IF(BR29=0,"",(BR29*0.12*0.48)*SQRT((1+SIN(EZ29*((2*PI())/360))/(1-SIN(EZ29*((2*PI())/360))))))</f>
        <v/>
      </c>
      <c r="FD29" s="249" t="str">
        <f aca="false">IF(BR29=0,"",(BR29/8)/2)</f>
        <v/>
      </c>
      <c r="FE29" s="249" t="str">
        <f aca="false">IF(BR29=0,"",(SUM(FA29:FD29)-MIN(FA29:FD29)-MAX(FA29:FD29))/2)</f>
        <v/>
      </c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</row>
    <row r="30" customFormat="false" ht="9.75" hidden="false" customHeight="true" outlineLevel="0" collapsed="false">
      <c r="A30" s="197" t="n">
        <f aca="false">ROUND(A29+0.1,1)</f>
        <v>1.3</v>
      </c>
      <c r="B30" s="250"/>
      <c r="C30" s="251"/>
      <c r="D30" s="251"/>
      <c r="E30" s="199"/>
      <c r="F30" s="200"/>
      <c r="G30" s="254"/>
      <c r="H30" s="284"/>
      <c r="I30" s="285"/>
      <c r="J30" s="257"/>
      <c r="K30" s="258"/>
      <c r="L30" s="259"/>
      <c r="M30" s="276"/>
      <c r="N30" s="277"/>
      <c r="O30" s="277"/>
      <c r="P30" s="277"/>
      <c r="Q30" s="260"/>
      <c r="R30" s="278"/>
      <c r="S30" s="278"/>
      <c r="T30" s="261"/>
      <c r="U30" s="261"/>
      <c r="V30" s="262"/>
      <c r="W30" s="262"/>
      <c r="X30" s="262"/>
      <c r="Y30" s="262"/>
      <c r="Z30" s="262"/>
      <c r="AA30" s="262"/>
      <c r="AB30" s="263"/>
      <c r="AC30" s="264"/>
      <c r="AD30" s="265"/>
      <c r="AE30" s="264"/>
      <c r="AF30" s="266"/>
      <c r="AG30" s="267"/>
      <c r="AH30" s="267"/>
      <c r="AI30" s="241"/>
      <c r="AJ30" s="241"/>
      <c r="AK30" s="266"/>
      <c r="AL30" s="266"/>
      <c r="AM30" s="268"/>
      <c r="AN30" s="250"/>
      <c r="AO30" s="251"/>
      <c r="AP30" s="251"/>
      <c r="AQ30" s="199"/>
      <c r="AR30" s="200"/>
      <c r="AS30" s="269" t="s">
        <v>13</v>
      </c>
      <c r="AT30" s="221"/>
      <c r="AU30" s="269"/>
      <c r="AV30" s="269"/>
      <c r="AW30" s="270" t="n">
        <f aca="false">+K30+L30</f>
        <v>0</v>
      </c>
      <c r="AX30" s="270" t="str">
        <f aca="false">IF(AS30="&gt;50","CONSISTENCIA",IF(AS30="&lt;50","COMPACIDAD"," "))</f>
        <v>COMPACIDAD</v>
      </c>
      <c r="AY30" s="225" t="str">
        <f aca="false">IF(AS30="&gt;50",AZ30,IF(AS30="&lt;50",BA30," "))</f>
        <v> </v>
      </c>
      <c r="AZ30" s="224" t="str">
        <f aca="false">IF(AW30=" "," ",IF(CC30=""," ",IF(CC30&lt;2,"MUY BLANDA",IF(CC30=2,"MUY BLANDA A BLANDA",IF(CC30&lt;4,"BLANDA",IF(CC30=4,"BLANDA A MEDIA",IF(CC30&lt;8,"MEDIA",IF(CC30=8,"MEDIA A FIRME",IF(CC30&lt;15,"FIRME",IF(CC30=15,"FIRME A MUY FIRME",IF(CC30&lt;30,"MUY FIRME",IF(CC30=30,"MUY FIRME A DURA","DURA"))))))))))))</f>
        <v> </v>
      </c>
      <c r="BA30" s="225" t="str">
        <f aca="false">IF(AW30=" "," ",IF(DC30=""," ",IF(DC30&lt;4,"MUY SUELTA",IF(DC30=4,"MUY SUELTA A SUELTA",IF(DC30&lt;10,"SUELTA",IF(DC30=10,"SUELTA A MEDIA",IF(DC30&lt;30,"MEDIA",IF(DC30=30,"MEDIA A DENSO",IF(DC30&lt;50,"DENSO",IF(DC30=50,"DENSO MUY DENSO","MUY DENSO"))))))))))</f>
        <v> </v>
      </c>
      <c r="BB30" s="226" t="str">
        <f aca="false">IF(BR31=0,"",CQ31*0.0101972)</f>
        <v/>
      </c>
      <c r="BC30" s="227" t="n">
        <f aca="false">+BC29+0.1</f>
        <v>1.3</v>
      </c>
      <c r="BD30" s="227" t="str">
        <f aca="false">IF(BC30&lt;=$AN$10,BC30,"")</f>
        <v/>
      </c>
      <c r="BE30" s="228" t="n">
        <f aca="false">ISNUMBER(BD30)</f>
        <v>0</v>
      </c>
      <c r="BF30" s="229" t="str">
        <f aca="false">MID(M30,1,1)</f>
        <v/>
      </c>
      <c r="BG30" s="230" t="str">
        <f aca="false">IF(BF30="S","",IF(BF30="G","",MID(M30,2,1)))</f>
        <v/>
      </c>
      <c r="BH30" s="231" t="str">
        <f aca="false">CONCATENATE(BF30,BG30)</f>
        <v/>
      </c>
      <c r="BI30" s="6" t="str">
        <f aca="false">IF(BE30=FALSE(),"",IF(BH30="",BI29,BH30))</f>
        <v/>
      </c>
      <c r="BJ30" s="74" t="str">
        <f aca="false">IF(OR(BI30="S",BI30="G"),BI30,"X")</f>
        <v>X</v>
      </c>
      <c r="BK30" s="74" t="s">
        <v>190</v>
      </c>
      <c r="BL30" s="286" t="e">
        <f aca="false">INDEX(sim_0,MATCH($BJ$30,granular,0))</f>
        <v>#NAME?</v>
      </c>
      <c r="BM30" s="286"/>
      <c r="BN30" s="6"/>
      <c r="BO30" s="191" t="n">
        <f aca="false">BO29+0.1</f>
        <v>1.3</v>
      </c>
      <c r="BP30" s="233" t="e">
        <f aca="false">IF(AW30=0,NA(),IF(AS30=$AX$3,ROUND(DC30,0),NA()))</f>
        <v>#N/A</v>
      </c>
      <c r="BQ30" s="31" t="e">
        <f aca="false">IF(AW30=0,NA(),IF(AS30=$AX$4,ROUND(CC30,0),NA()))</f>
        <v>#N/A</v>
      </c>
      <c r="BR30" s="234" t="n">
        <f aca="false">+AW30</f>
        <v>0</v>
      </c>
      <c r="BS30" s="235" t="str">
        <f aca="false">IF(BR30=0,"", -0.00000000016128755327*CC30^6 + 0.00000006709386362421*CC30^5 - 0.0000106217678052217*CC30^4 + 0.00081068114193385*CC30^3 - 0.0314027378159951*CC30^2 + 0.649796593937842*CC30 + 13.7888866455022)</f>
        <v/>
      </c>
      <c r="BT30" s="235" t="str">
        <f aca="false">IF(BR30=0,"",-0.00000000014625939695*CC30^6 + 0.00000004971732060241*CC30^5 - 0.000006683744342031*CC30^4 + 0.0004563177378098*CC30^3 - 0.0171727530635803*CC30^2 + 0.444529932876435*CC30 + 15.6692518940565)</f>
        <v/>
      </c>
      <c r="BU30" s="236" t="str">
        <f aca="false">IF(BR30=0,"", -0.0000000008152265738*BR30^6 + 0.00000022764320256987*BR30^5 - 0.0000248205675927705*BR30^4 + 0.00133186623684865*BR30^3 - 0.0368442570441677*BR30^2 + 0.580111565569094*BR30 + 14.0417598296107)</f>
        <v/>
      </c>
      <c r="BV30" s="236" t="str">
        <f aca="false">IF(BR30=0,"", -0.00000000004321395721*BR30^6 + 0.00000002531844275498*BR30^5 - 0.00000369428022780862*BR30^4 + 0.00020283665900125*BR30^3 - 0.00462426256803268*BR30^2 + 0.139572935065453*BR30 + 15.4475338156923)</f>
        <v/>
      </c>
      <c r="BW30" s="236" t="str">
        <f aca="false">IF(BR30=0,"",-0.00000000033126390082*BR30^6 + 0.00000010463660614506*BR30^5 - 0.0000129629592998707*BR30^4 + 0.000803946335250767*BR30^3 - 0.0270257140395994*BR30^2 + 0.562590210721552*BR30+ 12.1254107606419)</f>
        <v/>
      </c>
      <c r="BX30" s="236" t="str">
        <f aca="false">IF(BR30=0,"",-0.00000000002593504955*BR30^6 + 0.00000002430495156704*BR30^5 - 0.00000386103271086364*BR30^4 + 0.000214416118986322*BR30^3 - 0.0047271462612021*BR30^2 + 0.156696175741135*BR30 + 15.4598891949502)</f>
        <v/>
      </c>
      <c r="BY30" s="234" t="str">
        <f aca="false">IF(BR30=0,"",$BS$2)</f>
        <v/>
      </c>
      <c r="BZ30" s="234" t="str">
        <f aca="false">IF(BR30=0,"",$BS$3)</f>
        <v/>
      </c>
      <c r="CA30" s="234" t="str">
        <f aca="false">IF(BR30=0,"",$BS$4)</f>
        <v/>
      </c>
      <c r="CB30" s="235" t="str">
        <f aca="false">IF(BR30=0,"",IF(AND(BO30&gt;=0,BO30&lt;4),0.75,IF(AND(BO30&gt;=4,BO30&lt;6),0.85,IF(AND(BO30&gt;=6,BO30&lt;=10),0.95,1))))</f>
        <v/>
      </c>
      <c r="CC30" s="234" t="str">
        <f aca="false">IF(BR30=0,"",BR30*BY30*BZ30*CA30*CB30/60)</f>
        <v/>
      </c>
      <c r="CD30" s="238" t="str">
        <f aca="false">IF(BR30=0,"",IF($S$12="NO","NO",IF($AD$12&lt;=BO30,"SI","NO")))</f>
        <v/>
      </c>
      <c r="CE30" s="235" t="n">
        <f aca="false">IF(BR30=0,0,AB30)</f>
        <v>0</v>
      </c>
      <c r="CF30" s="235" t="n">
        <f aca="false">IF(CE30&gt;0,BO30,0)</f>
        <v>0</v>
      </c>
      <c r="CG30" s="239" t="n">
        <f aca="false">IF(CF30=0,CF30+CG29,CF30)</f>
        <v>0</v>
      </c>
      <c r="CH30" s="239" t="n">
        <f aca="false">IF(CG30=CG29,CH29,ABS(CG30-CG29))</f>
        <v>0</v>
      </c>
      <c r="CI30" s="239" t="n">
        <f aca="false">+CE30*CH30</f>
        <v>0</v>
      </c>
      <c r="CJ30" s="239" t="n">
        <f aca="false">IF(CI30=0,CI30+CJ29,CI30)</f>
        <v>0</v>
      </c>
      <c r="CK30" s="239" t="n">
        <f aca="false">IF(CJ30=CJ29,CK29,ABS(CJ30+CK29))</f>
        <v>0</v>
      </c>
      <c r="CL30" s="241" t="n">
        <f aca="false">IF(CE30=0,0,CK30)</f>
        <v>0</v>
      </c>
      <c r="CM30" s="239" t="n">
        <f aca="false">IF(CE30=0,0,CH30*9.81)</f>
        <v>0</v>
      </c>
      <c r="CN30" s="239" t="n">
        <f aca="false">IF(CM30=0,CM30+CN29,CM30)</f>
        <v>0</v>
      </c>
      <c r="CO30" s="239" t="n">
        <f aca="false">IF(CN30=CN29,CO29,ABS(CN30+CO29))</f>
        <v>0</v>
      </c>
      <c r="CP30" s="241" t="n">
        <f aca="false">IF(CD30="NO",0,IF(CE30=0,0,CO30))</f>
        <v>0</v>
      </c>
      <c r="CQ30" s="244" t="str">
        <f aca="false">IF(BR30=0,"",CL30-CP30)</f>
        <v/>
      </c>
      <c r="CR30" s="244" t="str">
        <f aca="false">IF(BR30=0,"",CQ30/101.3)</f>
        <v/>
      </c>
      <c r="CS30" s="244" t="str">
        <f aca="false">IF(BR30=0,"",LOG(10/CR30))</f>
        <v/>
      </c>
      <c r="CT30" s="243" t="str">
        <f aca="false">IF(BR30=0,"",IF(SQRT(101.3/CQ30)&lt;=1.7,SQRT(101.3/CQ30),2.2/(1.2+(CQ30/101.3))))</f>
        <v/>
      </c>
      <c r="CU30" s="244" t="str">
        <f aca="false">IF(BR30=0,"",1.7/(0.7+CR30))</f>
        <v/>
      </c>
      <c r="CV30" s="244" t="str">
        <f aca="false">IF(BR30=0,"",IF(CR30&gt;=0.25,0.77*LOG(20/CR30),""))</f>
        <v/>
      </c>
      <c r="CW30" s="244" t="str">
        <f aca="false">IF(BR30=0,"",32.5/(10.2+20.3*CR30))</f>
        <v/>
      </c>
      <c r="CX30" s="244" t="str">
        <f aca="false">IF(BR30=0,"",1-1.25*LOG(CR30))</f>
        <v/>
      </c>
      <c r="CY30" s="244" t="str">
        <f aca="false">IF(BR30=0,"",IF(CR30&lt;1,1-1.41*LOG(CR30),1+0.92*LOG(CR30)))</f>
        <v/>
      </c>
      <c r="CZ30" s="244" t="str">
        <f aca="false">IF(BR30=0,"",2/(1+CR30))</f>
        <v/>
      </c>
      <c r="DA30" s="244" t="str">
        <f aca="false">IF(BR30=0,"",IF(CR30&lt;=0.75,4/(1+4*CR30),4/(3.25+CR30)))</f>
        <v/>
      </c>
      <c r="DB30" s="244" t="str">
        <f aca="false">IF(BR30=0,"",CT30)</f>
        <v/>
      </c>
      <c r="DC30" s="244" t="str">
        <f aca="false">IF(BR30=0,"",DB30*CC30)</f>
        <v/>
      </c>
      <c r="DD30" s="244"/>
      <c r="DE30" s="244" t="str">
        <f aca="false">IF(BR30=0,"",0.193*(CC30/(CQ30*0.001))^0.689)</f>
        <v/>
      </c>
      <c r="DF30" s="244" t="str">
        <f aca="false">IF(BR30=0,"",IF(AS30=$AX$4,(0.1348118*CC30 - 0.0383065)*98.0665,""))</f>
        <v/>
      </c>
      <c r="DG30" s="244" t="str">
        <f aca="false">IF(BR30=0,"",IF(AS30=$AX$4,DF30/2,""))</f>
        <v/>
      </c>
      <c r="DH30" s="244" t="str">
        <f aca="false">IF(BR30=0,"",IF(DC30&lt;=15,12*(DC30+6),40+12*(DC30-6)))</f>
        <v/>
      </c>
      <c r="DI30" s="244" t="str">
        <f aca="false">IF(BR30=0,"",IF(CD30="SI",5*(DC30+15),((3.3*(DC30+15))+(4*(DC30+12)))/2))</f>
        <v/>
      </c>
      <c r="DJ30" s="244" t="str">
        <f aca="false">IF(BR30=0,"",8*DC30)</f>
        <v/>
      </c>
      <c r="DK30" s="244" t="str">
        <f aca="false">IF(BR30=0,"",215+(10.6*DC30))</f>
        <v/>
      </c>
      <c r="DL30" s="244" t="str">
        <f aca="false">IF(BR30=0,"",10*(7.5+(0.5*DC30)))</f>
        <v/>
      </c>
      <c r="DM30" s="244" t="str">
        <f aca="false">IF(BR30=0,"",8*DC30)</f>
        <v/>
      </c>
      <c r="DN30" s="244" t="str">
        <f aca="false">IF(AW30=" "," ",IF(DC30=""," ",IF(DC30&lt;4,10*10.2,IF(DC30=4,12*10.2,IF(DC30&lt;10,17.5*10.5,IF(DC30=10,15*10.2,IF(DC30&lt;30,22.5*10.2,IF(DC30=30,35*10.2,IF(DC30&lt;50,40*10.2,IF(DC30=50,50*10.2,55*10.2))))))))))</f>
        <v> </v>
      </c>
      <c r="DO30" s="244" t="str">
        <f aca="false">IF(BR30=0,"",7*SQRT(DC30)*10.1972)</f>
        <v/>
      </c>
      <c r="DP30" s="244" t="str">
        <f aca="false">IF(BR30=0,"",IF(AS30=$AX$4,5*CC30,""))</f>
        <v/>
      </c>
      <c r="DQ30" s="244" t="str">
        <f aca="false">IF(AW30=" "," ",IF(DC30=""," ",IF(DC30&lt;2,4*10.2,IF(DC30=2,6*10.2,IF(DC30&lt;4,12*10.2,IF(DC30=4,20*10.2,IF(DC30&lt;8,30*10.2,IF(DC30=8,35*10.2,IF(DC30&lt;15,40*10.2,IF(DC30=15,42*10.2,IF(DC30&lt;30,45*10.2,IF(DC30=30,50*10.2,70*10.2))))))))))))</f>
        <v> </v>
      </c>
      <c r="DR30" s="244" t="str">
        <f aca="false">IF(BR30=0,"",IF(AS30=$AX$4,220*DP30*0.0101972,""))</f>
        <v/>
      </c>
      <c r="DS30" s="271" t="str">
        <f aca="false">IF(BR30=0,"",IF(AS30=$AX$7,(SUM(DH30:DO30)-MIN(DH30:DO30)-MAX(DH30:DO30))/6,(SUM(DO30:DR30)-MIN(DO30:DR30)-MAX(DO30:DR30))/2))</f>
        <v/>
      </c>
      <c r="DT30" s="244" t="str">
        <f aca="false">IF(AW30=" "," ",IF(DC30=""," ",IF(DC30&lt;4,0.2,IF(DC30=4,0.27,IF(DC30&lt;10,0.33,IF(DC30=10,0.35,IF(DC30&lt;30,0.36,IF(DC30=30,0.37,IF(DC30&lt;50,0.38,IF(DC30=50,0.4,0.45))))))))))</f>
        <v> </v>
      </c>
      <c r="DU30" s="272" t="str">
        <f aca="false">IF(AW30=" "," ",IF(CC30=""," ",IF(CC30&lt;2,0.2,IF(CC30=2,0.23,IF(CC30&lt;4,0.26,IF(CC30=4,0.29,IF(CC30&lt;8,0.32,IF(CC30=8,0.35,IF(CC30&lt;15,0.38,IF(CC30=15,0.41,IF(CC30&lt;30,0.44,IF(CC30=30,0.47,0.5))))))))))))</f>
        <v> </v>
      </c>
      <c r="DV30" s="244" t="str">
        <f aca="false">IF(BR30=0,"",IF(AS30=$AX$3,DT30,DU30))</f>
        <v/>
      </c>
      <c r="DW30" s="244" t="str">
        <f aca="false">IF(BR30=0,"",IF(DC30&gt;15,15+0.5*(DC30-15),DC30))</f>
        <v/>
      </c>
      <c r="DX30" s="244" t="str">
        <f aca="false">IF(BR30=0,"",IF($S$12="SI",IF(CD30="NO",IF($AD$12&gt;(BO30+1.5*$ED$15),1,0.5),0.5),1))</f>
        <v/>
      </c>
      <c r="DY30" s="244" t="str">
        <f aca="false">IF(BR30=0,"",IF($S$12="SI",IF(CD30="NO",IF($AD$12&gt;(BO30+1.5*$EE$15),1,0.5),0.5),1))</f>
        <v/>
      </c>
      <c r="DZ30" s="244" t="str">
        <f aca="false">IF(BR30=0,"",IF($S$12="SI",IF(CD30="NO",IF($AD$12&gt;(BO30+1.5*$EF$15),1,0.5),0.5),1))</f>
        <v/>
      </c>
      <c r="EA30" s="244" t="str">
        <f aca="false">IF(BR30=0,"",IF($S$12="SI",IF(CD30="NO",IF($AD$12&gt;(BO30+1.5*$ED$15),1,0.5),IF($AD$12=BO30,1,0.5)),1))</f>
        <v/>
      </c>
      <c r="EB30" s="244" t="str">
        <f aca="false">IF(BR30=0,"",IF($S$12="SI",IF(CD30="NO",IF($AD$12&gt;(BO30+1.5*$EE$15),1,0.5),IF($AD$12=BO30,1,0.5)),1))</f>
        <v/>
      </c>
      <c r="EC30" s="244" t="str">
        <f aca="false">IF(BR30=0,"",IF($S$12="SI",IF(CD30="NO",IF($AD$12&gt;(BO30+1.5*$EF$15),1,0.5),IF($AD$12=BO30,1,0.5)),1))</f>
        <v/>
      </c>
      <c r="ED30" s="244" t="str">
        <f aca="false">IF(BR30=0,"",(DW30*($ED$15/10)*(DX30+EA30*(BO30/$ED$15))*1)/3)</f>
        <v/>
      </c>
      <c r="EE30" s="244" t="str">
        <f aca="false">IF(BR30=0,"",(DW30*($EE$15/10)*(DY30+EB30*(BO30/$EE$15))*1)/3)</f>
        <v/>
      </c>
      <c r="EF30" s="244" t="str">
        <f aca="false">IF(BR30=0,"",(DW30*($EF$15/10)*(DZ30+EC30*(BO30/$EF$15))*1)/3)</f>
        <v/>
      </c>
      <c r="EG30" s="273" t="str">
        <f aca="false">IF(BR30=0,"",IF(CD30="SI",0.5,1))</f>
        <v/>
      </c>
      <c r="EH30" s="244" t="str">
        <f aca="false">IF(BR30=0,"",IF((1+0.33*(BO30/$ED$15))&lt;=1.33,(1+0.33*(BO30/$ED$15)),1.33))</f>
        <v/>
      </c>
      <c r="EI30" s="244" t="str">
        <f aca="false">IF(BR30=0,"",IF((1+0.33*(BO30/$EE$15))&lt;=1.33,(1+0.33*(BO30/$EE$15)),1.33))</f>
        <v/>
      </c>
      <c r="EJ30" s="244" t="str">
        <f aca="false">IF(BR30=0,"",IF((1+0.33*(BO30/$EF$15))&lt;=1.33,(1+0.33*(BO30/$EF$15)),1.33))</f>
        <v/>
      </c>
      <c r="EK30" s="244" t="str">
        <f aca="false">IF(BR30=0,"",IF($ED$15&lt;=1.2,((20*DC30*EG30*EH30)/3)*0.010197,((12.5*DC30*((($ED$15+0.3)^2)/$ED$15)*EG30*EH30)/3)*0.010197))</f>
        <v/>
      </c>
      <c r="EL30" s="244" t="str">
        <f aca="false">IF(BR30=0,"",IF($EE$15&lt;=1.2,((20*DC30*EG30*EI30)/3)*0.010197,((12.5*DC30*((($EE$15+0.3)^2)/$EE$15)*EG30*EI30)/3)*0.010197))</f>
        <v/>
      </c>
      <c r="EM30" s="244" t="str">
        <f aca="false">IF(BR30=0,"",IF($EF$15&lt;=1.2,((20*DC30*EG30*EJ30)/3)*0.010197,((12.5*DC30*((($EF$15+0.3)^2)/$EF$15)*EG30*EJ30)/3)*0.010197))</f>
        <v/>
      </c>
      <c r="EN30" s="248" t="str">
        <f aca="false">IF(BR30=0,"",SQRT(12*BR30)+25)</f>
        <v/>
      </c>
      <c r="EO30" s="248" t="str">
        <f aca="false">IF(BR30=0,"",28.5+0.25*BR30)</f>
        <v/>
      </c>
      <c r="EP30" s="248" t="str">
        <f aca="false">IF(BR30=0,"",SQRT(20*BR30)+15)</f>
        <v/>
      </c>
      <c r="EQ30" s="248" t="str">
        <f aca="false">IF(BR30=0,"",23.7+0.57*BR30-0.0006*BR30*BR30)</f>
        <v/>
      </c>
      <c r="ER30" s="248" t="str">
        <f aca="false">IF(BR30=0,"",15+SQRT(20*BR30))</f>
        <v/>
      </c>
      <c r="ES30" s="248" t="str">
        <f aca="false">IF(BR30=0,"",3.5*SQRT(BR30)+20)</f>
        <v/>
      </c>
      <c r="ET30" s="248" t="str">
        <f aca="false">IF(BR30=0,"",27.1+0.3*BR30-0.00054*BR30*BR30)</f>
        <v/>
      </c>
      <c r="EU30" s="248" t="str">
        <f aca="false">IF(BR30=0,"",SQRT(20*BR30)+20)</f>
        <v/>
      </c>
      <c r="EV30" s="248" t="str">
        <f aca="false">IF(BR30=0,"",12.79+SQRT(25.86*BR30))</f>
        <v/>
      </c>
      <c r="EW30" s="248" t="str">
        <f aca="false">IF(BR30=0,"",_xlfn.ACOT((CC30/(12.2+20.3*CR30))^0.34))</f>
        <v/>
      </c>
      <c r="EX30" s="248" t="str">
        <f aca="false">IF(BR30=0,"",24+(5.77*LN(0.17*BR30)))</f>
        <v/>
      </c>
      <c r="EY30" s="248" t="str">
        <f aca="false">IF(BR30=0,"",(SUM(EN30:EX30)-MIN(EN30:EX30)-MAX(EN30:EX30))/9)</f>
        <v/>
      </c>
      <c r="EZ30" s="248" t="str">
        <f aca="false">IF(BR30=0,"", -0.0000000034*BR30^6 + 0.0000008305*BR30^5 - 0.0000741842*BR30^4 + 0.0030204278*BR30^3 - 0.0541594733*BR30^2 + 0.8083147848*BR30 - 0.6182191243)</f>
        <v/>
      </c>
      <c r="FA30" s="249" t="str">
        <f aca="false">IF(BR30=0,"",(0.134811827956989*BR30 - 0.0383064516129019)/2)</f>
        <v/>
      </c>
      <c r="FB30" s="249" t="str">
        <f aca="false">IF(BR30=0,"",BR30*0.065)</f>
        <v/>
      </c>
      <c r="FC30" s="249" t="str">
        <f aca="false">IF(BR30=0,"",(BR30*0.12*0.48)*SQRT((1+SIN(EZ30*((2*PI())/360))/(1-SIN(EZ30*((2*PI())/360))))))</f>
        <v/>
      </c>
      <c r="FD30" s="249" t="str">
        <f aca="false">IF(BR30=0,"",(BR30/8)/2)</f>
        <v/>
      </c>
      <c r="FE30" s="249" t="str">
        <f aca="false">IF(BR30=0,"",(SUM(FA30:FD30)-MIN(FA30:FD30)-MAX(FA30:FD30))/2)</f>
        <v/>
      </c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</row>
    <row r="31" customFormat="false" ht="9.75" hidden="false" customHeight="true" outlineLevel="0" collapsed="false">
      <c r="A31" s="197" t="n">
        <f aca="false">ROUND(A30+0.1,1)</f>
        <v>1.4</v>
      </c>
      <c r="B31" s="250" t="n">
        <f aca="false">+A31</f>
        <v>1.4</v>
      </c>
      <c r="C31" s="251"/>
      <c r="D31" s="251"/>
      <c r="E31" s="274"/>
      <c r="F31" s="253"/>
      <c r="G31" s="254"/>
      <c r="H31" s="284"/>
      <c r="I31" s="285"/>
      <c r="J31" s="257"/>
      <c r="K31" s="258"/>
      <c r="L31" s="259"/>
      <c r="M31" s="276"/>
      <c r="N31" s="277"/>
      <c r="O31" s="277"/>
      <c r="P31" s="277"/>
      <c r="Q31" s="260"/>
      <c r="R31" s="278"/>
      <c r="S31" s="278"/>
      <c r="T31" s="261"/>
      <c r="U31" s="261"/>
      <c r="V31" s="262"/>
      <c r="W31" s="262"/>
      <c r="X31" s="262"/>
      <c r="Y31" s="262"/>
      <c r="Z31" s="262"/>
      <c r="AA31" s="262"/>
      <c r="AB31" s="263"/>
      <c r="AC31" s="264"/>
      <c r="AD31" s="265"/>
      <c r="AE31" s="264"/>
      <c r="AF31" s="266"/>
      <c r="AG31" s="267"/>
      <c r="AH31" s="267"/>
      <c r="AI31" s="241"/>
      <c r="AJ31" s="241"/>
      <c r="AK31" s="266"/>
      <c r="AL31" s="266"/>
      <c r="AM31" s="268"/>
      <c r="AN31" s="250" t="n">
        <f aca="false">+AN29+0.2</f>
        <v>1.4</v>
      </c>
      <c r="AO31" s="251"/>
      <c r="AP31" s="251"/>
      <c r="AQ31" s="274"/>
      <c r="AR31" s="253"/>
      <c r="AS31" s="269" t="s">
        <v>13</v>
      </c>
      <c r="AT31" s="221"/>
      <c r="AU31" s="269"/>
      <c r="AV31" s="269"/>
      <c r="AW31" s="270" t="n">
        <f aca="false">+K31+L31</f>
        <v>0</v>
      </c>
      <c r="AX31" s="270" t="str">
        <f aca="false">IF(AS31="&gt;50","CONSISTENCIA",IF(AS31="&lt;50","COMPACIDAD"," "))</f>
        <v>COMPACIDAD</v>
      </c>
      <c r="AY31" s="225" t="str">
        <f aca="false">IF(AS31="&gt;50",AZ31,IF(AS31="&lt;50",BA31," "))</f>
        <v> </v>
      </c>
      <c r="AZ31" s="224" t="str">
        <f aca="false">IF(AW31=" "," ",IF(CC31=""," ",IF(CC31&lt;2,"MUY BLANDA",IF(CC31=2,"MUY BLANDA A BLANDA",IF(CC31&lt;4,"BLANDA",IF(CC31=4,"BLANDA A MEDIA",IF(CC31&lt;8,"MEDIA",IF(CC31=8,"MEDIA A FIRME",IF(CC31&lt;15,"FIRME",IF(CC31=15,"FIRME A MUY FIRME",IF(CC31&lt;30,"MUY FIRME",IF(CC31=30,"MUY FIRME A DURA","DURA"))))))))))))</f>
        <v> </v>
      </c>
      <c r="BA31" s="225" t="str">
        <f aca="false">IF(AW31=" "," ",IF(DC31=""," ",IF(DC31&lt;4,"MUY SUELTA",IF(DC31=4,"MUY SUELTA A SUELTA",IF(DC31&lt;10,"SUELTA",IF(DC31=10,"SUELTA A MEDIA",IF(DC31&lt;30,"MEDIA",IF(DC31=30,"MEDIA A DENSO",IF(DC31&lt;50,"DENSO",IF(DC31=50,"DENSO MUY DENSO","MUY DENSO"))))))))))</f>
        <v> </v>
      </c>
      <c r="BB31" s="226" t="str">
        <f aca="false">IF(BR32=0,"",CQ32*0.0101972)</f>
        <v/>
      </c>
      <c r="BC31" s="227" t="n">
        <f aca="false">+BC30+0.1</f>
        <v>1.4</v>
      </c>
      <c r="BD31" s="227" t="str">
        <f aca="false">IF(BC31&lt;=$AN$10,BC31,"")</f>
        <v/>
      </c>
      <c r="BE31" s="228" t="n">
        <f aca="false">ISNUMBER(BD31)</f>
        <v>0</v>
      </c>
      <c r="BF31" s="229" t="str">
        <f aca="false">MID(M31,1,1)</f>
        <v/>
      </c>
      <c r="BG31" s="230" t="str">
        <f aca="false">IF(BF31="S","",IF(BF31="G","",MID(M31,2,1)))</f>
        <v/>
      </c>
      <c r="BH31" s="231" t="str">
        <f aca="false">CONCATENATE(BF31,BG31)</f>
        <v/>
      </c>
      <c r="BI31" s="6" t="str">
        <f aca="false">IF(BE31=FALSE(),"",IF(BH31="",BI30,BH31))</f>
        <v/>
      </c>
      <c r="BJ31" s="74" t="str">
        <f aca="false">IF(OR(BI31="S",BI31="G"),BI31,"X")</f>
        <v>X</v>
      </c>
      <c r="BK31" s="74" t="s">
        <v>191</v>
      </c>
      <c r="BL31" s="286" t="e">
        <f aca="false">INDEX(sim_0,MATCH($BJ$31,granular,0))</f>
        <v>#NAME?</v>
      </c>
      <c r="BM31" s="286"/>
      <c r="BN31" s="6"/>
      <c r="BO31" s="191" t="n">
        <f aca="false">BO30+0.1</f>
        <v>1.4</v>
      </c>
      <c r="BP31" s="233" t="e">
        <f aca="false">IF(AW31=0,NA(),IF(AS31=$AX$3,ROUND(DC31,0),NA()))</f>
        <v>#N/A</v>
      </c>
      <c r="BQ31" s="31" t="e">
        <f aca="false">IF(AW31=0,NA(),IF(AS31=$AX$4,ROUND(CC31,0),NA()))</f>
        <v>#N/A</v>
      </c>
      <c r="BR31" s="234" t="n">
        <f aca="false">+AW31</f>
        <v>0</v>
      </c>
      <c r="BS31" s="235" t="str">
        <f aca="false">IF(BR31=0,"", -0.00000000016128755327*CC31^6 + 0.00000006709386362421*CC31^5 - 0.0000106217678052217*CC31^4 + 0.00081068114193385*CC31^3 - 0.0314027378159951*CC31^2 + 0.649796593937842*CC31 + 13.7888866455022)</f>
        <v/>
      </c>
      <c r="BT31" s="235" t="str">
        <f aca="false">IF(BR31=0,"",-0.00000000014625939695*CC31^6 + 0.00000004971732060241*CC31^5 - 0.000006683744342031*CC31^4 + 0.0004563177378098*CC31^3 - 0.0171727530635803*CC31^2 + 0.444529932876435*CC31 + 15.6692518940565)</f>
        <v/>
      </c>
      <c r="BU31" s="236" t="str">
        <f aca="false">IF(BR31=0,"", -0.0000000008152265738*BR31^6 + 0.00000022764320256987*BR31^5 - 0.0000248205675927705*BR31^4 + 0.00133186623684865*BR31^3 - 0.0368442570441677*BR31^2 + 0.580111565569094*BR31 + 14.0417598296107)</f>
        <v/>
      </c>
      <c r="BV31" s="236" t="str">
        <f aca="false">IF(BR31=0,"", -0.00000000004321395721*BR31^6 + 0.00000002531844275498*BR31^5 - 0.00000369428022780862*BR31^4 + 0.00020283665900125*BR31^3 - 0.00462426256803268*BR31^2 + 0.139572935065453*BR31 + 15.4475338156923)</f>
        <v/>
      </c>
      <c r="BW31" s="236" t="str">
        <f aca="false">IF(BR31=0,"",-0.00000000033126390082*BR31^6 + 0.00000010463660614506*BR31^5 - 0.0000129629592998707*BR31^4 + 0.000803946335250767*BR31^3 - 0.0270257140395994*BR31^2 + 0.562590210721552*BR31+ 12.1254107606419)</f>
        <v/>
      </c>
      <c r="BX31" s="236" t="str">
        <f aca="false">IF(BR31=0,"",-0.00000000002593504955*BR31^6 + 0.00000002430495156704*BR31^5 - 0.00000386103271086364*BR31^4 + 0.000214416118986322*BR31^3 - 0.0047271462612021*BR31^2 + 0.156696175741135*BR31 + 15.4598891949502)</f>
        <v/>
      </c>
      <c r="BY31" s="234" t="str">
        <f aca="false">IF(BR31=0,"",$BS$2)</f>
        <v/>
      </c>
      <c r="BZ31" s="234" t="str">
        <f aca="false">IF(BR31=0,"",$BS$3)</f>
        <v/>
      </c>
      <c r="CA31" s="234" t="str">
        <f aca="false">IF(BR31=0,"",$BS$4)</f>
        <v/>
      </c>
      <c r="CB31" s="235" t="str">
        <f aca="false">IF(BR31=0,"",IF(AND(BO31&gt;=0,BO31&lt;4),0.75,IF(AND(BO31&gt;=4,BO31&lt;6),0.85,IF(AND(BO31&gt;=6,BO31&lt;=10),0.95,1))))</f>
        <v/>
      </c>
      <c r="CC31" s="234" t="str">
        <f aca="false">IF(BR31=0,"",BR31*BY31*BZ31*CA31*CB31/60)</f>
        <v/>
      </c>
      <c r="CD31" s="238" t="str">
        <f aca="false">IF(BR31=0,"",IF($S$12="NO","NO",IF($AD$12&lt;=BO31,"SI","NO")))</f>
        <v/>
      </c>
      <c r="CE31" s="235" t="n">
        <f aca="false">IF(BR31=0,0,AB31)</f>
        <v>0</v>
      </c>
      <c r="CF31" s="235" t="n">
        <f aca="false">IF(CE31&gt;0,BO31,0)</f>
        <v>0</v>
      </c>
      <c r="CG31" s="239" t="n">
        <f aca="false">IF(CF31=0,CF31+CG30,CF31)</f>
        <v>0</v>
      </c>
      <c r="CH31" s="239" t="n">
        <f aca="false">IF(CG31=CG30,CH30,ABS(CG31-CG30))</f>
        <v>0</v>
      </c>
      <c r="CI31" s="239" t="n">
        <f aca="false">+CE31*CH31</f>
        <v>0</v>
      </c>
      <c r="CJ31" s="239" t="n">
        <f aca="false">IF(CI31=0,CI31+CJ30,CI31)</f>
        <v>0</v>
      </c>
      <c r="CK31" s="239" t="n">
        <f aca="false">IF(CJ31=CJ30,CK30,ABS(CJ31+CK30))</f>
        <v>0</v>
      </c>
      <c r="CL31" s="241" t="n">
        <f aca="false">IF(CE31=0,0,CK31)</f>
        <v>0</v>
      </c>
      <c r="CM31" s="239" t="n">
        <f aca="false">IF(CE31=0,0,CH31*9.81)</f>
        <v>0</v>
      </c>
      <c r="CN31" s="239" t="n">
        <f aca="false">IF(CM31=0,CM31+CN30,CM31)</f>
        <v>0</v>
      </c>
      <c r="CO31" s="239" t="n">
        <f aca="false">IF(CN31=CN30,CO30,ABS(CN31+CO30))</f>
        <v>0</v>
      </c>
      <c r="CP31" s="241" t="n">
        <f aca="false">IF(CD31="NO",0,IF(CE31=0,0,CO31))</f>
        <v>0</v>
      </c>
      <c r="CQ31" s="244" t="str">
        <f aca="false">IF(BR31=0,"",CL31-CP31)</f>
        <v/>
      </c>
      <c r="CR31" s="244" t="str">
        <f aca="false">IF(BR31=0,"",CQ31/101.3)</f>
        <v/>
      </c>
      <c r="CS31" s="244" t="str">
        <f aca="false">IF(BR31=0,"",LOG(10/CR31))</f>
        <v/>
      </c>
      <c r="CT31" s="243" t="str">
        <f aca="false">IF(BR31=0,"",IF(SQRT(101.3/CQ31)&lt;=1.7,SQRT(101.3/CQ31),2.2/(1.2+(CQ31/101.3))))</f>
        <v/>
      </c>
      <c r="CU31" s="244" t="str">
        <f aca="false">IF(BR31=0,"",1.7/(0.7+CR31))</f>
        <v/>
      </c>
      <c r="CV31" s="244" t="str">
        <f aca="false">IF(BR31=0,"",IF(CR31&gt;=0.25,0.77*LOG(20/CR31),""))</f>
        <v/>
      </c>
      <c r="CW31" s="244" t="str">
        <f aca="false">IF(BR31=0,"",32.5/(10.2+20.3*CR31))</f>
        <v/>
      </c>
      <c r="CX31" s="244" t="str">
        <f aca="false">IF(BR31=0,"",1-1.25*LOG(CR31))</f>
        <v/>
      </c>
      <c r="CY31" s="244" t="str">
        <f aca="false">IF(BR31=0,"",IF(CR31&lt;1,1-1.41*LOG(CR31),1+0.92*LOG(CR31)))</f>
        <v/>
      </c>
      <c r="CZ31" s="244" t="str">
        <f aca="false">IF(BR31=0,"",2/(1+CR31))</f>
        <v/>
      </c>
      <c r="DA31" s="244" t="str">
        <f aca="false">IF(BR31=0,"",IF(CR31&lt;=0.75,4/(1+4*CR31),4/(3.25+CR31)))</f>
        <v/>
      </c>
      <c r="DB31" s="244" t="str">
        <f aca="false">IF(BR31=0,"",CT31)</f>
        <v/>
      </c>
      <c r="DC31" s="244" t="str">
        <f aca="false">IF(BR31=0,"",DB31*CC31)</f>
        <v/>
      </c>
      <c r="DD31" s="244"/>
      <c r="DE31" s="244" t="str">
        <f aca="false">IF(BR31=0,"",0.193*(CC31/(CQ31*0.001))^0.689)</f>
        <v/>
      </c>
      <c r="DF31" s="244" t="str">
        <f aca="false">IF(BR31=0,"",IF(AS31=$AX$4,(0.1348118*CC31 - 0.0383065)*98.0665,""))</f>
        <v/>
      </c>
      <c r="DG31" s="244" t="str">
        <f aca="false">IF(BR31=0,"",IF(AS31=$AX$4,DF31/2,""))</f>
        <v/>
      </c>
      <c r="DH31" s="244" t="str">
        <f aca="false">IF(BR31=0,"",IF(DC31&lt;=15,12*(DC31+6),40+12*(DC31-6)))</f>
        <v/>
      </c>
      <c r="DI31" s="244" t="str">
        <f aca="false">IF(BR31=0,"",IF(CD31="SI",5*(DC31+15),((3.3*(DC31+15))+(4*(DC31+12)))/2))</f>
        <v/>
      </c>
      <c r="DJ31" s="244" t="str">
        <f aca="false">IF(BR31=0,"",8*DC31)</f>
        <v/>
      </c>
      <c r="DK31" s="244" t="str">
        <f aca="false">IF(BR31=0,"",215+(10.6*DC31))</f>
        <v/>
      </c>
      <c r="DL31" s="244" t="str">
        <f aca="false">IF(BR31=0,"",10*(7.5+(0.5*DC31)))</f>
        <v/>
      </c>
      <c r="DM31" s="244" t="str">
        <f aca="false">IF(BR31=0,"",8*DC31)</f>
        <v/>
      </c>
      <c r="DN31" s="244" t="str">
        <f aca="false">IF(AW31=" "," ",IF(DC31=""," ",IF(DC31&lt;4,10*10.2,IF(DC31=4,12*10.2,IF(DC31&lt;10,17.5*10.5,IF(DC31=10,15*10.2,IF(DC31&lt;30,22.5*10.2,IF(DC31=30,35*10.2,IF(DC31&lt;50,40*10.2,IF(DC31=50,50*10.2,55*10.2))))))))))</f>
        <v> </v>
      </c>
      <c r="DO31" s="244" t="str">
        <f aca="false">IF(BR31=0,"",7*SQRT(DC31)*10.1972)</f>
        <v/>
      </c>
      <c r="DP31" s="244" t="str">
        <f aca="false">IF(BR31=0,"",IF(AS31=$AX$4,5*CC31,""))</f>
        <v/>
      </c>
      <c r="DQ31" s="244" t="str">
        <f aca="false">IF(AW31=" "," ",IF(DC31=""," ",IF(DC31&lt;2,4*10.2,IF(DC31=2,6*10.2,IF(DC31&lt;4,12*10.2,IF(DC31=4,20*10.2,IF(DC31&lt;8,30*10.2,IF(DC31=8,35*10.2,IF(DC31&lt;15,40*10.2,IF(DC31=15,42*10.2,IF(DC31&lt;30,45*10.2,IF(DC31=30,50*10.2,70*10.2))))))))))))</f>
        <v> </v>
      </c>
      <c r="DR31" s="244" t="str">
        <f aca="false">IF(BR31=0,"",IF(AS31=$AX$4,220*DP31*0.0101972,""))</f>
        <v/>
      </c>
      <c r="DS31" s="271" t="str">
        <f aca="false">IF(BR31=0,"",IF(AS31=$AX$7,(SUM(DH31:DO31)-MIN(DH31:DO31)-MAX(DH31:DO31))/6,(SUM(DO31:DR31)-MIN(DO31:DR31)-MAX(DO31:DR31))/2))</f>
        <v/>
      </c>
      <c r="DT31" s="244" t="str">
        <f aca="false">IF(AW31=" "," ",IF(DC31=""," ",IF(DC31&lt;4,0.2,IF(DC31=4,0.27,IF(DC31&lt;10,0.33,IF(DC31=10,0.35,IF(DC31&lt;30,0.36,IF(DC31=30,0.37,IF(DC31&lt;50,0.38,IF(DC31=50,0.4,0.45))))))))))</f>
        <v> </v>
      </c>
      <c r="DU31" s="272" t="str">
        <f aca="false">IF(AW31=" "," ",IF(CC31=""," ",IF(CC31&lt;2,0.2,IF(CC31=2,0.23,IF(CC31&lt;4,0.26,IF(CC31=4,0.29,IF(CC31&lt;8,0.32,IF(CC31=8,0.35,IF(CC31&lt;15,0.38,IF(CC31=15,0.41,IF(CC31&lt;30,0.44,IF(CC31=30,0.47,0.5))))))))))))</f>
        <v> </v>
      </c>
      <c r="DV31" s="244" t="str">
        <f aca="false">IF(BR31=0,"",IF(AS31=$AX$3,DT31,DU31))</f>
        <v/>
      </c>
      <c r="DW31" s="244" t="str">
        <f aca="false">IF(BR31=0,"",IF(DC31&gt;15,15+0.5*(DC31-15),DC31))</f>
        <v/>
      </c>
      <c r="DX31" s="244" t="str">
        <f aca="false">IF(BR31=0,"",IF($S$12="SI",IF(CD31="NO",IF($AD$12&gt;(BO31+1.5*$ED$15),1,0.5),0.5),1))</f>
        <v/>
      </c>
      <c r="DY31" s="244" t="str">
        <f aca="false">IF(BR31=0,"",IF($S$12="SI",IF(CD31="NO",IF($AD$12&gt;(BO31+1.5*$EE$15),1,0.5),0.5),1))</f>
        <v/>
      </c>
      <c r="DZ31" s="244" t="str">
        <f aca="false">IF(BR31=0,"",IF($S$12="SI",IF(CD31="NO",IF($AD$12&gt;(BO31+1.5*$EF$15),1,0.5),0.5),1))</f>
        <v/>
      </c>
      <c r="EA31" s="244" t="str">
        <f aca="false">IF(BR31=0,"",IF($S$12="SI",IF(CD31="NO",IF($AD$12&gt;(BO31+1.5*$ED$15),1,0.5),IF($AD$12=BO31,1,0.5)),1))</f>
        <v/>
      </c>
      <c r="EB31" s="244" t="str">
        <f aca="false">IF(BR31=0,"",IF($S$12="SI",IF(CD31="NO",IF($AD$12&gt;(BO31+1.5*$EE$15),1,0.5),IF($AD$12=BO31,1,0.5)),1))</f>
        <v/>
      </c>
      <c r="EC31" s="244" t="str">
        <f aca="false">IF(BR31=0,"",IF($S$12="SI",IF(CD31="NO",IF($AD$12&gt;(BO31+1.5*$EF$15),1,0.5),IF($AD$12=BO31,1,0.5)),1))</f>
        <v/>
      </c>
      <c r="ED31" s="244" t="str">
        <f aca="false">IF(BR31=0,"",(DW31*($ED$15/10)*(DX31+EA31*(BO31/$ED$15))*1)/3)</f>
        <v/>
      </c>
      <c r="EE31" s="244" t="str">
        <f aca="false">IF(BR31=0,"",(DW31*($EE$15/10)*(DY31+EB31*(BO31/$EE$15))*1)/3)</f>
        <v/>
      </c>
      <c r="EF31" s="244" t="str">
        <f aca="false">IF(BR31=0,"",(DW31*($EF$15/10)*(DZ31+EC31*(BO31/$EF$15))*1)/3)</f>
        <v/>
      </c>
      <c r="EG31" s="273" t="str">
        <f aca="false">IF(BR31=0,"",IF(CD31="SI",0.5,1))</f>
        <v/>
      </c>
      <c r="EH31" s="244" t="str">
        <f aca="false">IF(BR31=0,"",IF((1+0.33*(BO31/$ED$15))&lt;=1.33,(1+0.33*(BO31/$ED$15)),1.33))</f>
        <v/>
      </c>
      <c r="EI31" s="244" t="str">
        <f aca="false">IF(BR31=0,"",IF((1+0.33*(BO31/$EE$15))&lt;=1.33,(1+0.33*(BO31/$EE$15)),1.33))</f>
        <v/>
      </c>
      <c r="EJ31" s="244" t="str">
        <f aca="false">IF(BR31=0,"",IF((1+0.33*(BO31/$EF$15))&lt;=1.33,(1+0.33*(BO31/$EF$15)),1.33))</f>
        <v/>
      </c>
      <c r="EK31" s="244" t="str">
        <f aca="false">IF(BR31=0,"",IF($ED$15&lt;=1.2,((20*DC31*EG31*EH31)/3)*0.010197,((12.5*DC31*((($ED$15+0.3)^2)/$ED$15)*EG31*EH31)/3)*0.010197))</f>
        <v/>
      </c>
      <c r="EL31" s="244" t="str">
        <f aca="false">IF(BR31=0,"",IF($EE$15&lt;=1.2,((20*DC31*EG31*EI31)/3)*0.010197,((12.5*DC31*((($EE$15+0.3)^2)/$EE$15)*EG31*EI31)/3)*0.010197))</f>
        <v/>
      </c>
      <c r="EM31" s="244" t="str">
        <f aca="false">IF(BR31=0,"",IF($EF$15&lt;=1.2,((20*DC31*EG31*EJ31)/3)*0.010197,((12.5*DC31*((($EF$15+0.3)^2)/$EF$15)*EG31*EJ31)/3)*0.010197))</f>
        <v/>
      </c>
      <c r="EN31" s="248" t="str">
        <f aca="false">IF(BR31=0,"",SQRT(12*BR31)+25)</f>
        <v/>
      </c>
      <c r="EO31" s="248" t="str">
        <f aca="false">IF(BR31=0,"",28.5+0.25*BR31)</f>
        <v/>
      </c>
      <c r="EP31" s="248" t="str">
        <f aca="false">IF(BR31=0,"",SQRT(20*BR31)+15)</f>
        <v/>
      </c>
      <c r="EQ31" s="248" t="str">
        <f aca="false">IF(BR31=0,"",23.7+0.57*BR31-0.0006*BR31*BR31)</f>
        <v/>
      </c>
      <c r="ER31" s="248" t="str">
        <f aca="false">IF(BR31=0,"",15+SQRT(20*BR31))</f>
        <v/>
      </c>
      <c r="ES31" s="248" t="str">
        <f aca="false">IF(BR31=0,"",3.5*SQRT(BR31)+20)</f>
        <v/>
      </c>
      <c r="ET31" s="248" t="str">
        <f aca="false">IF(BR31=0,"",27.1+0.3*BR31-0.00054*BR31*BR31)</f>
        <v/>
      </c>
      <c r="EU31" s="248" t="str">
        <f aca="false">IF(BR31=0,"",SQRT(20*BR31)+20)</f>
        <v/>
      </c>
      <c r="EV31" s="248" t="str">
        <f aca="false">IF(BR31=0,"",12.79+SQRT(25.86*BR31))</f>
        <v/>
      </c>
      <c r="EW31" s="248" t="str">
        <f aca="false">IF(BR31=0,"",_xlfn.ACOT((CC31/(12.2+20.3*CR31))^0.34))</f>
        <v/>
      </c>
      <c r="EX31" s="248" t="str">
        <f aca="false">IF(BR31=0,"",24+(5.77*LN(0.17*BR31)))</f>
        <v/>
      </c>
      <c r="EY31" s="248" t="str">
        <f aca="false">IF(BR31=0,"",(SUM(EN31:EX31)-MIN(EN31:EX31)-MAX(EN31:EX31))/9)</f>
        <v/>
      </c>
      <c r="EZ31" s="248" t="str">
        <f aca="false">IF(BR31=0,"", -0.0000000034*BR31^6 + 0.0000008305*BR31^5 - 0.0000741842*BR31^4 + 0.0030204278*BR31^3 - 0.0541594733*BR31^2 + 0.8083147848*BR31 - 0.6182191243)</f>
        <v/>
      </c>
      <c r="FA31" s="249" t="str">
        <f aca="false">IF(BR31=0,"",(0.134811827956989*BR31 - 0.0383064516129019)/2)</f>
        <v/>
      </c>
      <c r="FB31" s="249" t="str">
        <f aca="false">IF(BR31=0,"",BR31*0.065)</f>
        <v/>
      </c>
      <c r="FC31" s="249" t="str">
        <f aca="false">IF(BR31=0,"",(BR31*0.12*0.48)*SQRT((1+SIN(EZ31*((2*PI())/360))/(1-SIN(EZ31*((2*PI())/360))))))</f>
        <v/>
      </c>
      <c r="FD31" s="249" t="str">
        <f aca="false">IF(BR31=0,"",(BR31/8)/2)</f>
        <v/>
      </c>
      <c r="FE31" s="249" t="str">
        <f aca="false">IF(BR31=0,"",(SUM(FA31:FD31)-MIN(FA31:FD31)-MAX(FA31:FD31))/2)</f>
        <v/>
      </c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</row>
    <row r="32" customFormat="false" ht="9.75" hidden="false" customHeight="true" outlineLevel="0" collapsed="false">
      <c r="A32" s="197" t="n">
        <f aca="false">ROUND(A31+0.1,1)</f>
        <v>1.5</v>
      </c>
      <c r="B32" s="250"/>
      <c r="C32" s="251"/>
      <c r="D32" s="251"/>
      <c r="E32" s="199"/>
      <c r="F32" s="200"/>
      <c r="G32" s="254"/>
      <c r="H32" s="284"/>
      <c r="I32" s="285"/>
      <c r="J32" s="287"/>
      <c r="K32" s="288"/>
      <c r="L32" s="289"/>
      <c r="M32" s="276"/>
      <c r="N32" s="277"/>
      <c r="O32" s="277"/>
      <c r="P32" s="277"/>
      <c r="Q32" s="260"/>
      <c r="R32" s="278"/>
      <c r="S32" s="278"/>
      <c r="T32" s="261"/>
      <c r="U32" s="261"/>
      <c r="V32" s="262"/>
      <c r="W32" s="262"/>
      <c r="X32" s="262"/>
      <c r="Y32" s="262"/>
      <c r="Z32" s="262"/>
      <c r="AA32" s="262"/>
      <c r="AB32" s="263"/>
      <c r="AC32" s="264"/>
      <c r="AD32" s="265"/>
      <c r="AE32" s="264"/>
      <c r="AF32" s="266"/>
      <c r="AG32" s="267"/>
      <c r="AH32" s="267"/>
      <c r="AI32" s="241"/>
      <c r="AJ32" s="241"/>
      <c r="AK32" s="266"/>
      <c r="AL32" s="266"/>
      <c r="AM32" s="268"/>
      <c r="AN32" s="250"/>
      <c r="AO32" s="251"/>
      <c r="AP32" s="251"/>
      <c r="AQ32" s="199"/>
      <c r="AR32" s="200"/>
      <c r="AS32" s="269" t="s">
        <v>13</v>
      </c>
      <c r="AT32" s="221" t="s">
        <v>45</v>
      </c>
      <c r="AU32" s="269"/>
      <c r="AV32" s="269"/>
      <c r="AW32" s="270" t="n">
        <f aca="false">+K32+L32</f>
        <v>0</v>
      </c>
      <c r="AX32" s="270" t="str">
        <f aca="false">IF(AS32="&gt;50","CONSISTENCIA",IF(AS32="&lt;50","COMPACIDAD"," "))</f>
        <v>COMPACIDAD</v>
      </c>
      <c r="AY32" s="225" t="str">
        <f aca="false">IF(AS32="&gt;50",AZ32,IF(AS32="&lt;50",BA32," "))</f>
        <v> </v>
      </c>
      <c r="AZ32" s="224" t="str">
        <f aca="false">IF(AW32=" "," ",IF(CC32=""," ",IF(CC32&lt;2,"MUY BLANDA",IF(CC32=2,"MUY BLANDA A BLANDA",IF(CC32&lt;4,"BLANDA",IF(CC32=4,"BLANDA A MEDIA",IF(CC32&lt;8,"MEDIA",IF(CC32=8,"MEDIA A FIRME",IF(CC32&lt;15,"FIRME",IF(CC32=15,"FIRME A MUY FIRME",IF(CC32&lt;30,"MUY FIRME",IF(CC32=30,"MUY FIRME A DURA","DURA"))))))))))))</f>
        <v> </v>
      </c>
      <c r="BA32" s="225" t="str">
        <f aca="false">IF(AW32=" "," ",IF(DC32=""," ",IF(DC32&lt;4,"MUY SUELTA",IF(DC32=4,"MUY SUELTA A SUELTA",IF(DC32&lt;10,"SUELTA",IF(DC32=10,"SUELTA A MEDIA",IF(DC32&lt;30,"MEDIA",IF(DC32=30,"MEDIA A DENSO",IF(DC32&lt;50,"DENSO",IF(DC32=50,"DENSO MUY DENSO","MUY DENSO"))))))))))</f>
        <v> </v>
      </c>
      <c r="BB32" s="226" t="str">
        <f aca="false">IF(BR33=0,"",CQ33*0.0101972)</f>
        <v/>
      </c>
      <c r="BC32" s="227" t="n">
        <f aca="false">+BC31+0.1</f>
        <v>1.5</v>
      </c>
      <c r="BD32" s="227" t="str">
        <f aca="false">IF(BC32&lt;=$AN$10,BC32,"")</f>
        <v/>
      </c>
      <c r="BE32" s="228" t="n">
        <f aca="false">ISNUMBER(BD32)</f>
        <v>0</v>
      </c>
      <c r="BF32" s="229" t="str">
        <f aca="false">MID(M32,1,1)</f>
        <v/>
      </c>
      <c r="BG32" s="230" t="str">
        <f aca="false">IF(BF32="S","",IF(BF32="G","",MID(M32,2,1)))</f>
        <v/>
      </c>
      <c r="BH32" s="231" t="str">
        <f aca="false">CONCATENATE(BF32,BG32)</f>
        <v/>
      </c>
      <c r="BI32" s="6" t="str">
        <f aca="false">IF(BE32=FALSE(),"",IF(BH32="",BI31,BH32))</f>
        <v/>
      </c>
      <c r="BJ32" s="74" t="str">
        <f aca="false">IF(OR(BI32="S",BI32="G"),BI32,"X")</f>
        <v>X</v>
      </c>
      <c r="BK32" s="74" t="s">
        <v>192</v>
      </c>
      <c r="BL32" s="286" t="e">
        <f aca="false">INDEX(sim_0,MATCH($BJ$32,granular,0))</f>
        <v>#NAME?</v>
      </c>
      <c r="BM32" s="286"/>
      <c r="BN32" s="6"/>
      <c r="BO32" s="191" t="n">
        <f aca="false">BO31+0.1</f>
        <v>1.5</v>
      </c>
      <c r="BP32" s="233" t="e">
        <f aca="false">IF(AW32=0,NA(),IF(AS32=$AX$3,ROUND(DC32,0),NA()))</f>
        <v>#N/A</v>
      </c>
      <c r="BQ32" s="31" t="e">
        <f aca="false">IF(AW32=0,NA(),IF(AS32=$AX$4,ROUND(CC32,0),NA()))</f>
        <v>#N/A</v>
      </c>
      <c r="BR32" s="234" t="n">
        <f aca="false">+AW32</f>
        <v>0</v>
      </c>
      <c r="BS32" s="235" t="str">
        <f aca="false">IF(BR32=0,"", -0.00000000016128755327*CC32^6 + 0.00000006709386362421*CC32^5 - 0.0000106217678052217*CC32^4 + 0.00081068114193385*CC32^3 - 0.0314027378159951*CC32^2 + 0.649796593937842*CC32 + 13.7888866455022)</f>
        <v/>
      </c>
      <c r="BT32" s="235" t="str">
        <f aca="false">IF(BR32=0,"",-0.00000000014625939695*CC32^6 + 0.00000004971732060241*CC32^5 - 0.000006683744342031*CC32^4 + 0.0004563177378098*CC32^3 - 0.0171727530635803*CC32^2 + 0.444529932876435*CC32 + 15.6692518940565)</f>
        <v/>
      </c>
      <c r="BU32" s="236" t="str">
        <f aca="false">IF(BR32=0,"", -0.0000000008152265738*BR32^6 + 0.00000022764320256987*BR32^5 - 0.0000248205675927705*BR32^4 + 0.00133186623684865*BR32^3 - 0.0368442570441677*BR32^2 + 0.580111565569094*BR32 + 14.0417598296107)</f>
        <v/>
      </c>
      <c r="BV32" s="236" t="str">
        <f aca="false">IF(BR32=0,"", -0.00000000004321395721*BR32^6 + 0.00000002531844275498*BR32^5 - 0.00000369428022780862*BR32^4 + 0.00020283665900125*BR32^3 - 0.00462426256803268*BR32^2 + 0.139572935065453*BR32 + 15.4475338156923)</f>
        <v/>
      </c>
      <c r="BW32" s="236" t="str">
        <f aca="false">IF(BR32=0,"",-0.00000000033126390082*BR32^6 + 0.00000010463660614506*BR32^5 - 0.0000129629592998707*BR32^4 + 0.000803946335250767*BR32^3 - 0.0270257140395994*BR32^2 + 0.562590210721552*BR32+ 12.1254107606419)</f>
        <v/>
      </c>
      <c r="BX32" s="236" t="str">
        <f aca="false">IF(BR32=0,"",-0.00000000002593504955*BR32^6 + 0.00000002430495156704*BR32^5 - 0.00000386103271086364*BR32^4 + 0.000214416118986322*BR32^3 - 0.0047271462612021*BR32^2 + 0.156696175741135*BR32 + 15.4598891949502)</f>
        <v/>
      </c>
      <c r="BY32" s="234" t="str">
        <f aca="false">IF(BR32=0,"",$BS$2)</f>
        <v/>
      </c>
      <c r="BZ32" s="234" t="str">
        <f aca="false">IF(BR32=0,"",$BS$3)</f>
        <v/>
      </c>
      <c r="CA32" s="234" t="str">
        <f aca="false">IF(BR32=0,"",$BS$4)</f>
        <v/>
      </c>
      <c r="CB32" s="235" t="str">
        <f aca="false">IF(BR32=0,"",IF(AND(BO32&gt;=0,BO32&lt;4),0.75,IF(AND(BO32&gt;=4,BO32&lt;6),0.85,IF(AND(BO32&gt;=6,BO32&lt;=10),0.95,1))))</f>
        <v/>
      </c>
      <c r="CC32" s="234" t="str">
        <f aca="false">IF(BR32=0,"",BR32*BY32*BZ32*CA32*CB32/60)</f>
        <v/>
      </c>
      <c r="CD32" s="238" t="str">
        <f aca="false">IF(BR32=0,"",IF($S$12="NO","NO",IF($AD$12&lt;=BO32,"SI","NO")))</f>
        <v/>
      </c>
      <c r="CE32" s="235" t="n">
        <f aca="false">IF(BR32=0,0,AB32)</f>
        <v>0</v>
      </c>
      <c r="CF32" s="235" t="n">
        <f aca="false">IF(CE32&gt;0,BO32,0)</f>
        <v>0</v>
      </c>
      <c r="CG32" s="239" t="n">
        <f aca="false">IF(CF32=0,CF32+CG31,CF32)</f>
        <v>0</v>
      </c>
      <c r="CH32" s="239" t="n">
        <f aca="false">IF(CG32=CG31,CH31,ABS(CG32-CG31))</f>
        <v>0</v>
      </c>
      <c r="CI32" s="239" t="n">
        <f aca="false">+CE32*CH32</f>
        <v>0</v>
      </c>
      <c r="CJ32" s="239" t="n">
        <f aca="false">IF(CI32=0,CI32+CJ31,CI32)</f>
        <v>0</v>
      </c>
      <c r="CK32" s="239" t="n">
        <f aca="false">IF(CJ32=CJ31,CK31,ABS(CJ32+CK31))</f>
        <v>0</v>
      </c>
      <c r="CL32" s="241" t="n">
        <f aca="false">IF(CE32=0,0,CK32)</f>
        <v>0</v>
      </c>
      <c r="CM32" s="239" t="n">
        <f aca="false">IF(CE32=0,0,CH32*9.81)</f>
        <v>0</v>
      </c>
      <c r="CN32" s="239" t="n">
        <f aca="false">IF(CM32=0,CM32+CN31,CM32)</f>
        <v>0</v>
      </c>
      <c r="CO32" s="239" t="n">
        <f aca="false">IF(CN32=CN31,CO31,ABS(CN32+CO31))</f>
        <v>0</v>
      </c>
      <c r="CP32" s="241" t="n">
        <f aca="false">IF(CD32="NO",0,IF(CE32=0,0,CO32))</f>
        <v>0</v>
      </c>
      <c r="CQ32" s="244" t="str">
        <f aca="false">IF(BR32=0,"",CL32-CP32)</f>
        <v/>
      </c>
      <c r="CR32" s="244" t="str">
        <f aca="false">IF(BR32=0,"",CQ32/101.3)</f>
        <v/>
      </c>
      <c r="CS32" s="244" t="str">
        <f aca="false">IF(BR32=0,"",LOG(10/CR32))</f>
        <v/>
      </c>
      <c r="CT32" s="243" t="str">
        <f aca="false">IF(BR32=0,"",IF(SQRT(101.3/CQ32)&lt;=1.7,SQRT(101.3/CQ32),2.2/(1.2+(CQ32/101.3))))</f>
        <v/>
      </c>
      <c r="CU32" s="244" t="str">
        <f aca="false">IF(BR32=0,"",1.7/(0.7+CR32))</f>
        <v/>
      </c>
      <c r="CV32" s="244" t="str">
        <f aca="false">IF(BR32=0,"",IF(CR32&gt;=0.25,0.77*LOG(20/CR32),""))</f>
        <v/>
      </c>
      <c r="CW32" s="244" t="str">
        <f aca="false">IF(BR32=0,"",32.5/(10.2+20.3*CR32))</f>
        <v/>
      </c>
      <c r="CX32" s="244" t="str">
        <f aca="false">IF(BR32=0,"",1-1.25*LOG(CR32))</f>
        <v/>
      </c>
      <c r="CY32" s="244" t="str">
        <f aca="false">IF(BR32=0,"",IF(CR32&lt;1,1-1.41*LOG(CR32),1+0.92*LOG(CR32)))</f>
        <v/>
      </c>
      <c r="CZ32" s="244" t="str">
        <f aca="false">IF(BR32=0,"",2/(1+CR32))</f>
        <v/>
      </c>
      <c r="DA32" s="244" t="str">
        <f aca="false">IF(BR32=0,"",IF(CR32&lt;=0.75,4/(1+4*CR32),4/(3.25+CR32)))</f>
        <v/>
      </c>
      <c r="DB32" s="244" t="str">
        <f aca="false">IF(BR32=0,"",CT32)</f>
        <v/>
      </c>
      <c r="DC32" s="244" t="str">
        <f aca="false">IF(BR32=0,"",DB32*CC32)</f>
        <v/>
      </c>
      <c r="DD32" s="244"/>
      <c r="DE32" s="244" t="str">
        <f aca="false">IF(BR32=0,"",0.193*(CC32/(CQ32*0.001))^0.689)</f>
        <v/>
      </c>
      <c r="DF32" s="244" t="str">
        <f aca="false">IF(BR32=0,"",IF(AS32=$AX$4,(0.1348118*CC32 - 0.0383065)*98.0665,""))</f>
        <v/>
      </c>
      <c r="DG32" s="244" t="str">
        <f aca="false">IF(BR32=0,"",IF(AS32=$AX$4,DF32/2,""))</f>
        <v/>
      </c>
      <c r="DH32" s="244" t="str">
        <f aca="false">IF(BR32=0,"",IF(DC32&lt;=15,12*(DC32+6),40+12*(DC32-6)))</f>
        <v/>
      </c>
      <c r="DI32" s="244" t="str">
        <f aca="false">IF(BR32=0,"",IF(CD32="SI",5*(DC32+15),((3.3*(DC32+15))+(4*(DC32+12)))/2))</f>
        <v/>
      </c>
      <c r="DJ32" s="244" t="str">
        <f aca="false">IF(BR32=0,"",8*DC32)</f>
        <v/>
      </c>
      <c r="DK32" s="244" t="str">
        <f aca="false">IF(BR32=0,"",215+(10.6*DC32))</f>
        <v/>
      </c>
      <c r="DL32" s="244" t="str">
        <f aca="false">IF(BR32=0,"",10*(7.5+(0.5*DC32)))</f>
        <v/>
      </c>
      <c r="DM32" s="244" t="str">
        <f aca="false">IF(BR32=0,"",8*DC32)</f>
        <v/>
      </c>
      <c r="DN32" s="244" t="str">
        <f aca="false">IF(AW32=" "," ",IF(DC32=""," ",IF(DC32&lt;4,10*10.2,IF(DC32=4,12*10.2,IF(DC32&lt;10,17.5*10.5,IF(DC32=10,15*10.2,IF(DC32&lt;30,22.5*10.2,IF(DC32=30,35*10.2,IF(DC32&lt;50,40*10.2,IF(DC32=50,50*10.2,55*10.2))))))))))</f>
        <v> </v>
      </c>
      <c r="DO32" s="244" t="str">
        <f aca="false">IF(BR32=0,"",7*SQRT(DC32)*10.1972)</f>
        <v/>
      </c>
      <c r="DP32" s="244" t="str">
        <f aca="false">IF(BR32=0,"",IF(AS32=$AX$4,5*CC32,""))</f>
        <v/>
      </c>
      <c r="DQ32" s="244" t="str">
        <f aca="false">IF(AW32=" "," ",IF(DC32=""," ",IF(DC32&lt;2,4*10.2,IF(DC32=2,6*10.2,IF(DC32&lt;4,12*10.2,IF(DC32=4,20*10.2,IF(DC32&lt;8,30*10.2,IF(DC32=8,35*10.2,IF(DC32&lt;15,40*10.2,IF(DC32=15,42*10.2,IF(DC32&lt;30,45*10.2,IF(DC32=30,50*10.2,70*10.2))))))))))))</f>
        <v> </v>
      </c>
      <c r="DR32" s="244" t="str">
        <f aca="false">IF(BR32=0,"",IF(AS32=$AX$4,220*DP32*0.0101972,""))</f>
        <v/>
      </c>
      <c r="DS32" s="271" t="str">
        <f aca="false">IF(BR32=0,"",IF(AS32=$AX$7,(SUM(DH32:DO32)-MIN(DH32:DO32)-MAX(DH32:DO32))/6,(SUM(DO32:DR32)-MIN(DO32:DR32)-MAX(DO32:DR32))/2))</f>
        <v/>
      </c>
      <c r="DT32" s="244" t="str">
        <f aca="false">IF(AW32=" "," ",IF(DC32=""," ",IF(DC32&lt;4,0.2,IF(DC32=4,0.27,IF(DC32&lt;10,0.33,IF(DC32=10,0.35,IF(DC32&lt;30,0.36,IF(DC32=30,0.37,IF(DC32&lt;50,0.38,IF(DC32=50,0.4,0.45))))))))))</f>
        <v> </v>
      </c>
      <c r="DU32" s="272" t="str">
        <f aca="false">IF(AW32=" "," ",IF(CC32=""," ",IF(CC32&lt;2,0.2,IF(CC32=2,0.23,IF(CC32&lt;4,0.26,IF(CC32=4,0.29,IF(CC32&lt;8,0.32,IF(CC32=8,0.35,IF(CC32&lt;15,0.38,IF(CC32=15,0.41,IF(CC32&lt;30,0.44,IF(CC32=30,0.47,0.5))))))))))))</f>
        <v> </v>
      </c>
      <c r="DV32" s="244" t="str">
        <f aca="false">IF(BR32=0,"",IF(AS32=$AX$3,DT32,DU32))</f>
        <v/>
      </c>
      <c r="DW32" s="244" t="str">
        <f aca="false">IF(BR32=0,"",IF(DC32&gt;15,15+0.5*(DC32-15),DC32))</f>
        <v/>
      </c>
      <c r="DX32" s="244" t="str">
        <f aca="false">IF(BR32=0,"",IF($S$12="SI",IF(CD32="NO",IF($AD$12&gt;(BO32+1.5*$ED$15),1,0.5),0.5),1))</f>
        <v/>
      </c>
      <c r="DY32" s="244" t="str">
        <f aca="false">IF(BR32=0,"",IF($S$12="SI",IF(CD32="NO",IF($AD$12&gt;(BO32+1.5*$EE$15),1,0.5),0.5),1))</f>
        <v/>
      </c>
      <c r="DZ32" s="244" t="str">
        <f aca="false">IF(BR32=0,"",IF($S$12="SI",IF(CD32="NO",IF($AD$12&gt;(BO32+1.5*$EF$15),1,0.5),0.5),1))</f>
        <v/>
      </c>
      <c r="EA32" s="244" t="str">
        <f aca="false">IF(BR32=0,"",IF($S$12="SI",IF(CD32="NO",IF($AD$12&gt;(BO32+1.5*$ED$15),1,0.5),IF($AD$12=BO32,1,0.5)),1))</f>
        <v/>
      </c>
      <c r="EB32" s="244" t="str">
        <f aca="false">IF(BR32=0,"",IF($S$12="SI",IF(CD32="NO",IF($AD$12&gt;(BO32+1.5*$EE$15),1,0.5),IF($AD$12=BO32,1,0.5)),1))</f>
        <v/>
      </c>
      <c r="EC32" s="244" t="str">
        <f aca="false">IF(BR32=0,"",IF($S$12="SI",IF(CD32="NO",IF($AD$12&gt;(BO32+1.5*$EF$15),1,0.5),IF($AD$12=BO32,1,0.5)),1))</f>
        <v/>
      </c>
      <c r="ED32" s="244" t="str">
        <f aca="false">IF(BR32=0,"",(DW32*($ED$15/10)*(DX32+EA32*(BO32/$ED$15))*1)/3)</f>
        <v/>
      </c>
      <c r="EE32" s="244" t="str">
        <f aca="false">IF(BR32=0,"",(DW32*($EE$15/10)*(DY32+EB32*(BO32/$EE$15))*1)/3)</f>
        <v/>
      </c>
      <c r="EF32" s="244" t="str">
        <f aca="false">IF(BR32=0,"",(DW32*($EF$15/10)*(DZ32+EC32*(BO32/$EF$15))*1)/3)</f>
        <v/>
      </c>
      <c r="EG32" s="273" t="str">
        <f aca="false">IF(BR32=0,"",IF(CD32="SI",0.5,1))</f>
        <v/>
      </c>
      <c r="EH32" s="244" t="str">
        <f aca="false">IF(BR32=0,"",IF((1+0.33*(BO32/$ED$15))&lt;=1.33,(1+0.33*(BO32/$ED$15)),1.33))</f>
        <v/>
      </c>
      <c r="EI32" s="244" t="str">
        <f aca="false">IF(BR32=0,"",IF((1+0.33*(BO32/$EE$15))&lt;=1.33,(1+0.33*(BO32/$EE$15)),1.33))</f>
        <v/>
      </c>
      <c r="EJ32" s="244" t="str">
        <f aca="false">IF(BR32=0,"",IF((1+0.33*(BO32/$EF$15))&lt;=1.33,(1+0.33*(BO32/$EF$15)),1.33))</f>
        <v/>
      </c>
      <c r="EK32" s="244" t="str">
        <f aca="false">IF(BR32=0,"",IF($ED$15&lt;=1.2,((20*DC32*EG32*EH32)/3)*0.010197,((12.5*DC32*((($ED$15+0.3)^2)/$ED$15)*EG32*EH32)/3)*0.010197))</f>
        <v/>
      </c>
      <c r="EL32" s="244" t="str">
        <f aca="false">IF(BR32=0,"",IF($EE$15&lt;=1.2,((20*DC32*EG32*EI32)/3)*0.010197,((12.5*DC32*((($EE$15+0.3)^2)/$EE$15)*EG32*EI32)/3)*0.010197))</f>
        <v/>
      </c>
      <c r="EM32" s="244" t="str">
        <f aca="false">IF(BR32=0,"",IF($EF$15&lt;=1.2,((20*DC32*EG32*EJ32)/3)*0.010197,((12.5*DC32*((($EF$15+0.3)^2)/$EF$15)*EG32*EJ32)/3)*0.010197))</f>
        <v/>
      </c>
      <c r="EN32" s="248" t="str">
        <f aca="false">IF(BR32=0,"",SQRT(12*CC32)+25)</f>
        <v/>
      </c>
      <c r="EO32" s="248" t="str">
        <f aca="false">IF(BR32=0,"",28.5+0.25*CC32)</f>
        <v/>
      </c>
      <c r="EP32" s="248" t="str">
        <f aca="false">IF(BR32=0,"",SQRT(20*CC32)+15)</f>
        <v/>
      </c>
      <c r="EQ32" s="248" t="str">
        <f aca="false">IF(BR32=0,"",23.7+0.57*CC32-0.0006*CC32*CC32)</f>
        <v/>
      </c>
      <c r="ER32" s="248" t="str">
        <f aca="false">IF(BR32=0,"",15+SQRT(12.5*DC32))</f>
        <v/>
      </c>
      <c r="ES32" s="248" t="str">
        <f aca="false">IF(BR32=0,"",3.5*SQRT(CC32)+20)</f>
        <v/>
      </c>
      <c r="ET32" s="248" t="str">
        <f aca="false">IF(BR32=0,"",27.1+0.3*DC32-0.00054*DC32*DC32)</f>
        <v/>
      </c>
      <c r="EU32" s="248" t="str">
        <f aca="false">IF(BR32=0,"",SQRT(20*CC32)+20)</f>
        <v/>
      </c>
      <c r="EV32" s="248" t="str">
        <f aca="false">IF(BR32=0,"",12.79+SQRT(25.86*CC32))</f>
        <v/>
      </c>
      <c r="EW32" s="248" t="str">
        <f aca="false">IF(BR32=0,"",DEGREES(_xlfn.ACOT((CC32/(12.2+20.3*CR32))^0.34)))</f>
        <v/>
      </c>
      <c r="EX32" s="248" t="str">
        <f aca="false">IF(BR32=0,"",24+(5.77*LN(0.17*DC32)))</f>
        <v/>
      </c>
      <c r="EY32" s="248" t="str">
        <f aca="false">IF(BR32=0,"",(SUM(EN32:EX32)-MIN(EN32:EX32)-MAX(EN32:EX32))/9)</f>
        <v/>
      </c>
      <c r="EZ32" s="248" t="str">
        <f aca="false">IF(BR32=0,"", -0.0000000034*CC32^6 + 0.0000008305*CC32^5 - 0.0000741842*CC32^4 + 0.0030204278*CC32^3 - 0.0541594733*CC32^2 + 0.8083147848*CC32 - 0.6182191243)</f>
        <v/>
      </c>
      <c r="FA32" s="249" t="str">
        <f aca="false">IF(BR32=0,"",(0.134811827956989*CC32 - 0.0383064516129019)/2)</f>
        <v/>
      </c>
      <c r="FB32" s="249" t="str">
        <f aca="false">IF(BR32=0,"",CC32*0.065)</f>
        <v/>
      </c>
      <c r="FC32" s="249" t="str">
        <f aca="false">IF(BR32=0,"",(CC32*0.12*0.48)*SQRT((1+SIN(EZ32*((2*PI())/360))/(1-SIN(EZ32*((2*PI())/360))))))</f>
        <v/>
      </c>
      <c r="FD32" s="249" t="str">
        <f aca="false">IF(BR32=0,"",(CC32/8)/2)</f>
        <v/>
      </c>
      <c r="FE32" s="249" t="str">
        <f aca="false">IF(BR32=0,"",(SUM(FA32:FD32)-MIN(FA32:FD32)-MAX(FA32:FD32))/2)</f>
        <v/>
      </c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</row>
    <row r="33" customFormat="false" ht="9.75" hidden="false" customHeight="true" outlineLevel="0" collapsed="false">
      <c r="A33" s="197" t="n">
        <f aca="false">ROUND(A32+0.1,1)</f>
        <v>1.6</v>
      </c>
      <c r="B33" s="250" t="n">
        <f aca="false">+A33</f>
        <v>1.6</v>
      </c>
      <c r="C33" s="251"/>
      <c r="D33" s="275"/>
      <c r="E33" s="252"/>
      <c r="F33" s="253"/>
      <c r="G33" s="254"/>
      <c r="H33" s="284"/>
      <c r="I33" s="285"/>
      <c r="J33" s="257"/>
      <c r="K33" s="258"/>
      <c r="L33" s="259"/>
      <c r="M33" s="276"/>
      <c r="N33" s="277"/>
      <c r="O33" s="277"/>
      <c r="P33" s="277"/>
      <c r="Q33" s="260"/>
      <c r="R33" s="278"/>
      <c r="S33" s="278"/>
      <c r="T33" s="261"/>
      <c r="U33" s="261"/>
      <c r="V33" s="262"/>
      <c r="W33" s="262"/>
      <c r="X33" s="262"/>
      <c r="Y33" s="262"/>
      <c r="Z33" s="262"/>
      <c r="AA33" s="262"/>
      <c r="AB33" s="263"/>
      <c r="AC33" s="264"/>
      <c r="AD33" s="265"/>
      <c r="AE33" s="264"/>
      <c r="AF33" s="266"/>
      <c r="AG33" s="267"/>
      <c r="AH33" s="267"/>
      <c r="AI33" s="241"/>
      <c r="AJ33" s="241"/>
      <c r="AK33" s="266"/>
      <c r="AL33" s="266"/>
      <c r="AM33" s="268"/>
      <c r="AN33" s="250" t="n">
        <f aca="false">+AN31+0.2</f>
        <v>1.6</v>
      </c>
      <c r="AO33" s="251"/>
      <c r="AP33" s="275"/>
      <c r="AQ33" s="252"/>
      <c r="AR33" s="253"/>
      <c r="AS33" s="269" t="s">
        <v>13</v>
      </c>
      <c r="AT33" s="221"/>
      <c r="AU33" s="269"/>
      <c r="AV33" s="269"/>
      <c r="AW33" s="270" t="n">
        <f aca="false">+K33+L33</f>
        <v>0</v>
      </c>
      <c r="AX33" s="270" t="str">
        <f aca="false">IF(AS33="&gt;50","CONSISTENCIA",IF(AS33="&lt;50","COMPACIDAD"," "))</f>
        <v>COMPACIDAD</v>
      </c>
      <c r="AY33" s="225" t="str">
        <f aca="false">IF(AS33="&gt;50",AZ33,IF(AS33="&lt;50",BA33," "))</f>
        <v> </v>
      </c>
      <c r="AZ33" s="224" t="str">
        <f aca="false">IF(AW33=" "," ",IF(CC33=""," ",IF(CC33&lt;2,"MUY BLANDA",IF(CC33=2,"MUY BLANDA A BLANDA",IF(CC33&lt;4,"BLANDA",IF(CC33=4,"BLANDA A MEDIA",IF(CC33&lt;8,"MEDIA",IF(CC33=8,"MEDIA A FIRME",IF(CC33&lt;15,"FIRME",IF(CC33=15,"FIRME A MUY FIRME",IF(CC33&lt;30,"MUY FIRME",IF(CC33=30,"MUY FIRME A DURA","DURA"))))))))))))</f>
        <v> </v>
      </c>
      <c r="BA33" s="225" t="str">
        <f aca="false">IF(AW33=" "," ",IF(DC33=""," ",IF(DC33&lt;4,"MUY SUELTA",IF(DC33=4,"MUY SUELTA A SUELTA",IF(DC33&lt;10,"SUELTA",IF(DC33=10,"SUELTA A MEDIA",IF(DC33&lt;30,"MEDIA",IF(DC33=30,"MEDIA A DENSO",IF(DC33&lt;50,"DENSO",IF(DC33=50,"DENSO MUY DENSO","MUY DENSO"))))))))))</f>
        <v> </v>
      </c>
      <c r="BB33" s="226" t="str">
        <f aca="false">IF(BR34=0,"",CQ34*0.0101972)</f>
        <v/>
      </c>
      <c r="BC33" s="227" t="n">
        <f aca="false">+BC32+0.1</f>
        <v>1.6</v>
      </c>
      <c r="BD33" s="227" t="str">
        <f aca="false">IF(BC33&lt;=$AN$10,BC33,"")</f>
        <v/>
      </c>
      <c r="BE33" s="228" t="n">
        <f aca="false">ISNUMBER(BD33)</f>
        <v>0</v>
      </c>
      <c r="BF33" s="229" t="str">
        <f aca="false">MID(M33,1,1)</f>
        <v/>
      </c>
      <c r="BG33" s="230" t="str">
        <f aca="false">IF(BF33="S","",IF(BF33="G","",MID(M33,2,1)))</f>
        <v/>
      </c>
      <c r="BH33" s="231" t="str">
        <f aca="false">CONCATENATE(BF33,BG33)</f>
        <v/>
      </c>
      <c r="BI33" s="6" t="str">
        <f aca="false">IF(BE33=FALSE(),"",IF(BH33="",BI32,BH33))</f>
        <v/>
      </c>
      <c r="BJ33" s="74" t="str">
        <f aca="false">IF(OR(BI33="S",BI33="G"),BI33,"X")</f>
        <v>X</v>
      </c>
      <c r="BK33" s="74" t="s">
        <v>193</v>
      </c>
      <c r="BL33" s="286" t="e">
        <f aca="false">INDEX(sim_0,MATCH($BJ$33,granular,0))</f>
        <v>#NAME?</v>
      </c>
      <c r="BM33" s="286"/>
      <c r="BN33" s="6"/>
      <c r="BO33" s="191" t="n">
        <f aca="false">BO32+0.1</f>
        <v>1.6</v>
      </c>
      <c r="BP33" s="233" t="e">
        <f aca="false">IF(AW33=0,NA(),IF(AS33=$AX$3,ROUND(DC33,0),NA()))</f>
        <v>#N/A</v>
      </c>
      <c r="BQ33" s="31" t="e">
        <f aca="false">IF(AW33=0,NA(),IF(AS33=$AX$4,ROUND(CC33,0),NA()))</f>
        <v>#N/A</v>
      </c>
      <c r="BR33" s="234" t="n">
        <f aca="false">+AW33</f>
        <v>0</v>
      </c>
      <c r="BS33" s="235" t="str">
        <f aca="false">IF(BR33=0,"", -0.00000000016128755327*CC33^6 + 0.00000006709386362421*CC33^5 - 0.0000106217678052217*CC33^4 + 0.00081068114193385*CC33^3 - 0.0314027378159951*CC33^2 + 0.649796593937842*CC33 + 13.7888866455022)</f>
        <v/>
      </c>
      <c r="BT33" s="235" t="str">
        <f aca="false">IF(BR33=0,"",-0.00000000014625939695*CC33^6 + 0.00000004971732060241*CC33^5 - 0.000006683744342031*CC33^4 + 0.0004563177378098*CC33^3 - 0.0171727530635803*CC33^2 + 0.444529932876435*CC33 + 15.6692518940565)</f>
        <v/>
      </c>
      <c r="BU33" s="236" t="str">
        <f aca="false">IF(BR33=0,"", -0.0000000008152265738*BR33^6 + 0.00000022764320256987*BR33^5 - 0.0000248205675927705*BR33^4 + 0.00133186623684865*BR33^3 - 0.0368442570441677*BR33^2 + 0.580111565569094*BR33 + 14.0417598296107)</f>
        <v/>
      </c>
      <c r="BV33" s="236" t="str">
        <f aca="false">IF(BR33=0,"", -0.00000000004321395721*BR33^6 + 0.00000002531844275498*BR33^5 - 0.00000369428022780862*BR33^4 + 0.00020283665900125*BR33^3 - 0.00462426256803268*BR33^2 + 0.139572935065453*BR33 + 15.4475338156923)</f>
        <v/>
      </c>
      <c r="BW33" s="236" t="str">
        <f aca="false">IF(BR33=0,"",-0.00000000033126390082*BR33^6 + 0.00000010463660614506*BR33^5 - 0.0000129629592998707*BR33^4 + 0.000803946335250767*BR33^3 - 0.0270257140395994*BR33^2 + 0.562590210721552*BR33+ 12.1254107606419)</f>
        <v/>
      </c>
      <c r="BX33" s="236" t="str">
        <f aca="false">IF(BR33=0,"",-0.00000000002593504955*BR33^6 + 0.00000002430495156704*BR33^5 - 0.00000386103271086364*BR33^4 + 0.000214416118986322*BR33^3 - 0.0047271462612021*BR33^2 + 0.156696175741135*BR33 + 15.4598891949502)</f>
        <v/>
      </c>
      <c r="BY33" s="234" t="str">
        <f aca="false">IF(BR33=0,"",$BS$2)</f>
        <v/>
      </c>
      <c r="BZ33" s="234" t="str">
        <f aca="false">IF(BR33=0,"",$BS$3)</f>
        <v/>
      </c>
      <c r="CA33" s="234" t="str">
        <f aca="false">IF(BR33=0,"",$BS$4)</f>
        <v/>
      </c>
      <c r="CB33" s="235" t="str">
        <f aca="false">IF(BR33=0,"",IF(AND(BO33&gt;=0,BO33&lt;4),0.75,IF(AND(BO33&gt;=4,BO33&lt;6),0.85,IF(AND(BO33&gt;=6,BO33&lt;=10),0.95,1))))</f>
        <v/>
      </c>
      <c r="CC33" s="234" t="str">
        <f aca="false">IF(BR33=0,"",BR33*BY33*BZ33*CA33*CB33/60)</f>
        <v/>
      </c>
      <c r="CD33" s="238" t="str">
        <f aca="false">IF(BR33=0,"",IF($S$12="NO","NO",IF($AD$12&lt;=BO33,"SI","NO")))</f>
        <v/>
      </c>
      <c r="CE33" s="235" t="n">
        <f aca="false">IF(BR33=0,0,AB33)</f>
        <v>0</v>
      </c>
      <c r="CF33" s="235" t="n">
        <f aca="false">IF(CE33&gt;0,BO33,0)</f>
        <v>0</v>
      </c>
      <c r="CG33" s="239" t="n">
        <f aca="false">IF(CF33=0,CF33+CG32,CF33)</f>
        <v>0</v>
      </c>
      <c r="CH33" s="239" t="n">
        <f aca="false">IF(CG33=CG32,CH32,ABS(CG33-CG32))</f>
        <v>0</v>
      </c>
      <c r="CI33" s="239" t="n">
        <f aca="false">+CE33*CH33</f>
        <v>0</v>
      </c>
      <c r="CJ33" s="239" t="n">
        <f aca="false">IF(CI33=0,CI33+CJ32,CI33)</f>
        <v>0</v>
      </c>
      <c r="CK33" s="239" t="n">
        <f aca="false">IF(CJ33=CJ32,CK32,ABS(CJ33+CK32))</f>
        <v>0</v>
      </c>
      <c r="CL33" s="241" t="n">
        <f aca="false">IF(CE33=0,0,CK33)</f>
        <v>0</v>
      </c>
      <c r="CM33" s="239" t="n">
        <f aca="false">IF(CE33=0,0,CH33*9.81)</f>
        <v>0</v>
      </c>
      <c r="CN33" s="239" t="n">
        <f aca="false">IF(CM33=0,CM33+CN32,CM33)</f>
        <v>0</v>
      </c>
      <c r="CO33" s="239" t="n">
        <f aca="false">IF(CN33=CN32,CO32,ABS(CN33+CO32))</f>
        <v>0</v>
      </c>
      <c r="CP33" s="241" t="n">
        <f aca="false">IF(CD33="NO",0,IF(CE33=0,0,CO33))</f>
        <v>0</v>
      </c>
      <c r="CQ33" s="244" t="str">
        <f aca="false">IF(BR33=0,"",CL33-CP33)</f>
        <v/>
      </c>
      <c r="CR33" s="244" t="str">
        <f aca="false">IF(BR33=0,"",CQ33/101.3)</f>
        <v/>
      </c>
      <c r="CS33" s="244" t="str">
        <f aca="false">IF(BR33=0,"",LOG(10/CR33))</f>
        <v/>
      </c>
      <c r="CT33" s="243" t="str">
        <f aca="false">IF(BR33=0,"",IF(SQRT(101.3/CQ33)&lt;=1.7,SQRT(101.3/CQ33),2.2/(1.2+(CQ33/101.3))))</f>
        <v/>
      </c>
      <c r="CU33" s="244" t="str">
        <f aca="false">IF(BR33=0,"",1.7/(0.7+CR33))</f>
        <v/>
      </c>
      <c r="CV33" s="244" t="str">
        <f aca="false">IF(BR33=0,"",IF(CR33&gt;=0.25,0.77*LOG(20/CR33),""))</f>
        <v/>
      </c>
      <c r="CW33" s="244" t="str">
        <f aca="false">IF(BR33=0,"",32.5/(10.2+20.3*CR33))</f>
        <v/>
      </c>
      <c r="CX33" s="244" t="str">
        <f aca="false">IF(BR33=0,"",1-1.25*LOG(CR33))</f>
        <v/>
      </c>
      <c r="CY33" s="244" t="str">
        <f aca="false">IF(BR33=0,"",IF(CR33&lt;1,1-1.41*LOG(CR33),1+0.92*LOG(CR33)))</f>
        <v/>
      </c>
      <c r="CZ33" s="244" t="str">
        <f aca="false">IF(BR33=0,"",2/(1+CR33))</f>
        <v/>
      </c>
      <c r="DA33" s="244" t="str">
        <f aca="false">IF(BR33=0,"",IF(CR33&lt;=0.75,4/(1+4*CR33),4/(3.25+CR33)))</f>
        <v/>
      </c>
      <c r="DB33" s="244" t="str">
        <f aca="false">IF(BR33=0,"",CT33)</f>
        <v/>
      </c>
      <c r="DC33" s="244" t="str">
        <f aca="false">IF(BR33=0,"",DB33*CC33)</f>
        <v/>
      </c>
      <c r="DD33" s="244"/>
      <c r="DE33" s="244" t="str">
        <f aca="false">IF(BR33=0,"",0.193*(CC33/(CQ33*0.001))^0.689)</f>
        <v/>
      </c>
      <c r="DF33" s="244" t="str">
        <f aca="false">IF(BR33=0,"",IF(AS33=$AX$4,(0.1348118*CC33 - 0.0383065)*98.0665,""))</f>
        <v/>
      </c>
      <c r="DG33" s="244" t="str">
        <f aca="false">IF(BR33=0,"",IF(AS33=$AX$4,DF33/2,""))</f>
        <v/>
      </c>
      <c r="DH33" s="244" t="str">
        <f aca="false">IF(BR33=0,"",IF(DC33&lt;=15,12*(DC33+6),40+12*(DC33-6)))</f>
        <v/>
      </c>
      <c r="DI33" s="244" t="str">
        <f aca="false">IF(BR33=0,"",IF(CD33="SI",5*(DC33+15),((3.3*(DC33+15))+(4*(DC33+12)))/2))</f>
        <v/>
      </c>
      <c r="DJ33" s="244" t="str">
        <f aca="false">IF(BR33=0,"",8*DC33)</f>
        <v/>
      </c>
      <c r="DK33" s="244" t="str">
        <f aca="false">IF(BR33=0,"",215+(10.6*DC33))</f>
        <v/>
      </c>
      <c r="DL33" s="244" t="str">
        <f aca="false">IF(BR33=0,"",10*(7.5+(0.5*DC33)))</f>
        <v/>
      </c>
      <c r="DM33" s="244" t="str">
        <f aca="false">IF(BR33=0,"",8*DC33)</f>
        <v/>
      </c>
      <c r="DN33" s="244" t="str">
        <f aca="false">IF(AW33=" "," ",IF(DC33=""," ",IF(DC33&lt;4,10*10.2,IF(DC33=4,12*10.2,IF(DC33&lt;10,17.5*10.5,IF(DC33=10,15*10.2,IF(DC33&lt;30,22.5*10.2,IF(DC33=30,35*10.2,IF(DC33&lt;50,40*10.2,IF(DC33=50,50*10.2,55*10.2))))))))))</f>
        <v> </v>
      </c>
      <c r="DO33" s="244" t="str">
        <f aca="false">IF(BR33=0,"",7*SQRT(DC33)*10.1972)</f>
        <v/>
      </c>
      <c r="DP33" s="244" t="str">
        <f aca="false">IF(BR33=0,"",IF(AS33=$AX$4,5*CC33,""))</f>
        <v/>
      </c>
      <c r="DQ33" s="244" t="str">
        <f aca="false">IF(AW33=" "," ",IF(DC33=""," ",IF(DC33&lt;2,4*10.2,IF(DC33=2,6*10.2,IF(DC33&lt;4,12*10.2,IF(DC33=4,20*10.2,IF(DC33&lt;8,30*10.2,IF(DC33=8,35*10.2,IF(DC33&lt;15,40*10.2,IF(DC33=15,42*10.2,IF(DC33&lt;30,45*10.2,IF(DC33=30,50*10.2,70*10.2))))))))))))</f>
        <v> </v>
      </c>
      <c r="DR33" s="244" t="str">
        <f aca="false">IF(BR33=0,"",IF(AS33=$AX$4,220*DP33*0.0101972,""))</f>
        <v/>
      </c>
      <c r="DS33" s="271" t="str">
        <f aca="false">IF(BR33=0,"",IF(AS33=$AX$7,(SUM(DH33:DO33)-MIN(DH33:DO33)-MAX(DH33:DO33))/6,(SUM(DO33:DR33)-MIN(DO33:DR33)-MAX(DO33:DR33))/2))</f>
        <v/>
      </c>
      <c r="DT33" s="244" t="str">
        <f aca="false">IF(AW33=" "," ",IF(DC33=""," ",IF(DC33&lt;4,0.2,IF(DC33=4,0.27,IF(DC33&lt;10,0.33,IF(DC33=10,0.35,IF(DC33&lt;30,0.36,IF(DC33=30,0.37,IF(DC33&lt;50,0.38,IF(DC33=50,0.4,0.45))))))))))</f>
        <v> </v>
      </c>
      <c r="DU33" s="272" t="str">
        <f aca="false">IF(AW33=" "," ",IF(CC33=""," ",IF(CC33&lt;2,0.2,IF(CC33=2,0.23,IF(CC33&lt;4,0.26,IF(CC33=4,0.29,IF(CC33&lt;8,0.32,IF(CC33=8,0.35,IF(CC33&lt;15,0.38,IF(CC33=15,0.41,IF(CC33&lt;30,0.44,IF(CC33=30,0.47,0.5))))))))))))</f>
        <v> </v>
      </c>
      <c r="DV33" s="244" t="str">
        <f aca="false">IF(BR33=0,"",IF(AS33=$AX$3,DT33,DU33))</f>
        <v/>
      </c>
      <c r="DW33" s="244" t="str">
        <f aca="false">IF(BR33=0,"",IF(DC33&gt;15,15+0.5*(DC33-15),DC33))</f>
        <v/>
      </c>
      <c r="DX33" s="244" t="str">
        <f aca="false">IF(BR33=0,"",IF($S$12="SI",IF(CD33="NO",IF($AD$12&gt;(BO33+1.5*$ED$15),1,0.5),0.5),1))</f>
        <v/>
      </c>
      <c r="DY33" s="244" t="str">
        <f aca="false">IF(BR33=0,"",IF($S$12="SI",IF(CD33="NO",IF($AD$12&gt;(BO33+1.5*$EE$15),1,0.5),0.5),1))</f>
        <v/>
      </c>
      <c r="DZ33" s="244" t="str">
        <f aca="false">IF(BR33=0,"",IF($S$12="SI",IF(CD33="NO",IF($AD$12&gt;(BO33+1.5*$EF$15),1,0.5),0.5),1))</f>
        <v/>
      </c>
      <c r="EA33" s="244" t="str">
        <f aca="false">IF(BR33=0,"",IF($S$12="SI",IF(CD33="NO",IF($AD$12&gt;(BO33+1.5*$ED$15),1,0.5),IF($AD$12=BO33,1,0.5)),1))</f>
        <v/>
      </c>
      <c r="EB33" s="244" t="str">
        <f aca="false">IF(BR33=0,"",IF($S$12="SI",IF(CD33="NO",IF($AD$12&gt;(BO33+1.5*$EE$15),1,0.5),IF($AD$12=BO33,1,0.5)),1))</f>
        <v/>
      </c>
      <c r="EC33" s="244" t="str">
        <f aca="false">IF(BR33=0,"",IF($S$12="SI",IF(CD33="NO",IF($AD$12&gt;(BO33+1.5*$EF$15),1,0.5),IF($AD$12=BO33,1,0.5)),1))</f>
        <v/>
      </c>
      <c r="ED33" s="244" t="str">
        <f aca="false">IF(BR33=0,"",(DW33*($ED$15/10)*(DX33+EA33*(BO33/$ED$15))*1)/3)</f>
        <v/>
      </c>
      <c r="EE33" s="244" t="str">
        <f aca="false">IF(BR33=0,"",(DW33*($EE$15/10)*(DY33+EB33*(BO33/$EE$15))*1)/3)</f>
        <v/>
      </c>
      <c r="EF33" s="244" t="str">
        <f aca="false">IF(BR33=0,"",(DW33*($EF$15/10)*(DZ33+EC33*(BO33/$EF$15))*1)/3)</f>
        <v/>
      </c>
      <c r="EG33" s="273" t="str">
        <f aca="false">IF(BR33=0,"",IF(CD33="SI",0.5,1))</f>
        <v/>
      </c>
      <c r="EH33" s="244" t="str">
        <f aca="false">IF(BR33=0,"",IF((1+0.33*(BO33/$ED$15))&lt;=1.33,(1+0.33*(BO33/$ED$15)),1.33))</f>
        <v/>
      </c>
      <c r="EI33" s="244" t="str">
        <f aca="false">IF(BR33=0,"",IF((1+0.33*(BO33/$EE$15))&lt;=1.33,(1+0.33*(BO33/$EE$15)),1.33))</f>
        <v/>
      </c>
      <c r="EJ33" s="244" t="str">
        <f aca="false">IF(BR33=0,"",IF((1+0.33*(BO33/$EF$15))&lt;=1.33,(1+0.33*(BO33/$EF$15)),1.33))</f>
        <v/>
      </c>
      <c r="EK33" s="244" t="str">
        <f aca="false">IF(BR33=0,"",IF($ED$15&lt;=1.2,((20*DC33*EG33*EH33)/3)*0.010197,((12.5*DC33*((($ED$15+0.3)^2)/$ED$15)*EG33*EH33)/3)*0.010197))</f>
        <v/>
      </c>
      <c r="EL33" s="244" t="str">
        <f aca="false">IF(BR33=0,"",IF($EE$15&lt;=1.2,((20*DC33*EG33*EI33)/3)*0.010197,((12.5*DC33*((($EE$15+0.3)^2)/$EE$15)*EG33*EI33)/3)*0.010197))</f>
        <v/>
      </c>
      <c r="EM33" s="244" t="str">
        <f aca="false">IF(BR33=0,"",IF($EF$15&lt;=1.2,((20*DC33*EG33*EJ33)/3)*0.010197,((12.5*DC33*((($EF$15+0.3)^2)/$EF$15)*EG33*EJ33)/3)*0.010197))</f>
        <v/>
      </c>
      <c r="EN33" s="248" t="str">
        <f aca="false">IF(BR33=0,"",SQRT(12*CC33)+25)</f>
        <v/>
      </c>
      <c r="EO33" s="248" t="str">
        <f aca="false">IF(BR33=0,"",28.5+0.25*CC33)</f>
        <v/>
      </c>
      <c r="EP33" s="248" t="str">
        <f aca="false">IF(BR33=0,"",SQRT(20*CC33)+15)</f>
        <v/>
      </c>
      <c r="EQ33" s="248" t="str">
        <f aca="false">IF(BR33=0,"",23.7+0.57*CC33-0.0006*CC33*CC33)</f>
        <v/>
      </c>
      <c r="ER33" s="248" t="str">
        <f aca="false">IF(BR33=0,"",15+SQRT(12.5*DC33))</f>
        <v/>
      </c>
      <c r="ES33" s="248" t="str">
        <f aca="false">IF(BR33=0,"",3.5*SQRT(CC33)+20)</f>
        <v/>
      </c>
      <c r="ET33" s="248" t="str">
        <f aca="false">IF(BR33=0,"",27.1+0.3*DC33-0.00054*DC33*DC33)</f>
        <v/>
      </c>
      <c r="EU33" s="248" t="str">
        <f aca="false">IF(BR33=0,"",SQRT(20*CC33)+20)</f>
        <v/>
      </c>
      <c r="EV33" s="248" t="str">
        <f aca="false">IF(BR33=0,"",12.79+SQRT(25.86*CC33))</f>
        <v/>
      </c>
      <c r="EW33" s="248" t="str">
        <f aca="false">IF(BR33=0,"",DEGREES(_xlfn.ACOT((CC33/(12.2+20.3*CR33))^0.34)))</f>
        <v/>
      </c>
      <c r="EX33" s="248" t="str">
        <f aca="false">IF(BR33=0,"",24+(5.77*LN(0.17*DC33)))</f>
        <v/>
      </c>
      <c r="EY33" s="248" t="str">
        <f aca="false">IF(BR33=0,"",(SUM(EN33:EX33)-MIN(EN33:EX33)-MAX(EN33:EX33))/9)</f>
        <v/>
      </c>
      <c r="EZ33" s="248" t="str">
        <f aca="false">IF(BR33=0,"", -0.0000000034*CC33^6 + 0.0000008305*CC33^5 - 0.0000741842*CC33^4 + 0.0030204278*CC33^3 - 0.0541594733*CC33^2 + 0.8083147848*CC33 - 0.6182191243)</f>
        <v/>
      </c>
      <c r="FA33" s="249" t="str">
        <f aca="false">IF(BR33=0,"",(0.134811827956989*CC33 - 0.0383064516129019)/2)</f>
        <v/>
      </c>
      <c r="FB33" s="249" t="str">
        <f aca="false">IF(BR33=0,"",CC33*0.065)</f>
        <v/>
      </c>
      <c r="FC33" s="249" t="str">
        <f aca="false">IF(BR33=0,"",(CC33*0.12*0.48)*SQRT((1+SIN(EZ33*((2*PI())/360))/(1-SIN(EZ33*((2*PI())/360))))))</f>
        <v/>
      </c>
      <c r="FD33" s="249" t="str">
        <f aca="false">IF(BR33=0,"",(CC33/8)/2)</f>
        <v/>
      </c>
      <c r="FE33" s="249" t="str">
        <f aca="false">IF(BR33=0,"",(SUM(FA33:FD33)-MIN(FA33:FD33)-MAX(FA33:FD33))/2)</f>
        <v/>
      </c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</row>
    <row r="34" customFormat="false" ht="9.75" hidden="false" customHeight="true" outlineLevel="0" collapsed="false">
      <c r="A34" s="197" t="n">
        <f aca="false">ROUND(A33+0.1,1)</f>
        <v>1.7</v>
      </c>
      <c r="B34" s="250"/>
      <c r="C34" s="251"/>
      <c r="D34" s="251"/>
      <c r="E34" s="199"/>
      <c r="F34" s="200"/>
      <c r="G34" s="254"/>
      <c r="H34" s="284"/>
      <c r="I34" s="285"/>
      <c r="J34" s="257"/>
      <c r="K34" s="258"/>
      <c r="L34" s="259"/>
      <c r="M34" s="276"/>
      <c r="N34" s="277"/>
      <c r="O34" s="277"/>
      <c r="P34" s="277"/>
      <c r="Q34" s="260"/>
      <c r="R34" s="278"/>
      <c r="S34" s="278"/>
      <c r="T34" s="261"/>
      <c r="U34" s="261"/>
      <c r="V34" s="262"/>
      <c r="W34" s="262"/>
      <c r="X34" s="262"/>
      <c r="Y34" s="262"/>
      <c r="Z34" s="262"/>
      <c r="AA34" s="262"/>
      <c r="AB34" s="263"/>
      <c r="AC34" s="264"/>
      <c r="AD34" s="265"/>
      <c r="AE34" s="264"/>
      <c r="AF34" s="266"/>
      <c r="AG34" s="267"/>
      <c r="AH34" s="267"/>
      <c r="AI34" s="241"/>
      <c r="AJ34" s="241"/>
      <c r="AK34" s="266"/>
      <c r="AL34" s="266"/>
      <c r="AM34" s="268"/>
      <c r="AN34" s="250"/>
      <c r="AO34" s="251"/>
      <c r="AP34" s="251"/>
      <c r="AQ34" s="199"/>
      <c r="AR34" s="200"/>
      <c r="AS34" s="269" t="s">
        <v>13</v>
      </c>
      <c r="AT34" s="221"/>
      <c r="AU34" s="269"/>
      <c r="AV34" s="269"/>
      <c r="AW34" s="270" t="n">
        <f aca="false">+K34+L34</f>
        <v>0</v>
      </c>
      <c r="AX34" s="270" t="str">
        <f aca="false">IF(AS34="&gt;50","CONSISTENCIA",IF(AS34="&lt;50","COMPACIDAD"," "))</f>
        <v>COMPACIDAD</v>
      </c>
      <c r="AY34" s="225" t="str">
        <f aca="false">IF(AS34="&gt;50",AZ34,IF(AS34="&lt;50",BA34," "))</f>
        <v> </v>
      </c>
      <c r="AZ34" s="224" t="str">
        <f aca="false">IF(AW34=" "," ",IF(CC34=""," ",IF(CC34&lt;2,"MUY BLANDA",IF(CC34=2,"MUY BLANDA A BLANDA",IF(CC34&lt;4,"BLANDA",IF(CC34=4,"BLANDA A MEDIA",IF(CC34&lt;8,"MEDIA",IF(CC34=8,"MEDIA A FIRME",IF(CC34&lt;15,"FIRME",IF(CC34=15,"FIRME A MUY FIRME",IF(CC34&lt;30,"MUY FIRME",IF(CC34=30,"MUY FIRME A DURA","DURA"))))))))))))</f>
        <v> </v>
      </c>
      <c r="BA34" s="225" t="str">
        <f aca="false">IF(AW34=" "," ",IF(DC34=""," ",IF(DC34&lt;4,"MUY SUELTA",IF(DC34=4,"MUY SUELTA A SUELTA",IF(DC34&lt;10,"SUELTA",IF(DC34=10,"SUELTA A MEDIA",IF(DC34&lt;30,"MEDIA",IF(DC34=30,"MEDIA A DENSO",IF(DC34&lt;50,"DENSO",IF(DC34=50,"DENSO MUY DENSO","MUY DENSO"))))))))))</f>
        <v> </v>
      </c>
      <c r="BB34" s="226" t="str">
        <f aca="false">IF(BR35=0,"",CQ35*0.0101972)</f>
        <v/>
      </c>
      <c r="BC34" s="227" t="n">
        <f aca="false">+BC33+0.1</f>
        <v>1.7</v>
      </c>
      <c r="BD34" s="227" t="str">
        <f aca="false">IF(BC34&lt;=$AN$10,BC34,"")</f>
        <v/>
      </c>
      <c r="BE34" s="228" t="n">
        <f aca="false">ISNUMBER(BD34)</f>
        <v>0</v>
      </c>
      <c r="BF34" s="229" t="str">
        <f aca="false">MID(M34,1,1)</f>
        <v/>
      </c>
      <c r="BG34" s="230" t="str">
        <f aca="false">IF(BF34="S","",IF(BF34="G","",MID(M34,2,1)))</f>
        <v/>
      </c>
      <c r="BH34" s="231" t="str">
        <f aca="false">CONCATENATE(BF34,BG34)</f>
        <v/>
      </c>
      <c r="BI34" s="6" t="str">
        <f aca="false">IF(BE34=FALSE(),"",IF(BH34="",BI33,BH34))</f>
        <v/>
      </c>
      <c r="BJ34" s="74" t="str">
        <f aca="false">IF(OR(BI34="S",BI34="G"),BI34,"X")</f>
        <v>X</v>
      </c>
      <c r="BK34" s="74" t="s">
        <v>194</v>
      </c>
      <c r="BL34" s="286" t="e">
        <f aca="false">INDEX(sim_0,MATCH($BJ$34,granular,0))</f>
        <v>#NAME?</v>
      </c>
      <c r="BM34" s="286"/>
      <c r="BN34" s="6"/>
      <c r="BO34" s="191" t="n">
        <f aca="false">BO33+0.1</f>
        <v>1.7</v>
      </c>
      <c r="BP34" s="233" t="e">
        <f aca="false">IF(AW34=0,NA(),IF(AS34=$AX$3,ROUND(DC34,0),NA()))</f>
        <v>#N/A</v>
      </c>
      <c r="BQ34" s="31" t="e">
        <f aca="false">IF(AW34=0,NA(),IF(AS34=$AX$4,ROUND(CC34,0),NA()))</f>
        <v>#N/A</v>
      </c>
      <c r="BR34" s="234" t="n">
        <f aca="false">+AW34</f>
        <v>0</v>
      </c>
      <c r="BS34" s="235" t="str">
        <f aca="false">IF(BR34=0,"", -0.00000000016128755327*CC34^6 + 0.00000006709386362421*CC34^5 - 0.0000106217678052217*CC34^4 + 0.00081068114193385*CC34^3 - 0.0314027378159951*CC34^2 + 0.649796593937842*CC34 + 13.7888866455022)</f>
        <v/>
      </c>
      <c r="BT34" s="235" t="str">
        <f aca="false">IF(BR34=0,"",-0.00000000014625939695*CC34^6 + 0.00000004971732060241*CC34^5 - 0.000006683744342031*CC34^4 + 0.0004563177378098*CC34^3 - 0.0171727530635803*CC34^2 + 0.444529932876435*CC34 + 15.6692518940565)</f>
        <v/>
      </c>
      <c r="BU34" s="236" t="str">
        <f aca="false">IF(BR34=0,"", -0.0000000008152265738*BR34^6 + 0.00000022764320256987*BR34^5 - 0.0000248205675927705*BR34^4 + 0.00133186623684865*BR34^3 - 0.0368442570441677*BR34^2 + 0.580111565569094*BR34 + 14.0417598296107)</f>
        <v/>
      </c>
      <c r="BV34" s="236" t="str">
        <f aca="false">IF(BR34=0,"", -0.00000000004321395721*BR34^6 + 0.00000002531844275498*BR34^5 - 0.00000369428022780862*BR34^4 + 0.00020283665900125*BR34^3 - 0.00462426256803268*BR34^2 + 0.139572935065453*BR34 + 15.4475338156923)</f>
        <v/>
      </c>
      <c r="BW34" s="236" t="str">
        <f aca="false">IF(BR34=0,"",-0.00000000033126390082*BR34^6 + 0.00000010463660614506*BR34^5 - 0.0000129629592998707*BR34^4 + 0.000803946335250767*BR34^3 - 0.0270257140395994*BR34^2 + 0.562590210721552*BR34+ 12.1254107606419)</f>
        <v/>
      </c>
      <c r="BX34" s="236" t="str">
        <f aca="false">IF(BR34=0,"",-0.00000000002593504955*BR34^6 + 0.00000002430495156704*BR34^5 - 0.00000386103271086364*BR34^4 + 0.000214416118986322*BR34^3 - 0.0047271462612021*BR34^2 + 0.156696175741135*BR34 + 15.4598891949502)</f>
        <v/>
      </c>
      <c r="BY34" s="234" t="str">
        <f aca="false">IF(BR34=0,"",$BS$2)</f>
        <v/>
      </c>
      <c r="BZ34" s="234" t="str">
        <f aca="false">IF(BR34=0,"",$BS$3)</f>
        <v/>
      </c>
      <c r="CA34" s="234" t="str">
        <f aca="false">IF(BR34=0,"",$BS$4)</f>
        <v/>
      </c>
      <c r="CB34" s="235" t="str">
        <f aca="false">IF(BR34=0,"",IF(AND(BO34&gt;=0,BO34&lt;4),0.75,IF(AND(BO34&gt;=4,BO34&lt;6),0.85,IF(AND(BO34&gt;=6,BO34&lt;=10),0.95,1))))</f>
        <v/>
      </c>
      <c r="CC34" s="234" t="str">
        <f aca="false">IF(BR34=0,"",BR34*BY34*BZ34*CA34*CB34/60)</f>
        <v/>
      </c>
      <c r="CD34" s="238" t="str">
        <f aca="false">IF(BR34=0,"",IF($S$12="NO","NO",IF($AD$12&lt;=BO34,"SI","NO")))</f>
        <v/>
      </c>
      <c r="CE34" s="235" t="n">
        <f aca="false">IF(BR34=0,0,AB34)</f>
        <v>0</v>
      </c>
      <c r="CF34" s="235" t="n">
        <f aca="false">IF(CE34&gt;0,BO34,0)</f>
        <v>0</v>
      </c>
      <c r="CG34" s="239" t="n">
        <f aca="false">IF(CF34=0,CF34+CG33,CF34)</f>
        <v>0</v>
      </c>
      <c r="CH34" s="239" t="n">
        <f aca="false">IF(CG34=CG33,CH33,ABS(CG34-CG33))</f>
        <v>0</v>
      </c>
      <c r="CI34" s="239" t="n">
        <f aca="false">+CE34*CH34</f>
        <v>0</v>
      </c>
      <c r="CJ34" s="239" t="n">
        <f aca="false">IF(CI34=0,CI34+CJ33,CI34)</f>
        <v>0</v>
      </c>
      <c r="CK34" s="239" t="n">
        <f aca="false">IF(CJ34=CJ33,CK33,ABS(CJ34+CK33))</f>
        <v>0</v>
      </c>
      <c r="CL34" s="241" t="n">
        <f aca="false">IF(CE34=0,0,CK34)</f>
        <v>0</v>
      </c>
      <c r="CM34" s="239" t="n">
        <f aca="false">IF(CE34=0,0,CH34*9.81)</f>
        <v>0</v>
      </c>
      <c r="CN34" s="239" t="n">
        <f aca="false">IF(CM34=0,CM34+CN33,CM34)</f>
        <v>0</v>
      </c>
      <c r="CO34" s="239" t="n">
        <f aca="false">IF(CN34=CN33,CO33,ABS(CN34+CO33))</f>
        <v>0</v>
      </c>
      <c r="CP34" s="241" t="n">
        <f aca="false">IF(CD34="NO",0,IF(CE34=0,0,CO34))</f>
        <v>0</v>
      </c>
      <c r="CQ34" s="244" t="str">
        <f aca="false">IF(BR34=0,"",CL34-CP34)</f>
        <v/>
      </c>
      <c r="CR34" s="244" t="str">
        <f aca="false">IF(BR34=0,"",CQ34/101.3)</f>
        <v/>
      </c>
      <c r="CS34" s="244" t="str">
        <f aca="false">IF(BR34=0,"",LOG(10/CR34))</f>
        <v/>
      </c>
      <c r="CT34" s="243" t="str">
        <f aca="false">IF(BR34=0,"",IF(SQRT(101.3/CQ34)&lt;=1.7,SQRT(101.3/CQ34),2.2/(1.2+(CQ34/101.3))))</f>
        <v/>
      </c>
      <c r="CU34" s="244" t="str">
        <f aca="false">IF(BR34=0,"",1.7/(0.7+CR34))</f>
        <v/>
      </c>
      <c r="CV34" s="244" t="str">
        <f aca="false">IF(BR34=0,"",IF(CR34&gt;=0.25,0.77*LOG(20/CR34),""))</f>
        <v/>
      </c>
      <c r="CW34" s="244" t="str">
        <f aca="false">IF(BR34=0,"",32.5/(10.2+20.3*CR34))</f>
        <v/>
      </c>
      <c r="CX34" s="244" t="str">
        <f aca="false">IF(BR34=0,"",1-1.25*LOG(CR34))</f>
        <v/>
      </c>
      <c r="CY34" s="244" t="str">
        <f aca="false">IF(BR34=0,"",IF(CR34&lt;1,1-1.41*LOG(CR34),1+0.92*LOG(CR34)))</f>
        <v/>
      </c>
      <c r="CZ34" s="244" t="str">
        <f aca="false">IF(BR34=0,"",2/(1+CR34))</f>
        <v/>
      </c>
      <c r="DA34" s="244" t="str">
        <f aca="false">IF(BR34=0,"",IF(CR34&lt;=0.75,4/(1+4*CR34),4/(3.25+CR34)))</f>
        <v/>
      </c>
      <c r="DB34" s="244" t="str">
        <f aca="false">IF(BR34=0,"",CT34)</f>
        <v/>
      </c>
      <c r="DC34" s="244" t="str">
        <f aca="false">IF(BR34=0,"",DB34*CC34)</f>
        <v/>
      </c>
      <c r="DD34" s="244"/>
      <c r="DE34" s="244" t="str">
        <f aca="false">IF(BR34=0,"",0.193*(CC34/(CQ34*0.001))^0.689)</f>
        <v/>
      </c>
      <c r="DF34" s="244" t="str">
        <f aca="false">IF(BR34=0,"",IF(AS34=$AX$4,(0.1348118*CC34 - 0.0383065)*98.0665,""))</f>
        <v/>
      </c>
      <c r="DG34" s="244" t="str">
        <f aca="false">IF(BR34=0,"",IF(AS34=$AX$4,DF34/2,""))</f>
        <v/>
      </c>
      <c r="DH34" s="244" t="str">
        <f aca="false">IF(BR34=0,"",IF(DC34&lt;=15,12*(DC34+6),40+12*(DC34-6)))</f>
        <v/>
      </c>
      <c r="DI34" s="244" t="str">
        <f aca="false">IF(BR34=0,"",IF(CD34="SI",5*(DC34+15),((3.3*(DC34+15))+(4*(DC34+12)))/2))</f>
        <v/>
      </c>
      <c r="DJ34" s="244" t="str">
        <f aca="false">IF(BR34=0,"",8*DC34)</f>
        <v/>
      </c>
      <c r="DK34" s="244" t="str">
        <f aca="false">IF(BR34=0,"",215+(10.6*DC34))</f>
        <v/>
      </c>
      <c r="DL34" s="244" t="str">
        <f aca="false">IF(BR34=0,"",10*(7.5+(0.5*DC34)))</f>
        <v/>
      </c>
      <c r="DM34" s="244" t="str">
        <f aca="false">IF(BR34=0,"",8*DC34)</f>
        <v/>
      </c>
      <c r="DN34" s="244" t="str">
        <f aca="false">IF(AW34=" "," ",IF(DC34=""," ",IF(DC34&lt;4,10*10.2,IF(DC34=4,12*10.2,IF(DC34&lt;10,17.5*10.5,IF(DC34=10,15*10.2,IF(DC34&lt;30,22.5*10.2,IF(DC34=30,35*10.2,IF(DC34&lt;50,40*10.2,IF(DC34=50,50*10.2,55*10.2))))))))))</f>
        <v> </v>
      </c>
      <c r="DO34" s="244" t="str">
        <f aca="false">IF(BR34=0,"",7*SQRT(DC34)*10.1972)</f>
        <v/>
      </c>
      <c r="DP34" s="244" t="str">
        <f aca="false">IF(BR34=0,"",IF(AS34=$AX$4,5*CC34,""))</f>
        <v/>
      </c>
      <c r="DQ34" s="244" t="str">
        <f aca="false">IF(AW34=" "," ",IF(DC34=""," ",IF(DC34&lt;2,4*10.2,IF(DC34=2,6*10.2,IF(DC34&lt;4,12*10.2,IF(DC34=4,20*10.2,IF(DC34&lt;8,30*10.2,IF(DC34=8,35*10.2,IF(DC34&lt;15,40*10.2,IF(DC34=15,42*10.2,IF(DC34&lt;30,45*10.2,IF(DC34=30,50*10.2,70*10.2))))))))))))</f>
        <v> </v>
      </c>
      <c r="DR34" s="244" t="str">
        <f aca="false">IF(BR34=0,"",IF(AS34=$AX$4,220*DP34*0.0101972,""))</f>
        <v/>
      </c>
      <c r="DS34" s="271" t="str">
        <f aca="false">IF(BR34=0,"",IF(AS34=$AX$7,(SUM(DH34:DO34)-MIN(DH34:DO34)-MAX(DH34:DO34))/6,(SUM(DO34:DR34)-MIN(DO34:DR34)-MAX(DO34:DR34))/2))</f>
        <v/>
      </c>
      <c r="DT34" s="244" t="str">
        <f aca="false">IF(AW34=" "," ",IF(DC34=""," ",IF(DC34&lt;4,0.2,IF(DC34=4,0.27,IF(DC34&lt;10,0.33,IF(DC34=10,0.35,IF(DC34&lt;30,0.36,IF(DC34=30,0.37,IF(DC34&lt;50,0.38,IF(DC34=50,0.4,0.45))))))))))</f>
        <v> </v>
      </c>
      <c r="DU34" s="272" t="str">
        <f aca="false">IF(AW34=" "," ",IF(CC34=""," ",IF(CC34&lt;2,0.2,IF(CC34=2,0.23,IF(CC34&lt;4,0.26,IF(CC34=4,0.29,IF(CC34&lt;8,0.32,IF(CC34=8,0.35,IF(CC34&lt;15,0.38,IF(CC34=15,0.41,IF(CC34&lt;30,0.44,IF(CC34=30,0.47,0.5))))))))))))</f>
        <v> </v>
      </c>
      <c r="DV34" s="244" t="str">
        <f aca="false">IF(BR34=0,"",IF(AS34=$AX$3,DT34,DU34))</f>
        <v/>
      </c>
      <c r="DW34" s="244" t="str">
        <f aca="false">IF(BR34=0,"",IF(DC34&gt;15,15+0.5*(DC34-15),DC34))</f>
        <v/>
      </c>
      <c r="DX34" s="244" t="str">
        <f aca="false">IF(BR34=0,"",IF($S$12="SI",IF(CD34="NO",IF($AD$12&gt;(BO34+1.5*$ED$15),1,0.5),0.5),1))</f>
        <v/>
      </c>
      <c r="DY34" s="244" t="str">
        <f aca="false">IF(BR34=0,"",IF($S$12="SI",IF(CD34="NO",IF($AD$12&gt;(BO34+1.5*$EE$15),1,0.5),0.5),1))</f>
        <v/>
      </c>
      <c r="DZ34" s="244" t="str">
        <f aca="false">IF(BR34=0,"",IF($S$12="SI",IF(CD34="NO",IF($AD$12&gt;(BO34+1.5*$EF$15),1,0.5),0.5),1))</f>
        <v/>
      </c>
      <c r="EA34" s="244" t="str">
        <f aca="false">IF(BR34=0,"",IF($S$12="SI",IF(CD34="NO",IF($AD$12&gt;(BO34+1.5*$ED$15),1,0.5),IF($AD$12=BO34,1,0.5)),1))</f>
        <v/>
      </c>
      <c r="EB34" s="244" t="str">
        <f aca="false">IF(BR34=0,"",IF($S$12="SI",IF(CD34="NO",IF($AD$12&gt;(BO34+1.5*$EE$15),1,0.5),IF($AD$12=BO34,1,0.5)),1))</f>
        <v/>
      </c>
      <c r="EC34" s="244" t="str">
        <f aca="false">IF(BR34=0,"",IF($S$12="SI",IF(CD34="NO",IF($AD$12&gt;(BO34+1.5*$EF$15),1,0.5),IF($AD$12=BO34,1,0.5)),1))</f>
        <v/>
      </c>
      <c r="ED34" s="244" t="str">
        <f aca="false">IF(BR34=0,"",(DW34*($ED$15/10)*(DX34+EA34*(BO34/$ED$15))*1)/3)</f>
        <v/>
      </c>
      <c r="EE34" s="244" t="str">
        <f aca="false">IF(BR34=0,"",(DW34*($EE$15/10)*(DY34+EB34*(BO34/$EE$15))*1)/3)</f>
        <v/>
      </c>
      <c r="EF34" s="244" t="str">
        <f aca="false">IF(BR34=0,"",(DW34*($EF$15/10)*(DZ34+EC34*(BO34/$EF$15))*1)/3)</f>
        <v/>
      </c>
      <c r="EG34" s="273" t="str">
        <f aca="false">IF(BR34=0,"",IF(CD34="SI",0.5,1))</f>
        <v/>
      </c>
      <c r="EH34" s="244" t="str">
        <f aca="false">IF(BR34=0,"",IF((1+0.33*(BO34/$ED$15))&lt;=1.33,(1+0.33*(BO34/$ED$15)),1.33))</f>
        <v/>
      </c>
      <c r="EI34" s="244" t="str">
        <f aca="false">IF(BR34=0,"",IF((1+0.33*(BO34/$EE$15))&lt;=1.33,(1+0.33*(BO34/$EE$15)),1.33))</f>
        <v/>
      </c>
      <c r="EJ34" s="244" t="str">
        <f aca="false">IF(BR34=0,"",IF((1+0.33*(BO34/$EF$15))&lt;=1.33,(1+0.33*(BO34/$EF$15)),1.33))</f>
        <v/>
      </c>
      <c r="EK34" s="244" t="str">
        <f aca="false">IF(BR34=0,"",IF($ED$15&lt;=1.2,((20*DC34*EG34*EH34)/3)*0.010197,((12.5*DC34*((($ED$15+0.3)^2)/$ED$15)*EG34*EH34)/3)*0.010197))</f>
        <v/>
      </c>
      <c r="EL34" s="244" t="str">
        <f aca="false">IF(BR34=0,"",IF($EE$15&lt;=1.2,((20*DC34*EG34*EI34)/3)*0.010197,((12.5*DC34*((($EE$15+0.3)^2)/$EE$15)*EG34*EI34)/3)*0.010197))</f>
        <v/>
      </c>
      <c r="EM34" s="244" t="str">
        <f aca="false">IF(BR34=0,"",IF($EF$15&lt;=1.2,((20*DC34*EG34*EJ34)/3)*0.010197,((12.5*DC34*((($EF$15+0.3)^2)/$EF$15)*EG34*EJ34)/3)*0.010197))</f>
        <v/>
      </c>
      <c r="EN34" s="248" t="str">
        <f aca="false">IF(BR34=0,"",SQRT(12*CC34)+25)</f>
        <v/>
      </c>
      <c r="EO34" s="248" t="str">
        <f aca="false">IF(BR34=0,"",28.5+0.25*CC34)</f>
        <v/>
      </c>
      <c r="EP34" s="248" t="str">
        <f aca="false">IF(BR34=0,"",SQRT(20*CC34)+15)</f>
        <v/>
      </c>
      <c r="EQ34" s="248" t="str">
        <f aca="false">IF(BR34=0,"",23.7+0.57*CC34-0.0006*CC34*CC34)</f>
        <v/>
      </c>
      <c r="ER34" s="248" t="str">
        <f aca="false">IF(BR34=0,"",15+SQRT(12.5*DC34))</f>
        <v/>
      </c>
      <c r="ES34" s="248" t="str">
        <f aca="false">IF(BR34=0,"",3.5*SQRT(CC34)+20)</f>
        <v/>
      </c>
      <c r="ET34" s="248" t="str">
        <f aca="false">IF(BR34=0,"",27.1+0.3*DC34-0.00054*DC34*DC34)</f>
        <v/>
      </c>
      <c r="EU34" s="248" t="str">
        <f aca="false">IF(BR34=0,"",SQRT(20*CC34)+20)</f>
        <v/>
      </c>
      <c r="EV34" s="248" t="str">
        <f aca="false">IF(BR34=0,"",12.79+SQRT(25.86*CC34))</f>
        <v/>
      </c>
      <c r="EW34" s="248" t="str">
        <f aca="false">IF(BR34=0,"",DEGREES(_xlfn.ACOT((CC34/(12.2+20.3*CR34))^0.34)))</f>
        <v/>
      </c>
      <c r="EX34" s="248" t="str">
        <f aca="false">IF(BR34=0,"",24+(5.77*LN(0.17*DC34)))</f>
        <v/>
      </c>
      <c r="EY34" s="248" t="str">
        <f aca="false">IF(BR34=0,"",(SUM(EN34:EX34)-MIN(EN34:EX34)-MAX(EN34:EX34))/9)</f>
        <v/>
      </c>
      <c r="EZ34" s="248" t="str">
        <f aca="false">IF(BR34=0,"", -0.0000000034*CC34^6 + 0.0000008305*CC34^5 - 0.0000741842*CC34^4 + 0.0030204278*CC34^3 - 0.0541594733*CC34^2 + 0.8083147848*CC34 - 0.6182191243)</f>
        <v/>
      </c>
      <c r="FA34" s="249" t="str">
        <f aca="false">IF(BR34=0,"",(0.134811827956989*CC34 - 0.0383064516129019)/2)</f>
        <v/>
      </c>
      <c r="FB34" s="249" t="str">
        <f aca="false">IF(BR34=0,"",CC34*0.065)</f>
        <v/>
      </c>
      <c r="FC34" s="249" t="str">
        <f aca="false">IF(BR34=0,"",(CC34*0.12*0.48)*SQRT((1+SIN(EZ34*((2*PI())/360))/(1-SIN(EZ34*((2*PI())/360))))))</f>
        <v/>
      </c>
      <c r="FD34" s="249" t="str">
        <f aca="false">IF(BR34=0,"",(CC34/8)/2)</f>
        <v/>
      </c>
      <c r="FE34" s="249" t="str">
        <f aca="false">IF(BR34=0,"",(SUM(FA34:FD34)-MIN(FA34:FD34)-MAX(FA34:FD34))/2)</f>
        <v/>
      </c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</row>
    <row r="35" customFormat="false" ht="9.75" hidden="false" customHeight="true" outlineLevel="0" collapsed="false">
      <c r="A35" s="197" t="n">
        <f aca="false">ROUND(A34+0.1,1)</f>
        <v>1.8</v>
      </c>
      <c r="B35" s="250" t="n">
        <f aca="false">+A35</f>
        <v>1.8</v>
      </c>
      <c r="C35" s="251"/>
      <c r="D35" s="251"/>
      <c r="E35" s="274"/>
      <c r="F35" s="253"/>
      <c r="G35" s="254"/>
      <c r="H35" s="284"/>
      <c r="I35" s="285"/>
      <c r="J35" s="257"/>
      <c r="K35" s="258"/>
      <c r="L35" s="259"/>
      <c r="M35" s="276"/>
      <c r="N35" s="277"/>
      <c r="O35" s="277"/>
      <c r="P35" s="277"/>
      <c r="Q35" s="260"/>
      <c r="R35" s="278"/>
      <c r="S35" s="278"/>
      <c r="T35" s="261"/>
      <c r="U35" s="261"/>
      <c r="V35" s="262"/>
      <c r="W35" s="262"/>
      <c r="X35" s="262"/>
      <c r="Y35" s="262"/>
      <c r="Z35" s="262"/>
      <c r="AA35" s="262"/>
      <c r="AB35" s="263"/>
      <c r="AC35" s="264"/>
      <c r="AD35" s="265"/>
      <c r="AE35" s="264"/>
      <c r="AF35" s="266"/>
      <c r="AG35" s="267"/>
      <c r="AH35" s="267"/>
      <c r="AI35" s="241"/>
      <c r="AJ35" s="241"/>
      <c r="AK35" s="266"/>
      <c r="AL35" s="266"/>
      <c r="AM35" s="268"/>
      <c r="AN35" s="250" t="n">
        <f aca="false">+AN33+0.2</f>
        <v>1.8</v>
      </c>
      <c r="AO35" s="251"/>
      <c r="AP35" s="251"/>
      <c r="AQ35" s="274"/>
      <c r="AR35" s="253"/>
      <c r="AS35" s="269" t="s">
        <v>13</v>
      </c>
      <c r="AT35" s="221"/>
      <c r="AU35" s="269"/>
      <c r="AV35" s="269"/>
      <c r="AW35" s="270" t="n">
        <f aca="false">+K35+L35</f>
        <v>0</v>
      </c>
      <c r="AX35" s="270" t="str">
        <f aca="false">IF(AS35="&gt;50","CONSISTENCIA",IF(AS35="&lt;50","COMPACIDAD"," "))</f>
        <v>COMPACIDAD</v>
      </c>
      <c r="AY35" s="225" t="str">
        <f aca="false">IF(AS35="&gt;50",AZ35,IF(AS35="&lt;50",BA35," "))</f>
        <v> </v>
      </c>
      <c r="AZ35" s="224" t="str">
        <f aca="false">IF(AW35=" "," ",IF(CC35=""," ",IF(CC35&lt;2,"MUY BLANDA",IF(CC35=2,"MUY BLANDA A BLANDA",IF(CC35&lt;4,"BLANDA",IF(CC35=4,"BLANDA A MEDIA",IF(CC35&lt;8,"MEDIA",IF(CC35=8,"MEDIA A FIRME",IF(CC35&lt;15,"FIRME",IF(CC35=15,"FIRME A MUY FIRME",IF(CC35&lt;30,"MUY FIRME",IF(CC35=30,"MUY FIRME A DURA","DURA"))))))))))))</f>
        <v> </v>
      </c>
      <c r="BA35" s="225" t="str">
        <f aca="false">IF(AW35=" "," ",IF(DC35=""," ",IF(DC35&lt;4,"MUY SUELTA",IF(DC35=4,"MUY SUELTA A SUELTA",IF(DC35&lt;10,"SUELTA",IF(DC35=10,"SUELTA A MEDIA",IF(DC35&lt;30,"MEDIA",IF(DC35=30,"MEDIA A DENSO",IF(DC35&lt;50,"DENSO",IF(DC35=50,"DENSO MUY DENSO","MUY DENSO"))))))))))</f>
        <v> </v>
      </c>
      <c r="BB35" s="226" t="str">
        <f aca="false">IF(BR36=0,"",CQ36*0.0101972)</f>
        <v/>
      </c>
      <c r="BC35" s="227" t="n">
        <f aca="false">+BC34+0.1</f>
        <v>1.8</v>
      </c>
      <c r="BD35" s="227" t="str">
        <f aca="false">IF(BC35&lt;=$AN$10,BC35,"")</f>
        <v/>
      </c>
      <c r="BE35" s="228" t="n">
        <f aca="false">ISNUMBER(BD35)</f>
        <v>0</v>
      </c>
      <c r="BF35" s="229" t="str">
        <f aca="false">MID(M35,1,1)</f>
        <v/>
      </c>
      <c r="BG35" s="230" t="str">
        <f aca="false">IF(BF35="S","",IF(BF35="G","",MID(M35,2,1)))</f>
        <v/>
      </c>
      <c r="BH35" s="231" t="str">
        <f aca="false">CONCATENATE(BF35,BG35)</f>
        <v/>
      </c>
      <c r="BI35" s="6" t="str">
        <f aca="false">IF(BE35=FALSE(),"",IF(BH35="",BI34,BH35))</f>
        <v/>
      </c>
      <c r="BJ35" s="74" t="str">
        <f aca="false">IF(OR(BI35="S",BI35="G"),BI35,"X")</f>
        <v>X</v>
      </c>
      <c r="BK35" s="74" t="s">
        <v>195</v>
      </c>
      <c r="BL35" s="286" t="e">
        <f aca="false">INDEX(sim_0,MATCH($BJ$35,granular,0))</f>
        <v>#NAME?</v>
      </c>
      <c r="BM35" s="286"/>
      <c r="BN35" s="6"/>
      <c r="BO35" s="191" t="n">
        <f aca="false">BO34+0.1</f>
        <v>1.8</v>
      </c>
      <c r="BP35" s="233" t="e">
        <f aca="false">IF(AW35=0,NA(),IF(AS35=$AX$3,ROUND(DC35,0),NA()))</f>
        <v>#N/A</v>
      </c>
      <c r="BQ35" s="31" t="e">
        <f aca="false">IF(AW35=0,NA(),IF(AS35=$AX$4,ROUND(CC35,0),NA()))</f>
        <v>#N/A</v>
      </c>
      <c r="BR35" s="234" t="n">
        <f aca="false">+AW35</f>
        <v>0</v>
      </c>
      <c r="BS35" s="235" t="str">
        <f aca="false">IF(BR35=0,"", -0.00000000016128755327*CC35^6 + 0.00000006709386362421*CC35^5 - 0.0000106217678052217*CC35^4 + 0.00081068114193385*CC35^3 - 0.0314027378159951*CC35^2 + 0.649796593937842*CC35 + 13.7888866455022)</f>
        <v/>
      </c>
      <c r="BT35" s="235" t="str">
        <f aca="false">IF(BR35=0,"",-0.00000000014625939695*CC35^6 + 0.00000004971732060241*CC35^5 - 0.000006683744342031*CC35^4 + 0.0004563177378098*CC35^3 - 0.0171727530635803*CC35^2 + 0.444529932876435*CC35 + 15.6692518940565)</f>
        <v/>
      </c>
      <c r="BU35" s="236" t="str">
        <f aca="false">IF(BR35=0,"", -0.0000000008152265738*BR35^6 + 0.00000022764320256987*BR35^5 - 0.0000248205675927705*BR35^4 + 0.00133186623684865*BR35^3 - 0.0368442570441677*BR35^2 + 0.580111565569094*BR35 + 14.0417598296107)</f>
        <v/>
      </c>
      <c r="BV35" s="236" t="str">
        <f aca="false">IF(BR35=0,"", -0.00000000004321395721*BR35^6 + 0.00000002531844275498*BR35^5 - 0.00000369428022780862*BR35^4 + 0.00020283665900125*BR35^3 - 0.00462426256803268*BR35^2 + 0.139572935065453*BR35 + 15.4475338156923)</f>
        <v/>
      </c>
      <c r="BW35" s="236" t="str">
        <f aca="false">IF(BR35=0,"",-0.00000000033126390082*BR35^6 + 0.00000010463660614506*BR35^5 - 0.0000129629592998707*BR35^4 + 0.000803946335250767*BR35^3 - 0.0270257140395994*BR35^2 + 0.562590210721552*BR35+ 12.1254107606419)</f>
        <v/>
      </c>
      <c r="BX35" s="236" t="str">
        <f aca="false">IF(BR35=0,"",-0.00000000002593504955*BR35^6 + 0.00000002430495156704*BR35^5 - 0.00000386103271086364*BR35^4 + 0.000214416118986322*BR35^3 - 0.0047271462612021*BR35^2 + 0.156696175741135*BR35 + 15.4598891949502)</f>
        <v/>
      </c>
      <c r="BY35" s="234" t="str">
        <f aca="false">IF(BR35=0,"",$BS$2)</f>
        <v/>
      </c>
      <c r="BZ35" s="234" t="str">
        <f aca="false">IF(BR35=0,"",$BS$3)</f>
        <v/>
      </c>
      <c r="CA35" s="234" t="str">
        <f aca="false">IF(BR35=0,"",$BS$4)</f>
        <v/>
      </c>
      <c r="CB35" s="235" t="str">
        <f aca="false">IF(BR35=0,"",IF(AND(BO35&gt;=0,BO35&lt;4),0.75,IF(AND(BO35&gt;=4,BO35&lt;6),0.85,IF(AND(BO35&gt;=6,BO35&lt;=10),0.95,1))))</f>
        <v/>
      </c>
      <c r="CC35" s="234" t="str">
        <f aca="false">IF(BR35=0,"",BR35*BY35*BZ35*CA35*CB35/60)</f>
        <v/>
      </c>
      <c r="CD35" s="238" t="str">
        <f aca="false">IF(BR35=0,"",IF($S$12="NO","NO",IF($AD$12&lt;=BO35,"SI","NO")))</f>
        <v/>
      </c>
      <c r="CE35" s="235" t="n">
        <f aca="false">IF(BR35=0,0,AB35)</f>
        <v>0</v>
      </c>
      <c r="CF35" s="235" t="n">
        <f aca="false">IF(CE35&gt;0,BO35,0)</f>
        <v>0</v>
      </c>
      <c r="CG35" s="239" t="n">
        <f aca="false">IF(CF35=0,CF35+CG34,CF35)</f>
        <v>0</v>
      </c>
      <c r="CH35" s="239" t="n">
        <f aca="false">IF(CG35=CG34,CH34,ABS(CG35-CG34))</f>
        <v>0</v>
      </c>
      <c r="CI35" s="239" t="n">
        <f aca="false">+CE35*CH35</f>
        <v>0</v>
      </c>
      <c r="CJ35" s="239" t="n">
        <f aca="false">IF(CI35=0,CI35+CJ34,CI35)</f>
        <v>0</v>
      </c>
      <c r="CK35" s="239" t="n">
        <f aca="false">IF(CJ35=CJ34,CK34,ABS(CJ35+CK34))</f>
        <v>0</v>
      </c>
      <c r="CL35" s="241" t="n">
        <f aca="false">IF(CE35=0,0,CK35)</f>
        <v>0</v>
      </c>
      <c r="CM35" s="239" t="n">
        <f aca="false">IF(CE35=0,0,CH35*9.81)</f>
        <v>0</v>
      </c>
      <c r="CN35" s="239" t="n">
        <f aca="false">IF(CM35=0,CM35+CN34,CM35)</f>
        <v>0</v>
      </c>
      <c r="CO35" s="239" t="n">
        <f aca="false">IF(CN35=CN34,CO34,ABS(CN35+CO34))</f>
        <v>0</v>
      </c>
      <c r="CP35" s="241" t="n">
        <f aca="false">IF(CD35="NO",0,IF(CE35=0,0,CO35))</f>
        <v>0</v>
      </c>
      <c r="CQ35" s="244" t="str">
        <f aca="false">IF(BR35=0,"",CL35-CP35)</f>
        <v/>
      </c>
      <c r="CR35" s="244" t="str">
        <f aca="false">IF(BR35=0,"",CQ35/101.3)</f>
        <v/>
      </c>
      <c r="CS35" s="244" t="str">
        <f aca="false">IF(BR35=0,"",LOG(10/CR35))</f>
        <v/>
      </c>
      <c r="CT35" s="243" t="str">
        <f aca="false">IF(BR35=0,"",IF(SQRT(101.3/CQ35)&lt;=1.7,SQRT(101.3/CQ35),2.2/(1.2+(CQ35/101.3))))</f>
        <v/>
      </c>
      <c r="CU35" s="244" t="str">
        <f aca="false">IF(BR35=0,"",1.7/(0.7+CR35))</f>
        <v/>
      </c>
      <c r="CV35" s="244" t="str">
        <f aca="false">IF(BR35=0,"",IF(CR35&gt;=0.25,0.77*LOG(20/CR35),""))</f>
        <v/>
      </c>
      <c r="CW35" s="244" t="str">
        <f aca="false">IF(BR35=0,"",32.5/(10.2+20.3*CR35))</f>
        <v/>
      </c>
      <c r="CX35" s="244" t="str">
        <f aca="false">IF(BR35=0,"",1-1.25*LOG(CR35))</f>
        <v/>
      </c>
      <c r="CY35" s="244" t="str">
        <f aca="false">IF(BR35=0,"",IF(CR35&lt;1,1-1.41*LOG(CR35),1+0.92*LOG(CR35)))</f>
        <v/>
      </c>
      <c r="CZ35" s="244" t="str">
        <f aca="false">IF(BR35=0,"",2/(1+CR35))</f>
        <v/>
      </c>
      <c r="DA35" s="244" t="str">
        <f aca="false">IF(BR35=0,"",IF(CR35&lt;=0.75,4/(1+4*CR35),4/(3.25+CR35)))</f>
        <v/>
      </c>
      <c r="DB35" s="244" t="str">
        <f aca="false">IF(BR35=0,"",CT35)</f>
        <v/>
      </c>
      <c r="DC35" s="244" t="str">
        <f aca="false">IF(BR35=0,"",DB35*CC35)</f>
        <v/>
      </c>
      <c r="DD35" s="244"/>
      <c r="DE35" s="244" t="str">
        <f aca="false">IF(BR35=0,"",0.193*(CC35/(CQ35*0.001))^0.689)</f>
        <v/>
      </c>
      <c r="DF35" s="244" t="str">
        <f aca="false">IF(BR35=0,"",IF(AS35=$AX$4,(0.1348118*CC35 - 0.0383065)*98.0665,""))</f>
        <v/>
      </c>
      <c r="DG35" s="244" t="str">
        <f aca="false">IF(BR35=0,"",IF(AS35=$AX$4,DF35/2,""))</f>
        <v/>
      </c>
      <c r="DH35" s="244" t="str">
        <f aca="false">IF(BR35=0,"",IF(DC35&lt;=15,12*(DC35+6),40+12*(DC35-6)))</f>
        <v/>
      </c>
      <c r="DI35" s="244" t="str">
        <f aca="false">IF(BR35=0,"",IF(CD35="SI",5*(DC35+15),((3.3*(DC35+15))+(4*(DC35+12)))/2))</f>
        <v/>
      </c>
      <c r="DJ35" s="244" t="str">
        <f aca="false">IF(BR35=0,"",8*DC35)</f>
        <v/>
      </c>
      <c r="DK35" s="244" t="str">
        <f aca="false">IF(BR35=0,"",215+(10.6*DC35))</f>
        <v/>
      </c>
      <c r="DL35" s="244" t="str">
        <f aca="false">IF(BR35=0,"",10*(7.5+(0.5*DC35)))</f>
        <v/>
      </c>
      <c r="DM35" s="244" t="str">
        <f aca="false">IF(BR35=0,"",8*DC35)</f>
        <v/>
      </c>
      <c r="DN35" s="244" t="str">
        <f aca="false">IF(AW35=" "," ",IF(DC35=""," ",IF(DC35&lt;4,10*10.2,IF(DC35=4,12*10.2,IF(DC35&lt;10,17.5*10.5,IF(DC35=10,15*10.2,IF(DC35&lt;30,22.5*10.2,IF(DC35=30,35*10.2,IF(DC35&lt;50,40*10.2,IF(DC35=50,50*10.2,55*10.2))))))))))</f>
        <v> </v>
      </c>
      <c r="DO35" s="244" t="str">
        <f aca="false">IF(BR35=0,"",7*SQRT(DC35)*10.1972)</f>
        <v/>
      </c>
      <c r="DP35" s="244" t="str">
        <f aca="false">IF(BR35=0,"",IF(AS35=$AX$4,5*CC35,""))</f>
        <v/>
      </c>
      <c r="DQ35" s="244" t="str">
        <f aca="false">IF(AW35=" "," ",IF(DC35=""," ",IF(DC35&lt;2,4*10.2,IF(DC35=2,6*10.2,IF(DC35&lt;4,12*10.2,IF(DC35=4,20*10.2,IF(DC35&lt;8,30*10.2,IF(DC35=8,35*10.2,IF(DC35&lt;15,40*10.2,IF(DC35=15,42*10.2,IF(DC35&lt;30,45*10.2,IF(DC35=30,50*10.2,70*10.2))))))))))))</f>
        <v> </v>
      </c>
      <c r="DR35" s="244" t="str">
        <f aca="false">IF(BR35=0,"",IF(AS35=$AX$4,220*DP35*0.0101972,""))</f>
        <v/>
      </c>
      <c r="DS35" s="271" t="str">
        <f aca="false">IF(BR35=0,"",IF(AS35=$AX$7,(SUM(DH35:DO35)-MIN(DH35:DO35)-MAX(DH35:DO35))/6,(SUM(DO35:DR35)-MIN(DO35:DR35)-MAX(DO35:DR35))/2))</f>
        <v/>
      </c>
      <c r="DT35" s="244" t="str">
        <f aca="false">IF(AW35=" "," ",IF(DC35=""," ",IF(DC35&lt;4,0.2,IF(DC35=4,0.27,IF(DC35&lt;10,0.33,IF(DC35=10,0.35,IF(DC35&lt;30,0.36,IF(DC35=30,0.37,IF(DC35&lt;50,0.38,IF(DC35=50,0.4,0.45))))))))))</f>
        <v> </v>
      </c>
      <c r="DU35" s="272" t="str">
        <f aca="false">IF(AW35=" "," ",IF(CC35=""," ",IF(CC35&lt;2,0.2,IF(CC35=2,0.23,IF(CC35&lt;4,0.26,IF(CC35=4,0.29,IF(CC35&lt;8,0.32,IF(CC35=8,0.35,IF(CC35&lt;15,0.38,IF(CC35=15,0.41,IF(CC35&lt;30,0.44,IF(CC35=30,0.47,0.5))))))))))))</f>
        <v> </v>
      </c>
      <c r="DV35" s="244" t="str">
        <f aca="false">IF(BR35=0,"",IF(AS35=$AX$3,DT35,DU35))</f>
        <v/>
      </c>
      <c r="DW35" s="244" t="str">
        <f aca="false">IF(BR35=0,"",IF(DC35&gt;15,15+0.5*(DC35-15),DC35))</f>
        <v/>
      </c>
      <c r="DX35" s="244" t="str">
        <f aca="false">IF(BR35=0,"",IF($S$12="SI",IF(CD35="NO",IF($AD$12&gt;(BO35+1.5*$ED$15),1,0.5),0.5),1))</f>
        <v/>
      </c>
      <c r="DY35" s="244" t="str">
        <f aca="false">IF(BR35=0,"",IF($S$12="SI",IF(CD35="NO",IF($AD$12&gt;(BO35+1.5*$EE$15),1,0.5),0.5),1))</f>
        <v/>
      </c>
      <c r="DZ35" s="244" t="str">
        <f aca="false">IF(BR35=0,"",IF($S$12="SI",IF(CD35="NO",IF($AD$12&gt;(BO35+1.5*$EF$15),1,0.5),0.5),1))</f>
        <v/>
      </c>
      <c r="EA35" s="244" t="str">
        <f aca="false">IF(BR35=0,"",IF($S$12="SI",IF(CD35="NO",IF($AD$12&gt;(BO35+1.5*$ED$15),1,0.5),IF($AD$12=BO35,1,0.5)),1))</f>
        <v/>
      </c>
      <c r="EB35" s="244" t="str">
        <f aca="false">IF(BR35=0,"",IF($S$12="SI",IF(CD35="NO",IF($AD$12&gt;(BO35+1.5*$EE$15),1,0.5),IF($AD$12=BO35,1,0.5)),1))</f>
        <v/>
      </c>
      <c r="EC35" s="244" t="str">
        <f aca="false">IF(BR35=0,"",IF($S$12="SI",IF(CD35="NO",IF($AD$12&gt;(BO35+1.5*$EF$15),1,0.5),IF($AD$12=BO35,1,0.5)),1))</f>
        <v/>
      </c>
      <c r="ED35" s="244" t="str">
        <f aca="false">IF(BR35=0,"",(DW35*($ED$15/10)*(DX35+EA35*(BO35/$ED$15))*1)/3)</f>
        <v/>
      </c>
      <c r="EE35" s="244" t="str">
        <f aca="false">IF(BR35=0,"",(DW35*($EE$15/10)*(DY35+EB35*(BO35/$EE$15))*1)/3)</f>
        <v/>
      </c>
      <c r="EF35" s="244" t="str">
        <f aca="false">IF(BR35=0,"",(DW35*($EF$15/10)*(DZ35+EC35*(BO35/$EF$15))*1)/3)</f>
        <v/>
      </c>
      <c r="EG35" s="273" t="str">
        <f aca="false">IF(BR35=0,"",IF(CD35="SI",0.5,1))</f>
        <v/>
      </c>
      <c r="EH35" s="244" t="str">
        <f aca="false">IF(BR35=0,"",IF((1+0.33*(BO35/$ED$15))&lt;=1.33,(1+0.33*(BO35/$ED$15)),1.33))</f>
        <v/>
      </c>
      <c r="EI35" s="244" t="str">
        <f aca="false">IF(BR35=0,"",IF((1+0.33*(BO35/$EE$15))&lt;=1.33,(1+0.33*(BO35/$EE$15)),1.33))</f>
        <v/>
      </c>
      <c r="EJ35" s="244" t="str">
        <f aca="false">IF(BR35=0,"",IF((1+0.33*(BO35/$EF$15))&lt;=1.33,(1+0.33*(BO35/$EF$15)),1.33))</f>
        <v/>
      </c>
      <c r="EK35" s="244" t="str">
        <f aca="false">IF(BR35=0,"",IF($ED$15&lt;=1.2,((20*DC35*EG35*EH35)/3)*0.010197,((12.5*DC35*((($ED$15+0.3)^2)/$ED$15)*EG35*EH35)/3)*0.010197))</f>
        <v/>
      </c>
      <c r="EL35" s="244" t="str">
        <f aca="false">IF(BR35=0,"",IF($EE$15&lt;=1.2,((20*DC35*EG35*EI35)/3)*0.010197,((12.5*DC35*((($EE$15+0.3)^2)/$EE$15)*EG35*EI35)/3)*0.010197))</f>
        <v/>
      </c>
      <c r="EM35" s="244" t="str">
        <f aca="false">IF(BR35=0,"",IF($EF$15&lt;=1.2,((20*DC35*EG35*EJ35)/3)*0.010197,((12.5*DC35*((($EF$15+0.3)^2)/$EF$15)*EG35*EJ35)/3)*0.010197))</f>
        <v/>
      </c>
      <c r="EN35" s="248" t="str">
        <f aca="false">IF(BR35=0,"",SQRT(12*CC35)+25)</f>
        <v/>
      </c>
      <c r="EO35" s="248" t="str">
        <f aca="false">IF(BR35=0,"",28.5+0.25*CC35)</f>
        <v/>
      </c>
      <c r="EP35" s="248" t="str">
        <f aca="false">IF(BR35=0,"",SQRT(20*CC35)+15)</f>
        <v/>
      </c>
      <c r="EQ35" s="248" t="str">
        <f aca="false">IF(BR35=0,"",23.7+0.57*CC35-0.0006*CC35*CC35)</f>
        <v/>
      </c>
      <c r="ER35" s="248" t="str">
        <f aca="false">IF(BR35=0,"",15+SQRT(12.5*DC35))</f>
        <v/>
      </c>
      <c r="ES35" s="248" t="str">
        <f aca="false">IF(BR35=0,"",3.5*SQRT(CC35)+20)</f>
        <v/>
      </c>
      <c r="ET35" s="248" t="str">
        <f aca="false">IF(BR35=0,"",27.1+0.3*DC35-0.00054*DC35*DC35)</f>
        <v/>
      </c>
      <c r="EU35" s="248" t="str">
        <f aca="false">IF(BR35=0,"",SQRT(20*CC35)+20)</f>
        <v/>
      </c>
      <c r="EV35" s="248" t="str">
        <f aca="false">IF(BR35=0,"",12.79+SQRT(25.86*CC35))</f>
        <v/>
      </c>
      <c r="EW35" s="248" t="str">
        <f aca="false">IF(BR35=0,"",DEGREES(_xlfn.ACOT((CC35/(12.2+20.3*CR35))^0.34)))</f>
        <v/>
      </c>
      <c r="EX35" s="248" t="str">
        <f aca="false">IF(BR35=0,"",24+(5.77*LN(0.17*DC35)))</f>
        <v/>
      </c>
      <c r="EY35" s="248" t="str">
        <f aca="false">IF(BR35=0,"",(SUM(EN35:EX35)-MIN(EN35:EX35)-MAX(EN35:EX35))/9)</f>
        <v/>
      </c>
      <c r="EZ35" s="248" t="str">
        <f aca="false">IF(BR35=0,"", -0.0000000034*CC35^6 + 0.0000008305*CC35^5 - 0.0000741842*CC35^4 + 0.0030204278*CC35^3 - 0.0541594733*CC35^2 + 0.8083147848*CC35 - 0.6182191243)</f>
        <v/>
      </c>
      <c r="FA35" s="249" t="str">
        <f aca="false">IF(BR35=0,"",(0.134811827956989*CC35 - 0.0383064516129019)/2)</f>
        <v/>
      </c>
      <c r="FB35" s="249" t="str">
        <f aca="false">IF(BR35=0,"",CC35*0.065)</f>
        <v/>
      </c>
      <c r="FC35" s="249" t="str">
        <f aca="false">IF(BR35=0,"",(CC35*0.12*0.48)*SQRT((1+SIN(EZ35*((2*PI())/360))/(1-SIN(EZ35*((2*PI())/360))))))</f>
        <v/>
      </c>
      <c r="FD35" s="249" t="str">
        <f aca="false">IF(BR35=0,"",(CC35/8)/2)</f>
        <v/>
      </c>
      <c r="FE35" s="249" t="str">
        <f aca="false">IF(BR35=0,"",(SUM(FA35:FD35)-MIN(FA35:FD35)-MAX(FA35:FD35))/2)</f>
        <v/>
      </c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</row>
    <row r="36" customFormat="false" ht="9.75" hidden="false" customHeight="true" outlineLevel="0" collapsed="false">
      <c r="A36" s="197" t="n">
        <f aca="false">ROUND(A35+0.1,1)</f>
        <v>1.9</v>
      </c>
      <c r="B36" s="250"/>
      <c r="C36" s="251"/>
      <c r="D36" s="251"/>
      <c r="E36" s="199"/>
      <c r="F36" s="200"/>
      <c r="G36" s="279"/>
      <c r="H36" s="280"/>
      <c r="I36" s="280"/>
      <c r="J36" s="257"/>
      <c r="K36" s="258"/>
      <c r="L36" s="259"/>
      <c r="M36" s="276"/>
      <c r="N36" s="277"/>
      <c r="O36" s="277"/>
      <c r="P36" s="277"/>
      <c r="Q36" s="260"/>
      <c r="R36" s="278"/>
      <c r="S36" s="278"/>
      <c r="T36" s="261"/>
      <c r="U36" s="261"/>
      <c r="V36" s="262"/>
      <c r="W36" s="262"/>
      <c r="X36" s="262"/>
      <c r="Y36" s="262"/>
      <c r="Z36" s="262"/>
      <c r="AA36" s="262"/>
      <c r="AB36" s="263"/>
      <c r="AC36" s="264"/>
      <c r="AD36" s="265"/>
      <c r="AE36" s="264"/>
      <c r="AF36" s="266"/>
      <c r="AG36" s="267"/>
      <c r="AH36" s="267"/>
      <c r="AI36" s="241"/>
      <c r="AJ36" s="241"/>
      <c r="AK36" s="266"/>
      <c r="AL36" s="266"/>
      <c r="AM36" s="268"/>
      <c r="AN36" s="250"/>
      <c r="AO36" s="251"/>
      <c r="AP36" s="251"/>
      <c r="AQ36" s="199"/>
      <c r="AR36" s="200"/>
      <c r="AS36" s="269" t="s">
        <v>13</v>
      </c>
      <c r="AT36" s="221"/>
      <c r="AU36" s="269"/>
      <c r="AV36" s="269"/>
      <c r="AW36" s="270" t="n">
        <f aca="false">+K36+L36</f>
        <v>0</v>
      </c>
      <c r="AX36" s="270" t="str">
        <f aca="false">IF(AS36="&gt;50","CONSISTENCIA",IF(AS36="&lt;50","COMPACIDAD"," "))</f>
        <v>COMPACIDAD</v>
      </c>
      <c r="AY36" s="225" t="str">
        <f aca="false">IF(AS36="&gt;50",AZ36,IF(AS36="&lt;50",BA36," "))</f>
        <v> </v>
      </c>
      <c r="AZ36" s="224" t="str">
        <f aca="false">IF(AW36=" "," ",IF(CC36=""," ",IF(CC36&lt;2,"MUY BLANDA",IF(CC36=2,"MUY BLANDA A BLANDA",IF(CC36&lt;4,"BLANDA",IF(CC36=4,"BLANDA A MEDIA",IF(CC36&lt;8,"MEDIA",IF(CC36=8,"MEDIA A FIRME",IF(CC36&lt;15,"FIRME",IF(CC36=15,"FIRME A MUY FIRME",IF(CC36&lt;30,"MUY FIRME",IF(CC36=30,"MUY FIRME A DURA","DURA"))))))))))))</f>
        <v> </v>
      </c>
      <c r="BA36" s="225" t="str">
        <f aca="false">IF(AW36=" "," ",IF(DC36=""," ",IF(DC36&lt;4,"MUY SUELTA",IF(DC36=4,"MUY SUELTA A SUELTA",IF(DC36&lt;10,"SUELTA",IF(DC36=10,"SUELTA A MEDIA",IF(DC36&lt;30,"MEDIA",IF(DC36=30,"MEDIA A DENSO",IF(DC36&lt;50,"DENSO",IF(DC36=50,"DENSO MUY DENSO","MUY DENSO"))))))))))</f>
        <v> </v>
      </c>
      <c r="BB36" s="290" t="str">
        <f aca="false">IF(BR37=0,"",CQ37*0.0101972)</f>
        <v/>
      </c>
      <c r="BC36" s="227" t="n">
        <f aca="false">+BC35+0.1</f>
        <v>1.9</v>
      </c>
      <c r="BD36" s="227" t="str">
        <f aca="false">IF(BC36&lt;=$AN$10,BC36,"")</f>
        <v/>
      </c>
      <c r="BE36" s="228" t="n">
        <f aca="false">ISNUMBER(BD36)</f>
        <v>0</v>
      </c>
      <c r="BF36" s="229" t="str">
        <f aca="false">MID(M36,1,1)</f>
        <v/>
      </c>
      <c r="BG36" s="230" t="str">
        <f aca="false">IF(BF36="S","",IF(BF36="G","",MID(M36,2,1)))</f>
        <v/>
      </c>
      <c r="BH36" s="231" t="str">
        <f aca="false">CONCATENATE(BF36,BG36)</f>
        <v/>
      </c>
      <c r="BI36" s="6" t="str">
        <f aca="false">IF(BE36=FALSE(),"",IF(BH36="",BI35,BH36))</f>
        <v/>
      </c>
      <c r="BJ36" s="74" t="str">
        <f aca="false">IF(OR(BI36="S",BI36="G"),BI36,"X")</f>
        <v>X</v>
      </c>
      <c r="BK36" s="74" t="s">
        <v>196</v>
      </c>
      <c r="BL36" s="286" t="e">
        <f aca="false">INDEX(sim_0,MATCH($BJ$36,granular,0))</f>
        <v>#NAME?</v>
      </c>
      <c r="BM36" s="286"/>
      <c r="BN36" s="6"/>
      <c r="BO36" s="191" t="n">
        <f aca="false">BO35+0.1</f>
        <v>1.9</v>
      </c>
      <c r="BP36" s="233" t="e">
        <f aca="false">IF(AW36=0,NA(),IF(AS36=$AX$3,ROUND(DC36,0),NA()))</f>
        <v>#N/A</v>
      </c>
      <c r="BQ36" s="31" t="e">
        <f aca="false">IF(AW36=0,NA(),IF(AS36=$AX$4,ROUND(CC36,0),NA()))</f>
        <v>#N/A</v>
      </c>
      <c r="BR36" s="234" t="n">
        <f aca="false">+AW36</f>
        <v>0</v>
      </c>
      <c r="BS36" s="235" t="str">
        <f aca="false">IF(BR36=0,"", -0.00000000016128755327*CC36^6 + 0.00000006709386362421*CC36^5 - 0.0000106217678052217*CC36^4 + 0.00081068114193385*CC36^3 - 0.0314027378159951*CC36^2 + 0.649796593937842*CC36 + 13.7888866455022)</f>
        <v/>
      </c>
      <c r="BT36" s="235" t="str">
        <f aca="false">IF(BR36=0,"",-0.00000000014625939695*CC36^6 + 0.00000004971732060241*CC36^5 - 0.000006683744342031*CC36^4 + 0.0004563177378098*CC36^3 - 0.0171727530635803*CC36^2 + 0.444529932876435*CC36 + 15.6692518940565)</f>
        <v/>
      </c>
      <c r="BU36" s="236" t="str">
        <f aca="false">IF(BR36=0,"", -0.0000000008152265738*BR36^6 + 0.00000022764320256987*BR36^5 - 0.0000248205675927705*BR36^4 + 0.00133186623684865*BR36^3 - 0.0368442570441677*BR36^2 + 0.580111565569094*BR36 + 14.0417598296107)</f>
        <v/>
      </c>
      <c r="BV36" s="236" t="str">
        <f aca="false">IF(BR36=0,"", -0.00000000004321395721*BR36^6 + 0.00000002531844275498*BR36^5 - 0.00000369428022780862*BR36^4 + 0.00020283665900125*BR36^3 - 0.00462426256803268*BR36^2 + 0.139572935065453*BR36 + 15.4475338156923)</f>
        <v/>
      </c>
      <c r="BW36" s="236" t="str">
        <f aca="false">IF(BR36=0,"",-0.00000000033126390082*BR36^6 + 0.00000010463660614506*BR36^5 - 0.0000129629592998707*BR36^4 + 0.000803946335250767*BR36^3 - 0.0270257140395994*BR36^2 + 0.562590210721552*BR36+ 12.1254107606419)</f>
        <v/>
      </c>
      <c r="BX36" s="236" t="str">
        <f aca="false">IF(BR36=0,"",-0.00000000002593504955*BR36^6 + 0.00000002430495156704*BR36^5 - 0.00000386103271086364*BR36^4 + 0.000214416118986322*BR36^3 - 0.0047271462612021*BR36^2 + 0.156696175741135*BR36 + 15.4598891949502)</f>
        <v/>
      </c>
      <c r="BY36" s="234" t="str">
        <f aca="false">IF(BR36=0,"",$BS$2)</f>
        <v/>
      </c>
      <c r="BZ36" s="234" t="str">
        <f aca="false">IF(BR36=0,"",$BS$3)</f>
        <v/>
      </c>
      <c r="CA36" s="234" t="str">
        <f aca="false">IF(BR36=0,"",$BS$4)</f>
        <v/>
      </c>
      <c r="CB36" s="235" t="str">
        <f aca="false">IF(BR36=0,"",IF(AND(BO36&gt;=0,BO36&lt;4),0.75,IF(AND(BO36&gt;=4,BO36&lt;6),0.85,IF(AND(BO36&gt;=6,BO36&lt;=10),0.95,1))))</f>
        <v/>
      </c>
      <c r="CC36" s="234" t="str">
        <f aca="false">IF(BR36=0,"",BR36*BY36*BZ36*CA36*CB36/60)</f>
        <v/>
      </c>
      <c r="CD36" s="238" t="str">
        <f aca="false">IF(BR36=0,"",IF($S$12="NO","NO",IF($AD$12&lt;=BO36,"SI","NO")))</f>
        <v/>
      </c>
      <c r="CE36" s="235" t="n">
        <f aca="false">IF(BR36=0,0,AB36)</f>
        <v>0</v>
      </c>
      <c r="CF36" s="235" t="n">
        <f aca="false">IF(CE36&gt;0,BO36,0)</f>
        <v>0</v>
      </c>
      <c r="CG36" s="239" t="n">
        <f aca="false">IF(CF36=0,CF36+CG35,CF36)</f>
        <v>0</v>
      </c>
      <c r="CH36" s="239" t="n">
        <f aca="false">IF(CG36=CG35,CH35,ABS(CG36-CG35))</f>
        <v>0</v>
      </c>
      <c r="CI36" s="239" t="n">
        <f aca="false">+CE36*CH36</f>
        <v>0</v>
      </c>
      <c r="CJ36" s="239" t="n">
        <f aca="false">IF(CI36=0,CI36+CJ35,CI36)</f>
        <v>0</v>
      </c>
      <c r="CK36" s="239" t="n">
        <f aca="false">IF(CJ36=CJ35,CK35,ABS(CJ36+CK35))</f>
        <v>0</v>
      </c>
      <c r="CL36" s="241" t="n">
        <f aca="false">IF(CE36=0,0,CK36)</f>
        <v>0</v>
      </c>
      <c r="CM36" s="239" t="n">
        <f aca="false">IF(CE36=0,0,CH36*9.81)</f>
        <v>0</v>
      </c>
      <c r="CN36" s="239" t="n">
        <f aca="false">IF(CM36=0,CM36+CN35,CM36)</f>
        <v>0</v>
      </c>
      <c r="CO36" s="239" t="n">
        <f aca="false">IF(CN36=CN35,CO35,ABS(CN36+CO35))</f>
        <v>0</v>
      </c>
      <c r="CP36" s="241" t="n">
        <f aca="false">IF(CD36="NO",0,IF(CE36=0,0,CO36))</f>
        <v>0</v>
      </c>
      <c r="CQ36" s="244" t="str">
        <f aca="false">IF(BR36=0,"",CL36-CP36)</f>
        <v/>
      </c>
      <c r="CR36" s="244" t="str">
        <f aca="false">IF(BR36=0,"",CQ36/101.3)</f>
        <v/>
      </c>
      <c r="CS36" s="244" t="str">
        <f aca="false">IF(BR36=0,"",LOG(10/CR36))</f>
        <v/>
      </c>
      <c r="CT36" s="243" t="str">
        <f aca="false">IF(BR36=0,"",IF(SQRT(101.3/CQ36)&lt;=1.7,SQRT(101.3/CQ36),2.2/(1.2+(CQ36/101.3))))</f>
        <v/>
      </c>
      <c r="CU36" s="244" t="str">
        <f aca="false">IF(BR36=0,"",1.7/(0.7+CR36))</f>
        <v/>
      </c>
      <c r="CV36" s="244" t="str">
        <f aca="false">IF(BR36=0,"",IF(CR36&gt;=0.25,0.77*LOG(20/CR36),""))</f>
        <v/>
      </c>
      <c r="CW36" s="244" t="str">
        <f aca="false">IF(BR36=0,"",32.5/(10.2+20.3*CR36))</f>
        <v/>
      </c>
      <c r="CX36" s="244" t="str">
        <f aca="false">IF(BR36=0,"",1-1.25*LOG(CR36))</f>
        <v/>
      </c>
      <c r="CY36" s="244" t="str">
        <f aca="false">IF(BR36=0,"",IF(CR36&lt;1,1-1.41*LOG(CR36),1+0.92*LOG(CR36)))</f>
        <v/>
      </c>
      <c r="CZ36" s="244" t="str">
        <f aca="false">IF(BR36=0,"",2/(1+CR36))</f>
        <v/>
      </c>
      <c r="DA36" s="244" t="str">
        <f aca="false">IF(BR36=0,"",IF(CR36&lt;=0.75,4/(1+4*CR36),4/(3.25+CR36)))</f>
        <v/>
      </c>
      <c r="DB36" s="244" t="str">
        <f aca="false">IF(BR36=0,"",CT36)</f>
        <v/>
      </c>
      <c r="DC36" s="244" t="str">
        <f aca="false">IF(BR36=0,"",DB36*CC36)</f>
        <v/>
      </c>
      <c r="DD36" s="244"/>
      <c r="DE36" s="244" t="str">
        <f aca="false">IF(BR36=0,"",0.193*(CC36/(CQ36*0.001))^0.689)</f>
        <v/>
      </c>
      <c r="DF36" s="244" t="str">
        <f aca="false">IF(BR36=0,"",IF(AS36=$AX$4,(0.1348118*CC36 - 0.0383065)*98.0665,""))</f>
        <v/>
      </c>
      <c r="DG36" s="244" t="str">
        <f aca="false">IF(BR36=0,"",IF(AS36=$AX$4,DF36/2,""))</f>
        <v/>
      </c>
      <c r="DH36" s="244" t="str">
        <f aca="false">IF(BR36=0,"",IF(DC36&lt;=15,12*(DC36+6),40+12*(DC36-6)))</f>
        <v/>
      </c>
      <c r="DI36" s="244" t="str">
        <f aca="false">IF(BR36=0,"",IF(CD36="SI",5*(DC36+15),((3.3*(DC36+15))+(4*(DC36+12)))/2))</f>
        <v/>
      </c>
      <c r="DJ36" s="244" t="str">
        <f aca="false">IF(BR36=0,"",8*DC36)</f>
        <v/>
      </c>
      <c r="DK36" s="244" t="str">
        <f aca="false">IF(BR36=0,"",215+(10.6*DC36))</f>
        <v/>
      </c>
      <c r="DL36" s="244" t="str">
        <f aca="false">IF(BR36=0,"",10*(7.5+(0.5*DC36)))</f>
        <v/>
      </c>
      <c r="DM36" s="244" t="str">
        <f aca="false">IF(BR36=0,"",8*DC36)</f>
        <v/>
      </c>
      <c r="DN36" s="244" t="str">
        <f aca="false">IF(AW36=" "," ",IF(DC36=""," ",IF(DC36&lt;4,10*10.2,IF(DC36=4,12*10.2,IF(DC36&lt;10,17.5*10.5,IF(DC36=10,15*10.2,IF(DC36&lt;30,22.5*10.2,IF(DC36=30,35*10.2,IF(DC36&lt;50,40*10.2,IF(DC36=50,50*10.2,55*10.2))))))))))</f>
        <v> </v>
      </c>
      <c r="DO36" s="244" t="str">
        <f aca="false">IF(BR36=0,"",7*SQRT(DC36)*10.1972)</f>
        <v/>
      </c>
      <c r="DP36" s="244" t="str">
        <f aca="false">IF(BR36=0,"",IF(AS36=$AX$4,5*CC36,""))</f>
        <v/>
      </c>
      <c r="DQ36" s="244" t="str">
        <f aca="false">IF(AW36=" "," ",IF(DC36=""," ",IF(DC36&lt;2,4*10.2,IF(DC36=2,6*10.2,IF(DC36&lt;4,12*10.2,IF(DC36=4,20*10.2,IF(DC36&lt;8,30*10.2,IF(DC36=8,35*10.2,IF(DC36&lt;15,40*10.2,IF(DC36=15,42*10.2,IF(DC36&lt;30,45*10.2,IF(DC36=30,50*10.2,70*10.2))))))))))))</f>
        <v> </v>
      </c>
      <c r="DR36" s="244" t="str">
        <f aca="false">IF(BR36=0,"",IF(AS36=$AX$4,220*DP36*0.0101972,""))</f>
        <v/>
      </c>
      <c r="DS36" s="271" t="str">
        <f aca="false">IF(BR36=0,"",IF(AS36=$AX$7,(SUM(DH36:DO36)-MIN(DH36:DO36)-MAX(DH36:DO36))/6,(SUM(DO36:DR36)-MIN(DO36:DR36)-MAX(DO36:DR36))/2))</f>
        <v/>
      </c>
      <c r="DT36" s="244" t="str">
        <f aca="false">IF(AW36=" "," ",IF(DC36=""," ",IF(DC36&lt;4,0.2,IF(DC36=4,0.27,IF(DC36&lt;10,0.33,IF(DC36=10,0.35,IF(DC36&lt;30,0.36,IF(DC36=30,0.37,IF(DC36&lt;50,0.38,IF(DC36=50,0.4,0.45))))))))))</f>
        <v> </v>
      </c>
      <c r="DU36" s="272" t="str">
        <f aca="false">IF(AW36=" "," ",IF(CC36=""," ",IF(CC36&lt;2,0.2,IF(CC36=2,0.23,IF(CC36&lt;4,0.26,IF(CC36=4,0.29,IF(CC36&lt;8,0.32,IF(CC36=8,0.35,IF(CC36&lt;15,0.38,IF(CC36=15,0.41,IF(CC36&lt;30,0.44,IF(CC36=30,0.47,0.5))))))))))))</f>
        <v> </v>
      </c>
      <c r="DV36" s="244" t="str">
        <f aca="false">IF(BR36=0,"",IF(AS36=$AX$3,DT36,DU36))</f>
        <v/>
      </c>
      <c r="DW36" s="244" t="str">
        <f aca="false">IF(BR36=0,"",IF(DC36&gt;15,15+0.5*(DC36-15),DC36))</f>
        <v/>
      </c>
      <c r="DX36" s="244" t="str">
        <f aca="false">IF(BR36=0,"",IF($S$12="SI",IF(CD36="NO",IF($AD$12&gt;(BO36+1.5*$ED$15),1,0.5),0.5),1))</f>
        <v/>
      </c>
      <c r="DY36" s="244" t="str">
        <f aca="false">IF(BR36=0,"",IF($S$12="SI",IF(CD36="NO",IF($AD$12&gt;(BO36+1.5*$EE$15),1,0.5),0.5),1))</f>
        <v/>
      </c>
      <c r="DZ36" s="244" t="str">
        <f aca="false">IF(BR36=0,"",IF($S$12="SI",IF(CD36="NO",IF($AD$12&gt;(BO36+1.5*$EF$15),1,0.5),0.5),1))</f>
        <v/>
      </c>
      <c r="EA36" s="244" t="str">
        <f aca="false">IF(BR36=0,"",IF($S$12="SI",IF(CD36="NO",IF($AD$12&gt;(BO36+1.5*$ED$15),1,0.5),IF($AD$12=BO36,1,0.5)),1))</f>
        <v/>
      </c>
      <c r="EB36" s="244" t="str">
        <f aca="false">IF(BR36=0,"",IF($S$12="SI",IF(CD36="NO",IF($AD$12&gt;(BO36+1.5*$EE$15),1,0.5),IF($AD$12=BO36,1,0.5)),1))</f>
        <v/>
      </c>
      <c r="EC36" s="244" t="str">
        <f aca="false">IF(BR36=0,"",IF($S$12="SI",IF(CD36="NO",IF($AD$12&gt;(BO36+1.5*$EF$15),1,0.5),IF($AD$12=BO36,1,0.5)),1))</f>
        <v/>
      </c>
      <c r="ED36" s="244" t="str">
        <f aca="false">IF(BR36=0,"",(DW36*($ED$15/10)*(DX36+EA36*(BO36/$ED$15))*1)/3)</f>
        <v/>
      </c>
      <c r="EE36" s="244" t="str">
        <f aca="false">IF(BR36=0,"",(DW36*($EE$15/10)*(DY36+EB36*(BO36/$EE$15))*1)/3)</f>
        <v/>
      </c>
      <c r="EF36" s="244" t="str">
        <f aca="false">IF(BR36=0,"",(DW36*($EF$15/10)*(DZ36+EC36*(BO36/$EF$15))*1)/3)</f>
        <v/>
      </c>
      <c r="EG36" s="273" t="str">
        <f aca="false">IF(BR36=0,"",IF(CD36="SI",0.5,1))</f>
        <v/>
      </c>
      <c r="EH36" s="244" t="str">
        <f aca="false">IF(BR36=0,"",IF((1+0.33*(BO36/$ED$15))&lt;=1.33,(1+0.33*(BO36/$ED$15)),1.33))</f>
        <v/>
      </c>
      <c r="EI36" s="244" t="str">
        <f aca="false">IF(BR36=0,"",IF((1+0.33*(BO36/$EE$15))&lt;=1.33,(1+0.33*(BO36/$EE$15)),1.33))</f>
        <v/>
      </c>
      <c r="EJ36" s="244" t="str">
        <f aca="false">IF(BR36=0,"",IF((1+0.33*(BO36/$EF$15))&lt;=1.33,(1+0.33*(BO36/$EF$15)),1.33))</f>
        <v/>
      </c>
      <c r="EK36" s="244" t="str">
        <f aca="false">IF(BR36=0,"",IF($ED$15&lt;=1.2,((20*DC36*EG36*EH36)/3)*0.010197,((12.5*DC36*((($ED$15+0.3)^2)/$ED$15)*EG36*EH36)/3)*0.010197))</f>
        <v/>
      </c>
      <c r="EL36" s="244" t="str">
        <f aca="false">IF(BR36=0,"",IF($EE$15&lt;=1.2,((20*DC36*EG36*EI36)/3)*0.010197,((12.5*DC36*((($EE$15+0.3)^2)/$EE$15)*EG36*EI36)/3)*0.010197))</f>
        <v/>
      </c>
      <c r="EM36" s="244" t="str">
        <f aca="false">IF(BR36=0,"",IF($EF$15&lt;=1.2,((20*DC36*EG36*EJ36)/3)*0.010197,((12.5*DC36*((($EF$15+0.3)^2)/$EF$15)*EG36*EJ36)/3)*0.010197))</f>
        <v/>
      </c>
      <c r="EN36" s="248" t="str">
        <f aca="false">IF(BR36=0,"",SQRT(12*CC36)+25)</f>
        <v/>
      </c>
      <c r="EO36" s="248" t="str">
        <f aca="false">IF(BR36=0,"",28.5+0.25*CC36)</f>
        <v/>
      </c>
      <c r="EP36" s="248" t="str">
        <f aca="false">IF(BR36=0,"",SQRT(20*CC36)+15)</f>
        <v/>
      </c>
      <c r="EQ36" s="248" t="str">
        <f aca="false">IF(BR36=0,"",23.7+0.57*CC36-0.0006*CC36*CC36)</f>
        <v/>
      </c>
      <c r="ER36" s="248" t="str">
        <f aca="false">IF(BR36=0,"",15+SQRT(12.5*DC36))</f>
        <v/>
      </c>
      <c r="ES36" s="248" t="str">
        <f aca="false">IF(BR36=0,"",3.5*SQRT(CC36)+20)</f>
        <v/>
      </c>
      <c r="ET36" s="248" t="str">
        <f aca="false">IF(BR36=0,"",27.1+0.3*DC36-0.00054*DC36*DC36)</f>
        <v/>
      </c>
      <c r="EU36" s="248" t="str">
        <f aca="false">IF(BR36=0,"",SQRT(20*CC36)+20)</f>
        <v/>
      </c>
      <c r="EV36" s="248" t="str">
        <f aca="false">IF(BR36=0,"",12.79+SQRT(25.86*CC36))</f>
        <v/>
      </c>
      <c r="EW36" s="248" t="str">
        <f aca="false">IF(BR36=0,"",DEGREES(_xlfn.ACOT((CC36/(12.2+20.3*CR36))^0.34)))</f>
        <v/>
      </c>
      <c r="EX36" s="248" t="str">
        <f aca="false">IF(BR36=0,"",24+(5.77*LN(0.17*DC36)))</f>
        <v/>
      </c>
      <c r="EY36" s="248" t="str">
        <f aca="false">IF(BR36=0,"",(SUM(EN36:EX36)-MIN(EN36:EX36)-MAX(EN36:EX36))/9)</f>
        <v/>
      </c>
      <c r="EZ36" s="248" t="str">
        <f aca="false">IF(BR36=0,"", -0.0000000034*CC36^6 + 0.0000008305*CC36^5 - 0.0000741842*CC36^4 + 0.0030204278*CC36^3 - 0.0541594733*CC36^2 + 0.8083147848*CC36 - 0.6182191243)</f>
        <v/>
      </c>
      <c r="FA36" s="249" t="str">
        <f aca="false">IF(BR36=0,"",(0.134811827956989*CC36 - 0.0383064516129019)/2)</f>
        <v/>
      </c>
      <c r="FB36" s="249" t="str">
        <f aca="false">IF(BR36=0,"",CC36*0.065)</f>
        <v/>
      </c>
      <c r="FC36" s="249" t="str">
        <f aca="false">IF(BR36=0,"",(CC36*0.12*0.48)*SQRT((1+SIN(EZ36*((2*PI())/360))/(1-SIN(EZ36*((2*PI())/360))))))</f>
        <v/>
      </c>
      <c r="FD36" s="249" t="str">
        <f aca="false">IF(BR36=0,"",(CC36/8)/2)</f>
        <v/>
      </c>
      <c r="FE36" s="249" t="str">
        <f aca="false">IF(BR36=0,"",(SUM(FA36:FD36)-MIN(FA36:FD36)-MAX(FA36:FD36))/2)</f>
        <v/>
      </c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</row>
    <row r="37" customFormat="false" ht="9.75" hidden="false" customHeight="true" outlineLevel="0" collapsed="false">
      <c r="A37" s="197" t="n">
        <f aca="false">ROUND(A36+0.1,1)</f>
        <v>2</v>
      </c>
      <c r="B37" s="281" t="n">
        <f aca="false">+A37</f>
        <v>2</v>
      </c>
      <c r="C37" s="291"/>
      <c r="D37" s="292"/>
      <c r="E37" s="252"/>
      <c r="F37" s="253"/>
      <c r="G37" s="279"/>
      <c r="H37" s="280"/>
      <c r="I37" s="280"/>
      <c r="J37" s="257"/>
      <c r="K37" s="258"/>
      <c r="L37" s="259"/>
      <c r="M37" s="276"/>
      <c r="N37" s="277"/>
      <c r="O37" s="277"/>
      <c r="P37" s="277"/>
      <c r="Q37" s="260"/>
      <c r="R37" s="278"/>
      <c r="S37" s="278"/>
      <c r="T37" s="261"/>
      <c r="U37" s="261"/>
      <c r="V37" s="262"/>
      <c r="W37" s="262"/>
      <c r="X37" s="262"/>
      <c r="Y37" s="262"/>
      <c r="Z37" s="262"/>
      <c r="AA37" s="262"/>
      <c r="AB37" s="263"/>
      <c r="AC37" s="264"/>
      <c r="AD37" s="265"/>
      <c r="AE37" s="264"/>
      <c r="AF37" s="266"/>
      <c r="AG37" s="267"/>
      <c r="AH37" s="267"/>
      <c r="AI37" s="241"/>
      <c r="AJ37" s="241"/>
      <c r="AK37" s="266"/>
      <c r="AL37" s="266"/>
      <c r="AM37" s="268"/>
      <c r="AN37" s="281" t="n">
        <f aca="false">+AN35+0.2</f>
        <v>2</v>
      </c>
      <c r="AO37" s="291"/>
      <c r="AP37" s="292"/>
      <c r="AQ37" s="252"/>
      <c r="AR37" s="253"/>
      <c r="AS37" s="269" t="s">
        <v>21</v>
      </c>
      <c r="AT37" s="221"/>
      <c r="AU37" s="269"/>
      <c r="AV37" s="269"/>
      <c r="AW37" s="270" t="n">
        <f aca="false">+K37+L37</f>
        <v>0</v>
      </c>
      <c r="AX37" s="270" t="str">
        <f aca="false">IF(AS37="&gt;50","CONSISTENCIA",IF(AS37="&lt;50","COMPACIDAD"," "))</f>
        <v>CONSISTENCIA</v>
      </c>
      <c r="AY37" s="225" t="str">
        <f aca="false">IF(AS37="&gt;50",AZ37,IF(AS37="&lt;50",BA37," "))</f>
        <v> </v>
      </c>
      <c r="AZ37" s="224" t="str">
        <f aca="false">IF(AW37=" "," ",IF(CC37=""," ",IF(CC37&lt;2,"MUY BLANDA",IF(CC37=2,"MUY BLANDA A BLANDA",IF(CC37&lt;4,"BLANDA",IF(CC37=4,"BLANDA A MEDIA",IF(CC37&lt;8,"MEDIA",IF(CC37=8,"MEDIA A FIRME",IF(CC37&lt;15,"FIRME",IF(CC37=15,"FIRME A MUY FIRME",IF(CC37&lt;30,"MUY FIRME",IF(CC37=30,"MUY FIRME A DURA","DURA"))))))))))))</f>
        <v> </v>
      </c>
      <c r="BA37" s="225" t="str">
        <f aca="false">IF(AW37=" "," ",IF(DC37=""," ",IF(DC37&lt;4,"MUY SUELTA",IF(DC37=4,"MUY SUELTA A SUELTA",IF(DC37&lt;10,"SUELTA",IF(DC37=10,"SUELTA A MEDIA",IF(DC37&lt;30,"MEDIA",IF(DC37=30,"MEDIA A DENSO",IF(DC37&lt;50,"DENSO",IF(DC37=50,"DENSO MUY DENSO","MUY DENSO"))))))))))</f>
        <v> </v>
      </c>
      <c r="BB37" s="190" t="str">
        <f aca="false">IF(BR38=0,"",CQ38*0.0101972)</f>
        <v/>
      </c>
      <c r="BC37" s="227" t="n">
        <f aca="false">+BC36+0.1</f>
        <v>2</v>
      </c>
      <c r="BD37" s="227" t="str">
        <f aca="false">IF(BC37&lt;=$AN$10,BC37,"")</f>
        <v/>
      </c>
      <c r="BE37" s="228" t="n">
        <f aca="false">ISNUMBER(BD37)</f>
        <v>0</v>
      </c>
      <c r="BF37" s="229" t="str">
        <f aca="false">MID(M37,1,1)</f>
        <v/>
      </c>
      <c r="BG37" s="230" t="str">
        <f aca="false">IF(BF37="S","",IF(BF37="G","",MID(M37,2,1)))</f>
        <v/>
      </c>
      <c r="BH37" s="231" t="str">
        <f aca="false">CONCATENATE(BF37,BG37)</f>
        <v/>
      </c>
      <c r="BI37" s="6" t="str">
        <f aca="false">IF(BE37=FALSE(),"",IF(BH37="",BI36,BH37))</f>
        <v/>
      </c>
      <c r="BJ37" s="74" t="str">
        <f aca="false">IF(OR(BI37="S",BI37="G"),BI37,"X")</f>
        <v>X</v>
      </c>
      <c r="BK37" s="74" t="s">
        <v>197</v>
      </c>
      <c r="BL37" s="286" t="e">
        <f aca="false">INDEX(sim_0,MATCH($BJ$37,granular,0))</f>
        <v>#NAME?</v>
      </c>
      <c r="BM37" s="286"/>
      <c r="BN37" s="6"/>
      <c r="BO37" s="191" t="n">
        <f aca="false">BO36+0.1</f>
        <v>2</v>
      </c>
      <c r="BP37" s="233" t="e">
        <f aca="false">IF(AW37=0,NA(),IF(AS37=$AX$3,ROUND(DC37,0),NA()))</f>
        <v>#N/A</v>
      </c>
      <c r="BQ37" s="31" t="e">
        <f aca="false">IF(AW37=0,NA(),IF(AS37=$AX$4,ROUND(CC37,0),NA()))</f>
        <v>#N/A</v>
      </c>
      <c r="BR37" s="234" t="n">
        <f aca="false">+AW37</f>
        <v>0</v>
      </c>
      <c r="BS37" s="235" t="str">
        <f aca="false">IF(BR37=0,"", -0.00000000016128755327*CC37^6 + 0.00000006709386362421*CC37^5 - 0.0000106217678052217*CC37^4 + 0.00081068114193385*CC37^3 - 0.0314027378159951*CC37^2 + 0.649796593937842*CC37 + 13.7888866455022)</f>
        <v/>
      </c>
      <c r="BT37" s="235" t="str">
        <f aca="false">IF(BR37=0,"",-0.00000000014625939695*CC37^6 + 0.00000004971732060241*CC37^5 - 0.000006683744342031*CC37^4 + 0.0004563177378098*CC37^3 - 0.0171727530635803*CC37^2 + 0.444529932876435*CC37 + 15.6692518940565)</f>
        <v/>
      </c>
      <c r="BU37" s="236" t="str">
        <f aca="false">IF(BR37=0,"", -0.0000000008152265738*BR37^6 + 0.00000022764320256987*BR37^5 - 0.0000248205675927705*BR37^4 + 0.00133186623684865*BR37^3 - 0.0368442570441677*BR37^2 + 0.580111565569094*BR37 + 14.0417598296107)</f>
        <v/>
      </c>
      <c r="BV37" s="236" t="str">
        <f aca="false">IF(BR37=0,"", -0.00000000004321395721*BR37^6 + 0.00000002531844275498*BR37^5 - 0.00000369428022780862*BR37^4 + 0.00020283665900125*BR37^3 - 0.00462426256803268*BR37^2 + 0.139572935065453*BR37 + 15.4475338156923)</f>
        <v/>
      </c>
      <c r="BW37" s="236" t="str">
        <f aca="false">IF(BR37=0,"",-0.00000000033126390082*BR37^6 + 0.00000010463660614506*BR37^5 - 0.0000129629592998707*BR37^4 + 0.000803946335250767*BR37^3 - 0.0270257140395994*BR37^2 + 0.562590210721552*BR37+ 12.1254107606419)</f>
        <v/>
      </c>
      <c r="BX37" s="236" t="str">
        <f aca="false">IF(BR37=0,"",-0.00000000002593504955*BR37^6 + 0.00000002430495156704*BR37^5 - 0.00000386103271086364*BR37^4 + 0.000214416118986322*BR37^3 - 0.0047271462612021*BR37^2 + 0.156696175741135*BR37 + 15.4598891949502)</f>
        <v/>
      </c>
      <c r="BY37" s="234" t="str">
        <f aca="false">IF(BR37=0,"",$BS$2)</f>
        <v/>
      </c>
      <c r="BZ37" s="234" t="str">
        <f aca="false">IF(BR37=0,"",$BS$3)</f>
        <v/>
      </c>
      <c r="CA37" s="234" t="str">
        <f aca="false">IF(BR37=0,"",$BS$4)</f>
        <v/>
      </c>
      <c r="CB37" s="235" t="str">
        <f aca="false">IF(BR37=0,"",IF(AND(BO37&gt;=0,BO37&lt;4),0.75,IF(AND(BO37&gt;=4,BO37&lt;6),0.85,IF(AND(BO37&gt;=6,BO37&lt;=10),0.95,1))))</f>
        <v/>
      </c>
      <c r="CC37" s="234" t="str">
        <f aca="false">IF(BR37=0,"",BR37*BY37*BZ37*CA37*CB37/60)</f>
        <v/>
      </c>
      <c r="CD37" s="238" t="str">
        <f aca="false">IF(BR37=0,"",IF($S$12="NO","NO",IF($AD$12&lt;=BO37,"SI","NO")))</f>
        <v/>
      </c>
      <c r="CE37" s="235" t="n">
        <f aca="false">IF(BR37=0,0,AB37)</f>
        <v>0</v>
      </c>
      <c r="CF37" s="235" t="n">
        <f aca="false">IF(CE37&gt;0,BO37,0)</f>
        <v>0</v>
      </c>
      <c r="CG37" s="239" t="n">
        <f aca="false">IF(CF37=0,CF37+CG36,CF37)</f>
        <v>0</v>
      </c>
      <c r="CH37" s="239" t="n">
        <f aca="false">IF(CG37=CG36,CH36,ABS(CG37-CG36))</f>
        <v>0</v>
      </c>
      <c r="CI37" s="239" t="n">
        <f aca="false">+CE37*CH37</f>
        <v>0</v>
      </c>
      <c r="CJ37" s="239" t="n">
        <f aca="false">IF(CI37=0,CI37+CJ36,CI37)</f>
        <v>0</v>
      </c>
      <c r="CK37" s="239" t="n">
        <f aca="false">IF(CJ37=CJ36,CK36,ABS(CJ37+CK36))</f>
        <v>0</v>
      </c>
      <c r="CL37" s="241" t="n">
        <f aca="false">IF(CE37=0,0,CK37)</f>
        <v>0</v>
      </c>
      <c r="CM37" s="239" t="n">
        <f aca="false">IF(CE37=0,0,CH37*9.81)</f>
        <v>0</v>
      </c>
      <c r="CN37" s="239" t="n">
        <f aca="false">IF(CM37=0,CM37+CN36,CM37)</f>
        <v>0</v>
      </c>
      <c r="CO37" s="239" t="n">
        <f aca="false">IF(CN37=CN36,CO36,ABS(CN37+CO36))</f>
        <v>0</v>
      </c>
      <c r="CP37" s="241" t="n">
        <f aca="false">IF(CD37="NO",0,IF(CE37=0,0,CO37))</f>
        <v>0</v>
      </c>
      <c r="CQ37" s="244" t="str">
        <f aca="false">IF(BR37=0,"",CL37-CP37)</f>
        <v/>
      </c>
      <c r="CR37" s="244" t="str">
        <f aca="false">IF(BR37=0,"",CQ37/101.3)</f>
        <v/>
      </c>
      <c r="CS37" s="244" t="str">
        <f aca="false">IF(BR37=0,"",LOG(10/CR37))</f>
        <v/>
      </c>
      <c r="CT37" s="243" t="str">
        <f aca="false">IF(BR37=0,"",IF(SQRT(101.3/CQ37)&lt;=1.7,SQRT(101.3/CQ37),2.2/(1.2+(CQ37/101.3))))</f>
        <v/>
      </c>
      <c r="CU37" s="244" t="str">
        <f aca="false">IF(BR37=0,"",1.7/(0.7+CR37))</f>
        <v/>
      </c>
      <c r="CV37" s="244" t="str">
        <f aca="false">IF(BR37=0,"",IF(CR37&gt;=0.25,0.77*LOG(20/CR37),""))</f>
        <v/>
      </c>
      <c r="CW37" s="244" t="str">
        <f aca="false">IF(BR37=0,"",32.5/(10.2+20.3*CR37))</f>
        <v/>
      </c>
      <c r="CX37" s="244" t="str">
        <f aca="false">IF(BR37=0,"",1-1.25*LOG(CR37))</f>
        <v/>
      </c>
      <c r="CY37" s="244" t="str">
        <f aca="false">IF(BR37=0,"",IF(CR37&lt;1,1-1.41*LOG(CR37),1+0.92*LOG(CR37)))</f>
        <v/>
      </c>
      <c r="CZ37" s="244" t="str">
        <f aca="false">IF(BR37=0,"",2/(1+CR37))</f>
        <v/>
      </c>
      <c r="DA37" s="244" t="str">
        <f aca="false">IF(BR37=0,"",IF(CR37&lt;=0.75,4/(1+4*CR37),4/(3.25+CR37)))</f>
        <v/>
      </c>
      <c r="DB37" s="244" t="str">
        <f aca="false">IF(BR37=0,"",CT37)</f>
        <v/>
      </c>
      <c r="DC37" s="244" t="str">
        <f aca="false">IF(BR37=0,"",DB37*CC37)</f>
        <v/>
      </c>
      <c r="DD37" s="244"/>
      <c r="DE37" s="244" t="str">
        <f aca="false">IF(BR37=0,"",0.193*(CC37/(CQ37*0.001))^0.689)</f>
        <v/>
      </c>
      <c r="DF37" s="244" t="str">
        <f aca="false">IF(BR37=0,"",IF(AS37=$AX$4,(0.1348118*CC37 - 0.0383065)*98.0665,""))</f>
        <v/>
      </c>
      <c r="DG37" s="244" t="str">
        <f aca="false">IF(BR37=0,"",IF(AS37=$AX$4,DF37/2,""))</f>
        <v/>
      </c>
      <c r="DH37" s="244" t="str">
        <f aca="false">IF(BR37=0,"",IF(DC37&lt;=15,12*(DC37+6),40+12*(DC37-6)))</f>
        <v/>
      </c>
      <c r="DI37" s="244" t="str">
        <f aca="false">IF(BR37=0,"",IF(CD37="SI",5*(DC37+15),((3.3*(DC37+15))+(4*(DC37+12)))/2))</f>
        <v/>
      </c>
      <c r="DJ37" s="244" t="str">
        <f aca="false">IF(BR37=0,"",8*DC37)</f>
        <v/>
      </c>
      <c r="DK37" s="244" t="str">
        <f aca="false">IF(BR37=0,"",215+(10.6*DC37))</f>
        <v/>
      </c>
      <c r="DL37" s="244" t="str">
        <f aca="false">IF(BR37=0,"",10*(7.5+(0.5*DC37)))</f>
        <v/>
      </c>
      <c r="DM37" s="244" t="str">
        <f aca="false">IF(BR37=0,"",8*DC37)</f>
        <v/>
      </c>
      <c r="DN37" s="244" t="str">
        <f aca="false">IF(AW37=" "," ",IF(DC37=""," ",IF(DC37&lt;4,10*10.2,IF(DC37=4,12*10.2,IF(DC37&lt;10,17.5*10.5,IF(DC37=10,15*10.2,IF(DC37&lt;30,22.5*10.2,IF(DC37=30,35*10.2,IF(DC37&lt;50,40*10.2,IF(DC37=50,50*10.2,55*10.2))))))))))</f>
        <v> </v>
      </c>
      <c r="DO37" s="244" t="str">
        <f aca="false">IF(BR37=0,"",7*SQRT(DC37)*10.1972)</f>
        <v/>
      </c>
      <c r="DP37" s="244" t="str">
        <f aca="false">IF(BR37=0,"",IF(AS37=$AX$4,5*CC37,""))</f>
        <v/>
      </c>
      <c r="DQ37" s="244" t="str">
        <f aca="false">IF(AW37=" "," ",IF(DC37=""," ",IF(DC37&lt;2,4*10.2,IF(DC37=2,6*10.2,IF(DC37&lt;4,12*10.2,IF(DC37=4,20*10.2,IF(DC37&lt;8,30*10.2,IF(DC37=8,35*10.2,IF(DC37&lt;15,40*10.2,IF(DC37=15,42*10.2,IF(DC37&lt;30,45*10.2,IF(DC37=30,50*10.2,70*10.2))))))))))))</f>
        <v> </v>
      </c>
      <c r="DR37" s="244" t="str">
        <f aca="false">IF(BR37=0,"",IF(AS37=$AX$4,220*DP37*0.0101972,""))</f>
        <v/>
      </c>
      <c r="DS37" s="271" t="str">
        <f aca="false">IF(BR37=0,"",IF(AS37=$AX$7,(SUM(DH37:DO37)-MIN(DH37:DO37)-MAX(DH37:DO37))/6,(SUM(DO37:DR37)-MIN(DO37:DR37)-MAX(DO37:DR37))/2))</f>
        <v/>
      </c>
      <c r="DT37" s="244" t="str">
        <f aca="false">IF(AW37=" "," ",IF(DC37=""," ",IF(DC37&lt;4,0.2,IF(DC37=4,0.27,IF(DC37&lt;10,0.33,IF(DC37=10,0.35,IF(DC37&lt;30,0.36,IF(DC37=30,0.37,IF(DC37&lt;50,0.38,IF(DC37=50,0.4,0.45))))))))))</f>
        <v> </v>
      </c>
      <c r="DU37" s="272" t="str">
        <f aca="false">IF(AW37=" "," ",IF(CC37=""," ",IF(CC37&lt;2,0.2,IF(CC37=2,0.23,IF(CC37&lt;4,0.26,IF(CC37=4,0.29,IF(CC37&lt;8,0.32,IF(CC37=8,0.35,IF(CC37&lt;15,0.38,IF(CC37=15,0.41,IF(CC37&lt;30,0.44,IF(CC37=30,0.47,0.5))))))))))))</f>
        <v> </v>
      </c>
      <c r="DV37" s="244" t="str">
        <f aca="false">IF(BR37=0,"",IF(AS37=$AX$3,DT37,DU37))</f>
        <v/>
      </c>
      <c r="DW37" s="244" t="str">
        <f aca="false">IF(BR37=0,"",IF(DC37&gt;15,15+0.5*(DC37-15),DC37))</f>
        <v/>
      </c>
      <c r="DX37" s="244" t="str">
        <f aca="false">IF(BR37=0,"",IF($S$12="SI",IF(CD37="NO",IF($AD$12&gt;(BO37+1.5*$ED$15),1,0.5),0.5),1))</f>
        <v/>
      </c>
      <c r="DY37" s="244" t="str">
        <f aca="false">IF(BR37=0,"",IF($S$12="SI",IF(CD37="NO",IF($AD$12&gt;(BO37+1.5*$EE$15),1,0.5),0.5),1))</f>
        <v/>
      </c>
      <c r="DZ37" s="244" t="str">
        <f aca="false">IF(BR37=0,"",IF($S$12="SI",IF(CD37="NO",IF($AD$12&gt;(BO37+1.5*$EF$15),1,0.5),0.5),1))</f>
        <v/>
      </c>
      <c r="EA37" s="244" t="str">
        <f aca="false">IF(BR37=0,"",IF($S$12="SI",IF(CD37="NO",IF($AD$12&gt;(BO37+1.5*$ED$15),1,0.5),IF($AD$12=BO37,1,0.5)),1))</f>
        <v/>
      </c>
      <c r="EB37" s="244" t="str">
        <f aca="false">IF(BR37=0,"",IF($S$12="SI",IF(CD37="NO",IF($AD$12&gt;(BO37+1.5*$EE$15),1,0.5),IF($AD$12=BO37,1,0.5)),1))</f>
        <v/>
      </c>
      <c r="EC37" s="244" t="str">
        <f aca="false">IF(BR37=0,"",IF($S$12="SI",IF(CD37="NO",IF($AD$12&gt;(BO37+1.5*$EF$15),1,0.5),IF($AD$12=BO37,1,0.5)),1))</f>
        <v/>
      </c>
      <c r="ED37" s="244" t="str">
        <f aca="false">IF(BR37=0,"",(DW37*($ED$15/10)*(DX37+EA37*(BO37/$ED$15))*1)/3)</f>
        <v/>
      </c>
      <c r="EE37" s="244" t="str">
        <f aca="false">IF(BR37=0,"",(DW37*($EE$15/10)*(DY37+EB37*(BO37/$EE$15))*1)/3)</f>
        <v/>
      </c>
      <c r="EF37" s="244" t="str">
        <f aca="false">IF(BR37=0,"",(DW37*($EF$15/10)*(DZ37+EC37*(BO37/$EF$15))*1)/3)</f>
        <v/>
      </c>
      <c r="EG37" s="273" t="str">
        <f aca="false">IF(BR37=0,"",IF(CD37="SI",0.5,1))</f>
        <v/>
      </c>
      <c r="EH37" s="244" t="str">
        <f aca="false">IF(BR37=0,"",IF((1+0.33*(BO37/$ED$15))&lt;=1.33,(1+0.33*(BO37/$ED$15)),1.33))</f>
        <v/>
      </c>
      <c r="EI37" s="244" t="str">
        <f aca="false">IF(BR37=0,"",IF((1+0.33*(BO37/$EE$15))&lt;=1.33,(1+0.33*(BO37/$EE$15)),1.33))</f>
        <v/>
      </c>
      <c r="EJ37" s="244" t="str">
        <f aca="false">IF(BR37=0,"",IF((1+0.33*(BO37/$EF$15))&lt;=1.33,(1+0.33*(BO37/$EF$15)),1.33))</f>
        <v/>
      </c>
      <c r="EK37" s="244" t="str">
        <f aca="false">IF(BR37=0,"",IF($ED$15&lt;=1.2,((20*DC37*EG37*EH37)/3)*0.010197,((12.5*DC37*((($ED$15+0.3)^2)/$ED$15)*EG37*EH37)/3)*0.010197))</f>
        <v/>
      </c>
      <c r="EL37" s="244" t="str">
        <f aca="false">IF(BR37=0,"",IF($EE$15&lt;=1.2,((20*DC37*EG37*EI37)/3)*0.010197,((12.5*DC37*((($EE$15+0.3)^2)/$EE$15)*EG37*EI37)/3)*0.010197))</f>
        <v/>
      </c>
      <c r="EM37" s="244" t="str">
        <f aca="false">IF(BR37=0,"",IF($EF$15&lt;=1.2,((20*DC37*EG37*EJ37)/3)*0.010197,((12.5*DC37*((($EF$15+0.3)^2)/$EF$15)*EG37*EJ37)/3)*0.010197))</f>
        <v/>
      </c>
      <c r="EN37" s="248" t="str">
        <f aca="false">IF(BR37=0,"",SQRT(12*CC37)+25)</f>
        <v/>
      </c>
      <c r="EO37" s="248" t="str">
        <f aca="false">IF(BR37=0,"",28.5+0.25*CC37)</f>
        <v/>
      </c>
      <c r="EP37" s="248" t="str">
        <f aca="false">IF(BR37=0,"",SQRT(20*CC37)+15)</f>
        <v/>
      </c>
      <c r="EQ37" s="248" t="str">
        <f aca="false">IF(BR37=0,"",23.7+0.57*CC37-0.0006*CC37*CC37)</f>
        <v/>
      </c>
      <c r="ER37" s="248" t="str">
        <f aca="false">IF(BR37=0,"",15+SQRT(12.5*DC37))</f>
        <v/>
      </c>
      <c r="ES37" s="248" t="str">
        <f aca="false">IF(BR37=0,"",3.5*SQRT(CC37)+20)</f>
        <v/>
      </c>
      <c r="ET37" s="248" t="str">
        <f aca="false">IF(BR37=0,"",27.1+0.3*DC37-0.00054*DC37*DC37)</f>
        <v/>
      </c>
      <c r="EU37" s="248" t="str">
        <f aca="false">IF(BR37=0,"",SQRT(20*CC37)+20)</f>
        <v/>
      </c>
      <c r="EV37" s="248" t="str">
        <f aca="false">IF(BR37=0,"",12.79+SQRT(25.86*CC37))</f>
        <v/>
      </c>
      <c r="EW37" s="248" t="str">
        <f aca="false">IF(BR37=0,"",DEGREES(_xlfn.ACOT((CC37/(12.2+20.3*CR37))^0.34)))</f>
        <v/>
      </c>
      <c r="EX37" s="248" t="str">
        <f aca="false">IF(BR37=0,"",24+(5.77*LN(0.17*DC37)))</f>
        <v/>
      </c>
      <c r="EY37" s="248" t="str">
        <f aca="false">IF(BR37=0,"",(SUM(EN37:EX37)-MIN(EN37:EX37)-MAX(EN37:EX37))/9)</f>
        <v/>
      </c>
      <c r="EZ37" s="248" t="str">
        <f aca="false">IF(BR37=0,"", -0.0000000034*CC37^6 + 0.0000008305*CC37^5 - 0.0000741842*CC37^4 + 0.0030204278*CC37^3 - 0.0541594733*CC37^2 + 0.8083147848*CC37 - 0.6182191243)</f>
        <v/>
      </c>
      <c r="FA37" s="249" t="str">
        <f aca="false">IF(BR37=0,"",(0.134811827956989*CC37 - 0.0383064516129019)/2)</f>
        <v/>
      </c>
      <c r="FB37" s="249" t="str">
        <f aca="false">IF(BR37=0,"",CC37*0.065)</f>
        <v/>
      </c>
      <c r="FC37" s="249" t="str">
        <f aca="false">IF(BR37=0,"",(CC37*0.12*0.48)*SQRT((1+SIN(EZ37*((2*PI())/360))/(1-SIN(EZ37*((2*PI())/360))))))</f>
        <v/>
      </c>
      <c r="FD37" s="249" t="str">
        <f aca="false">IF(BR37=0,"",(CC37/8)/2)</f>
        <v/>
      </c>
      <c r="FE37" s="249" t="str">
        <f aca="false">IF(BR37=0,"",(SUM(FA37:FD37)-MIN(FA37:FD37)-MAX(FA37:FD37))/2)</f>
        <v/>
      </c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</row>
    <row r="38" customFormat="false" ht="9.75" hidden="false" customHeight="true" outlineLevel="0" collapsed="false">
      <c r="A38" s="197" t="n">
        <f aca="false">ROUND(A37+0.1,1)</f>
        <v>2.1</v>
      </c>
      <c r="B38" s="281"/>
      <c r="C38" s="198"/>
      <c r="D38" s="198"/>
      <c r="E38" s="199"/>
      <c r="F38" s="200"/>
      <c r="G38" s="254"/>
      <c r="H38" s="255"/>
      <c r="I38" s="256"/>
      <c r="J38" s="257"/>
      <c r="K38" s="258"/>
      <c r="L38" s="259"/>
      <c r="M38" s="276"/>
      <c r="N38" s="277"/>
      <c r="O38" s="277"/>
      <c r="P38" s="277"/>
      <c r="Q38" s="293"/>
      <c r="R38" s="294"/>
      <c r="S38" s="294"/>
      <c r="T38" s="295"/>
      <c r="U38" s="295"/>
      <c r="V38" s="296"/>
      <c r="W38" s="296"/>
      <c r="X38" s="296"/>
      <c r="Y38" s="296"/>
      <c r="Z38" s="296"/>
      <c r="AA38" s="296"/>
      <c r="AB38" s="297"/>
      <c r="AC38" s="298"/>
      <c r="AD38" s="299"/>
      <c r="AE38" s="298"/>
      <c r="AF38" s="300"/>
      <c r="AG38" s="267"/>
      <c r="AH38" s="267"/>
      <c r="AI38" s="241"/>
      <c r="AJ38" s="241"/>
      <c r="AK38" s="266"/>
      <c r="AL38" s="266"/>
      <c r="AM38" s="268"/>
      <c r="AN38" s="281"/>
      <c r="AO38" s="198"/>
      <c r="AP38" s="198"/>
      <c r="AQ38" s="199"/>
      <c r="AR38" s="200"/>
      <c r="AS38" s="269" t="s">
        <v>13</v>
      </c>
      <c r="AT38" s="221"/>
      <c r="AU38" s="269"/>
      <c r="AV38" s="269"/>
      <c r="AW38" s="270" t="n">
        <f aca="false">+K38+L38</f>
        <v>0</v>
      </c>
      <c r="AX38" s="270" t="str">
        <f aca="false">IF(AS38="&gt;50","CONSISTENCIA",IF(AS38="&lt;50","COMPACIDAD"," "))</f>
        <v>COMPACIDAD</v>
      </c>
      <c r="AY38" s="225" t="str">
        <f aca="false">IF(AS38="&gt;50",AZ38,IF(AS38="&lt;50",BA38," "))</f>
        <v> </v>
      </c>
      <c r="AZ38" s="224" t="str">
        <f aca="false">IF(AW38=" "," ",IF(CC38=""," ",IF(CC38&lt;2,"MUY BLANDA",IF(CC38=2,"MUY BLANDA A BLANDA",IF(CC38&lt;4,"BLANDA",IF(CC38=4,"BLANDA A MEDIA",IF(CC38&lt;8,"MEDIA",IF(CC38=8,"MEDIA A FIRME",IF(CC38&lt;15,"FIRME",IF(CC38=15,"FIRME A MUY FIRME",IF(CC38&lt;30,"MUY FIRME",IF(CC38=30,"MUY FIRME A DURA","DURA"))))))))))))</f>
        <v> </v>
      </c>
      <c r="BA38" s="225" t="str">
        <f aca="false">IF(AW38=" "," ",IF(DC38=""," ",IF(DC38&lt;4,"MUY SUELTA",IF(DC38=4,"MUY SUELTA A SUELTA",IF(DC38&lt;10,"SUELTA",IF(DC38=10,"SUELTA A MEDIA",IF(DC38&lt;30,"MEDIA",IF(DC38=30,"MEDIA A DENSO",IF(DC38&lt;50,"DENSO",IF(DC38=50,"DENSO MUY DENSO","MUY DENSO"))))))))))</f>
        <v> </v>
      </c>
      <c r="BB38" s="226" t="str">
        <f aca="false">IF(BR39=0,"",CQ39*0.0101972)</f>
        <v/>
      </c>
      <c r="BC38" s="227" t="n">
        <f aca="false">+BC37+0.1</f>
        <v>2.1</v>
      </c>
      <c r="BD38" s="227" t="str">
        <f aca="false">IF(BC38&lt;=$AN$10,BC38,"")</f>
        <v/>
      </c>
      <c r="BE38" s="228" t="n">
        <f aca="false">ISNUMBER(BD38)</f>
        <v>0</v>
      </c>
      <c r="BF38" s="229" t="str">
        <f aca="false">MID(M38,1,1)</f>
        <v/>
      </c>
      <c r="BG38" s="230" t="str">
        <f aca="false">IF(BF38="S","",IF(BF38="G","",MID(M38,2,1)))</f>
        <v/>
      </c>
      <c r="BH38" s="231" t="str">
        <f aca="false">CONCATENATE(BF38,BG38)</f>
        <v/>
      </c>
      <c r="BI38" s="6" t="str">
        <f aca="false">IF(BE38=FALSE(),"",IF(BH38="",BI37,BH38))</f>
        <v/>
      </c>
      <c r="BJ38" s="74" t="str">
        <f aca="false">IF(OR(BI38="S",BI38="G"),BI38,"X")</f>
        <v>X</v>
      </c>
      <c r="BK38" s="74" t="s">
        <v>198</v>
      </c>
      <c r="BL38" s="301" t="e">
        <f aca="false">INDEX(sim_0,MATCH($BJ$38,granular,0))</f>
        <v>#NAME?</v>
      </c>
      <c r="BM38" s="301"/>
      <c r="BN38" s="6"/>
      <c r="BO38" s="191" t="n">
        <f aca="false">BO37+0.1</f>
        <v>2.1</v>
      </c>
      <c r="BP38" s="233" t="e">
        <f aca="false">IF(AW38=0,NA(),IF(AS38=$AX$3,ROUND(DC38,0),NA()))</f>
        <v>#N/A</v>
      </c>
      <c r="BQ38" s="31" t="e">
        <f aca="false">IF(AW38=0,NA(),IF(AS38=$AX$4,ROUND(CC38,0),NA()))</f>
        <v>#N/A</v>
      </c>
      <c r="BR38" s="234" t="n">
        <f aca="false">+AW38</f>
        <v>0</v>
      </c>
      <c r="BS38" s="235" t="str">
        <f aca="false">IF(BR38=0,"", -0.00000000016128755327*CC38^6 + 0.00000006709386362421*CC38^5 - 0.0000106217678052217*CC38^4 + 0.00081068114193385*CC38^3 - 0.0314027378159951*CC38^2 + 0.649796593937842*CC38 + 13.7888866455022)</f>
        <v/>
      </c>
      <c r="BT38" s="235" t="str">
        <f aca="false">IF(BR38=0,"",-0.00000000014625939695*CC38^6 + 0.00000004971732060241*CC38^5 - 0.000006683744342031*CC38^4 + 0.0004563177378098*CC38^3 - 0.0171727530635803*CC38^2 + 0.444529932876435*CC38 + 15.6692518940565)</f>
        <v/>
      </c>
      <c r="BU38" s="236" t="str">
        <f aca="false">IF(BR38=0,"", -0.0000000008152265738*BR38^6 + 0.00000022764320256987*BR38^5 - 0.0000248205675927705*BR38^4 + 0.00133186623684865*BR38^3 - 0.0368442570441677*BR38^2 + 0.580111565569094*BR38 + 14.0417598296107)</f>
        <v/>
      </c>
      <c r="BV38" s="236" t="str">
        <f aca="false">IF(BR38=0,"", -0.00000000004321395721*BR38^6 + 0.00000002531844275498*BR38^5 - 0.00000369428022780862*BR38^4 + 0.00020283665900125*BR38^3 - 0.00462426256803268*BR38^2 + 0.139572935065453*BR38 + 15.4475338156923)</f>
        <v/>
      </c>
      <c r="BW38" s="236" t="str">
        <f aca="false">IF(BR38=0,"",-0.00000000033126390082*BR38^6 + 0.00000010463660614506*BR38^5 - 0.0000129629592998707*BR38^4 + 0.000803946335250767*BR38^3 - 0.0270257140395994*BR38^2 + 0.562590210721552*BR38+ 12.1254107606419)</f>
        <v/>
      </c>
      <c r="BX38" s="236" t="str">
        <f aca="false">IF(BR38=0,"",-0.00000000002593504955*BR38^6 + 0.00000002430495156704*BR38^5 - 0.00000386103271086364*BR38^4 + 0.000214416118986322*BR38^3 - 0.0047271462612021*BR38^2 + 0.156696175741135*BR38 + 15.4598891949502)</f>
        <v/>
      </c>
      <c r="BY38" s="234" t="str">
        <f aca="false">IF(BR38=0,"",$BS$2)</f>
        <v/>
      </c>
      <c r="BZ38" s="234" t="str">
        <f aca="false">IF(BR38=0,"",$BS$3)</f>
        <v/>
      </c>
      <c r="CA38" s="234" t="str">
        <f aca="false">IF(BR38=0,"",$BS$4)</f>
        <v/>
      </c>
      <c r="CB38" s="235" t="str">
        <f aca="false">IF(BR38=0,"",IF(AND(BO38&gt;=0,BO38&lt;4),0.75,IF(AND(BO38&gt;=4,BO38&lt;6),0.85,IF(AND(BO38&gt;=6,BO38&lt;=10),0.95,1))))</f>
        <v/>
      </c>
      <c r="CC38" s="234" t="str">
        <f aca="false">IF(BR38=0,"",BR38*BY38*BZ38*CA38*CB38/60)</f>
        <v/>
      </c>
      <c r="CD38" s="238" t="str">
        <f aca="false">IF(BR38=0,"",IF($S$12="NO","NO",IF($AD$12&lt;=BO38,"SI","NO")))</f>
        <v/>
      </c>
      <c r="CE38" s="235" t="n">
        <f aca="false">IF(BR38=0,0,AB38)</f>
        <v>0</v>
      </c>
      <c r="CF38" s="235" t="n">
        <f aca="false">IF(CE38&gt;0,BO38,0)</f>
        <v>0</v>
      </c>
      <c r="CG38" s="239" t="n">
        <f aca="false">IF(CF38=0,CF38+CG37,CF38)</f>
        <v>0</v>
      </c>
      <c r="CH38" s="239" t="n">
        <f aca="false">IF(CG38=CG37,CH37,ABS(CG38-CG37))</f>
        <v>0</v>
      </c>
      <c r="CI38" s="239" t="n">
        <f aca="false">+CE38*CH38</f>
        <v>0</v>
      </c>
      <c r="CJ38" s="239" t="n">
        <f aca="false">IF(CI38=0,CI38+CJ37,CI38)</f>
        <v>0</v>
      </c>
      <c r="CK38" s="239" t="n">
        <f aca="false">IF(CJ38=CJ37,CK37,ABS(CJ38+CK37))</f>
        <v>0</v>
      </c>
      <c r="CL38" s="241" t="n">
        <f aca="false">IF(CE38=0,0,CK38)</f>
        <v>0</v>
      </c>
      <c r="CM38" s="239" t="n">
        <f aca="false">IF(CE38=0,0,CH38*9.81)</f>
        <v>0</v>
      </c>
      <c r="CN38" s="239" t="n">
        <f aca="false">IF(CM38=0,CM38+CN37,CM38)</f>
        <v>0</v>
      </c>
      <c r="CO38" s="239" t="n">
        <f aca="false">IF(CN38=CN37,CO37,ABS(CN38+CO37))</f>
        <v>0</v>
      </c>
      <c r="CP38" s="241" t="n">
        <f aca="false">IF(CD38="NO",0,IF(CE38=0,0,CO38))</f>
        <v>0</v>
      </c>
      <c r="CQ38" s="244" t="str">
        <f aca="false">IF(BR38=0,"",CL38-CP38)</f>
        <v/>
      </c>
      <c r="CR38" s="244" t="str">
        <f aca="false">IF(BR38=0,"",CQ38/101.3)</f>
        <v/>
      </c>
      <c r="CS38" s="244" t="str">
        <f aca="false">IF(BR38=0,"",LOG(10/CR38))</f>
        <v/>
      </c>
      <c r="CT38" s="243" t="str">
        <f aca="false">IF(BR38=0,"",IF(SQRT(101.3/CQ38)&lt;=1.7,SQRT(101.3/CQ38),2.2/(1.2+(CQ38/101.3))))</f>
        <v/>
      </c>
      <c r="CU38" s="244" t="str">
        <f aca="false">IF(BR38=0,"",1.7/(0.7+CR38))</f>
        <v/>
      </c>
      <c r="CV38" s="244" t="str">
        <f aca="false">IF(BR38=0,"",IF(CR38&gt;=0.25,0.77*LOG(20/CR38),""))</f>
        <v/>
      </c>
      <c r="CW38" s="244" t="str">
        <f aca="false">IF(BR38=0,"",32.5/(10.2+20.3*CR38))</f>
        <v/>
      </c>
      <c r="CX38" s="244" t="str">
        <f aca="false">IF(BR38=0,"",1-1.25*LOG(CR38))</f>
        <v/>
      </c>
      <c r="CY38" s="244" t="str">
        <f aca="false">IF(BR38=0,"",IF(CR38&lt;1,1-1.41*LOG(CR38),1+0.92*LOG(CR38)))</f>
        <v/>
      </c>
      <c r="CZ38" s="244" t="str">
        <f aca="false">IF(BR38=0,"",2/(1+CR38))</f>
        <v/>
      </c>
      <c r="DA38" s="244" t="str">
        <f aca="false">IF(BR38=0,"",IF(CR38&lt;=0.75,4/(1+4*CR38),4/(3.25+CR38)))</f>
        <v/>
      </c>
      <c r="DB38" s="244" t="str">
        <f aca="false">IF(BR38=0,"",CT38)</f>
        <v/>
      </c>
      <c r="DC38" s="244" t="str">
        <f aca="false">IF(BR38=0,"",DB38*CC38)</f>
        <v/>
      </c>
      <c r="DD38" s="244"/>
      <c r="DE38" s="244" t="str">
        <f aca="false">IF(BR38=0,"",0.193*(CC38/(CQ38*0.001))^0.689)</f>
        <v/>
      </c>
      <c r="DF38" s="244" t="str">
        <f aca="false">IF(BR38=0,"",IF(AS38=$AX$4,(0.1348118*CC38 - 0.0383065)*98.0665,""))</f>
        <v/>
      </c>
      <c r="DG38" s="244" t="str">
        <f aca="false">IF(BR38=0,"",IF(AS38=$AX$4,DF38/2,""))</f>
        <v/>
      </c>
      <c r="DH38" s="244" t="str">
        <f aca="false">IF(BR38=0,"",IF(DC38&lt;=15,12*(DC38+6),40+12*(DC38-6)))</f>
        <v/>
      </c>
      <c r="DI38" s="244" t="str">
        <f aca="false">IF(BR38=0,"",IF(CD38="SI",5*(DC38+15),((3.3*(DC38+15))+(4*(DC38+12)))/2))</f>
        <v/>
      </c>
      <c r="DJ38" s="244" t="str">
        <f aca="false">IF(BR38=0,"",8*DC38)</f>
        <v/>
      </c>
      <c r="DK38" s="244" t="str">
        <f aca="false">IF(BR38=0,"",215+(10.6*DC38))</f>
        <v/>
      </c>
      <c r="DL38" s="244" t="str">
        <f aca="false">IF(BR38=0,"",10*(7.5+(0.5*DC38)))</f>
        <v/>
      </c>
      <c r="DM38" s="244" t="str">
        <f aca="false">IF(BR38=0,"",8*DC38)</f>
        <v/>
      </c>
      <c r="DN38" s="244" t="str">
        <f aca="false">IF(AW38=" "," ",IF(DC38=""," ",IF(DC38&lt;4,10*10.2,IF(DC38=4,12*10.2,IF(DC38&lt;10,17.5*10.5,IF(DC38=10,15*10.2,IF(DC38&lt;30,22.5*10.2,IF(DC38=30,35*10.2,IF(DC38&lt;50,40*10.2,IF(DC38=50,50*10.2,55*10.2))))))))))</f>
        <v> </v>
      </c>
      <c r="DO38" s="244" t="str">
        <f aca="false">IF(BR38=0,"",7*SQRT(DC38)*10.1972)</f>
        <v/>
      </c>
      <c r="DP38" s="244" t="str">
        <f aca="false">IF(BR38=0,"",IF(AS38=$AX$4,5*CC38,""))</f>
        <v/>
      </c>
      <c r="DQ38" s="244" t="str">
        <f aca="false">IF(AW38=" "," ",IF(DC38=""," ",IF(DC38&lt;2,4*10.2,IF(DC38=2,6*10.2,IF(DC38&lt;4,12*10.2,IF(DC38=4,20*10.2,IF(DC38&lt;8,30*10.2,IF(DC38=8,35*10.2,IF(DC38&lt;15,40*10.2,IF(DC38=15,42*10.2,IF(DC38&lt;30,45*10.2,IF(DC38=30,50*10.2,70*10.2))))))))))))</f>
        <v> </v>
      </c>
      <c r="DR38" s="244" t="str">
        <f aca="false">IF(BR38=0,"",IF(AS38=$AX$4,220*DP38*0.0101972,""))</f>
        <v/>
      </c>
      <c r="DS38" s="271" t="str">
        <f aca="false">IF(BR38=0,"",IF(AS38=$AX$7,(SUM(DH38:DO38)-MIN(DH38:DO38)-MAX(DH38:DO38))/6,(SUM(DO38:DR38)-MIN(DO38:DR38)-MAX(DO38:DR38))/2))</f>
        <v/>
      </c>
      <c r="DT38" s="244" t="str">
        <f aca="false">IF(AW38=" "," ",IF(DC38=""," ",IF(DC38&lt;4,0.2,IF(DC38=4,0.27,IF(DC38&lt;10,0.33,IF(DC38=10,0.35,IF(DC38&lt;30,0.36,IF(DC38=30,0.37,IF(DC38&lt;50,0.38,IF(DC38=50,0.4,0.45))))))))))</f>
        <v> </v>
      </c>
      <c r="DU38" s="272" t="str">
        <f aca="false">IF(AW38=" "," ",IF(CC38=""," ",IF(CC38&lt;2,0.2,IF(CC38=2,0.23,IF(CC38&lt;4,0.26,IF(CC38=4,0.29,IF(CC38&lt;8,0.32,IF(CC38=8,0.35,IF(CC38&lt;15,0.38,IF(CC38=15,0.41,IF(CC38&lt;30,0.44,IF(CC38=30,0.47,0.5))))))))))))</f>
        <v> </v>
      </c>
      <c r="DV38" s="244" t="str">
        <f aca="false">IF(BR38=0,"",IF(AS38=$AX$3,DT38,DU38))</f>
        <v/>
      </c>
      <c r="DW38" s="244" t="str">
        <f aca="false">IF(BR38=0,"",IF(DC38&gt;15,15+0.5*(DC38-15),DC38))</f>
        <v/>
      </c>
      <c r="DX38" s="244" t="str">
        <f aca="false">IF(BR38=0,"",IF($S$12="SI",IF(CD38="NO",IF($AD$12&gt;(BO38+1.5*$ED$15),1,0.5),0.5),1))</f>
        <v/>
      </c>
      <c r="DY38" s="244" t="str">
        <f aca="false">IF(BR38=0,"",IF($S$12="SI",IF(CD38="NO",IF($AD$12&gt;(BO38+1.5*$EE$15),1,0.5),0.5),1))</f>
        <v/>
      </c>
      <c r="DZ38" s="244" t="str">
        <f aca="false">IF(BR38=0,"",IF($S$12="SI",IF(CD38="NO",IF($AD$12&gt;(BO38+1.5*$EF$15),1,0.5),0.5),1))</f>
        <v/>
      </c>
      <c r="EA38" s="244" t="str">
        <f aca="false">IF(BR38=0,"",IF($S$12="SI",IF(CD38="NO",IF($AD$12&gt;(BO38+1.5*$ED$15),1,0.5),IF($AD$12=BO38,1,0.5)),1))</f>
        <v/>
      </c>
      <c r="EB38" s="244" t="str">
        <f aca="false">IF(BR38=0,"",IF($S$12="SI",IF(CD38="NO",IF($AD$12&gt;(BO38+1.5*$EE$15),1,0.5),IF($AD$12=BO38,1,0.5)),1))</f>
        <v/>
      </c>
      <c r="EC38" s="244" t="str">
        <f aca="false">IF(BR38=0,"",IF($S$12="SI",IF(CD38="NO",IF($AD$12&gt;(BO38+1.5*$EF$15),1,0.5),IF($AD$12=BO38,1,0.5)),1))</f>
        <v/>
      </c>
      <c r="ED38" s="244" t="str">
        <f aca="false">IF(BR38=0,"",(DW38*($ED$15/10)*(DX38+EA38*(BO38/$ED$15))*1)/3)</f>
        <v/>
      </c>
      <c r="EE38" s="244" t="str">
        <f aca="false">IF(BR38=0,"",(DW38*($EE$15/10)*(DY38+EB38*(BO38/$EE$15))*1)/3)</f>
        <v/>
      </c>
      <c r="EF38" s="244" t="str">
        <f aca="false">IF(BR38=0,"",(DW38*($EF$15/10)*(DZ38+EC38*(BO38/$EF$15))*1)/3)</f>
        <v/>
      </c>
      <c r="EG38" s="273" t="str">
        <f aca="false">IF(BR38=0,"",IF(CD38="SI",0.5,1))</f>
        <v/>
      </c>
      <c r="EH38" s="244" t="str">
        <f aca="false">IF(BR38=0,"",IF((1+0.33*(BO38/$ED$15))&lt;=1.33,(1+0.33*(BO38/$ED$15)),1.33))</f>
        <v/>
      </c>
      <c r="EI38" s="244" t="str">
        <f aca="false">IF(BR38=0,"",IF((1+0.33*(BO38/$EE$15))&lt;=1.33,(1+0.33*(BO38/$EE$15)),1.33))</f>
        <v/>
      </c>
      <c r="EJ38" s="244" t="str">
        <f aca="false">IF(BR38=0,"",IF((1+0.33*(BO38/$EF$15))&lt;=1.33,(1+0.33*(BO38/$EF$15)),1.33))</f>
        <v/>
      </c>
      <c r="EK38" s="244" t="str">
        <f aca="false">IF(BR38=0,"",IF($ED$15&lt;=1.2,((20*DC38*EG38*EH38)/3)*0.010197,((12.5*DC38*((($ED$15+0.3)^2)/$ED$15)*EG38*EH38)/3)*0.010197))</f>
        <v/>
      </c>
      <c r="EL38" s="244" t="str">
        <f aca="false">IF(BR38=0,"",IF($EE$15&lt;=1.2,((20*DC38*EG38*EI38)/3)*0.010197,((12.5*DC38*((($EE$15+0.3)^2)/$EE$15)*EG38*EI38)/3)*0.010197))</f>
        <v/>
      </c>
      <c r="EM38" s="244" t="str">
        <f aca="false">IF(BR38=0,"",IF($EF$15&lt;=1.2,((20*DC38*EG38*EJ38)/3)*0.010197,((12.5*DC38*((($EF$15+0.3)^2)/$EF$15)*EG38*EJ38)/3)*0.010197))</f>
        <v/>
      </c>
      <c r="EN38" s="248" t="str">
        <f aca="false">IF(BR38=0,"",SQRT(12*CC38)+25)</f>
        <v/>
      </c>
      <c r="EO38" s="248" t="str">
        <f aca="false">IF(BR38=0,"",28.5+0.25*CC38)</f>
        <v/>
      </c>
      <c r="EP38" s="248" t="str">
        <f aca="false">IF(BR38=0,"",SQRT(20*CC38)+15)</f>
        <v/>
      </c>
      <c r="EQ38" s="248" t="str">
        <f aca="false">IF(BR38=0,"",23.7+0.57*CC38-0.0006*CC38*CC38)</f>
        <v/>
      </c>
      <c r="ER38" s="248" t="str">
        <f aca="false">IF(BR38=0,"",15+SQRT(12.5*DC38))</f>
        <v/>
      </c>
      <c r="ES38" s="248" t="str">
        <f aca="false">IF(BR38=0,"",3.5*SQRT(CC38)+20)</f>
        <v/>
      </c>
      <c r="ET38" s="248" t="str">
        <f aca="false">IF(BR38=0,"",27.1+0.3*DC38-0.00054*DC38*DC38)</f>
        <v/>
      </c>
      <c r="EU38" s="248" t="str">
        <f aca="false">IF(BR38=0,"",SQRT(20*CC38)+20)</f>
        <v/>
      </c>
      <c r="EV38" s="248" t="str">
        <f aca="false">IF(BR38=0,"",12.79+SQRT(25.86*CC38))</f>
        <v/>
      </c>
      <c r="EW38" s="248" t="str">
        <f aca="false">IF(BR38=0,"",DEGREES(_xlfn.ACOT((CC38/(12.2+20.3*CR38))^0.34)))</f>
        <v/>
      </c>
      <c r="EX38" s="248" t="str">
        <f aca="false">IF(BR38=0,"",24+(5.77*LN(0.17*DC38)))</f>
        <v/>
      </c>
      <c r="EY38" s="248" t="str">
        <f aca="false">IF(BR38=0,"",(SUM(EN38:EX38)-MIN(EN38:EX38)-MAX(EN38:EX38))/9)</f>
        <v/>
      </c>
      <c r="EZ38" s="248" t="str">
        <f aca="false">IF(BR38=0,"", -0.0000000034*CC38^6 + 0.0000008305*CC38^5 - 0.0000741842*CC38^4 + 0.0030204278*CC38^3 - 0.0541594733*CC38^2 + 0.8083147848*CC38 - 0.6182191243)</f>
        <v/>
      </c>
      <c r="FA38" s="249" t="str">
        <f aca="false">IF(BR38=0,"",(0.134811827956989*CC38 - 0.0383064516129019)/2)</f>
        <v/>
      </c>
      <c r="FB38" s="249" t="str">
        <f aca="false">IF(BR38=0,"",CC38*0.065)</f>
        <v/>
      </c>
      <c r="FC38" s="249" t="str">
        <f aca="false">IF(BR38=0,"",(CC38*0.12*0.48)*SQRT((1+SIN(EZ38*((2*PI())/360))/(1-SIN(EZ38*((2*PI())/360))))))</f>
        <v/>
      </c>
      <c r="FD38" s="249" t="str">
        <f aca="false">IF(BR38=0,"",(CC38/8)/2)</f>
        <v/>
      </c>
      <c r="FE38" s="249" t="str">
        <f aca="false">IF(BR38=0,"",(SUM(FA38:FD38)-MIN(FA38:FD38)-MAX(FA38:FD38))/2)</f>
        <v/>
      </c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</row>
    <row r="39" customFormat="false" ht="9.75" hidden="false" customHeight="true" outlineLevel="0" collapsed="false">
      <c r="A39" s="197" t="n">
        <f aca="false">ROUND(A38+0.1,1)</f>
        <v>2.2</v>
      </c>
      <c r="B39" s="250" t="n">
        <f aca="false">+A39</f>
        <v>2.2</v>
      </c>
      <c r="C39" s="251"/>
      <c r="D39" s="251"/>
      <c r="E39" s="252"/>
      <c r="F39" s="253"/>
      <c r="G39" s="254"/>
      <c r="H39" s="255"/>
      <c r="I39" s="256"/>
      <c r="J39" s="257"/>
      <c r="K39" s="258"/>
      <c r="L39" s="259"/>
      <c r="M39" s="276"/>
      <c r="N39" s="277"/>
      <c r="O39" s="277"/>
      <c r="P39" s="277"/>
      <c r="Q39" s="293"/>
      <c r="R39" s="294"/>
      <c r="S39" s="294"/>
      <c r="T39" s="295"/>
      <c r="U39" s="295"/>
      <c r="V39" s="296"/>
      <c r="W39" s="296"/>
      <c r="X39" s="296"/>
      <c r="Y39" s="296"/>
      <c r="Z39" s="296"/>
      <c r="AA39" s="296"/>
      <c r="AB39" s="297"/>
      <c r="AC39" s="298"/>
      <c r="AD39" s="299"/>
      <c r="AE39" s="298"/>
      <c r="AF39" s="300"/>
      <c r="AG39" s="267"/>
      <c r="AH39" s="267"/>
      <c r="AI39" s="241"/>
      <c r="AJ39" s="241"/>
      <c r="AK39" s="266"/>
      <c r="AL39" s="266"/>
      <c r="AM39" s="268"/>
      <c r="AN39" s="250" t="n">
        <f aca="false">+AN37+0.2</f>
        <v>2.2</v>
      </c>
      <c r="AO39" s="251"/>
      <c r="AP39" s="251"/>
      <c r="AQ39" s="252"/>
      <c r="AR39" s="253"/>
      <c r="AS39" s="269" t="s">
        <v>13</v>
      </c>
      <c r="AT39" s="221"/>
      <c r="AU39" s="269"/>
      <c r="AV39" s="269"/>
      <c r="AW39" s="270" t="n">
        <f aca="false">+K39+L39</f>
        <v>0</v>
      </c>
      <c r="AX39" s="270" t="str">
        <f aca="false">IF(AS39="&gt;50","CONSISTENCIA",IF(AS39="&lt;50","COMPACIDAD"," "))</f>
        <v>COMPACIDAD</v>
      </c>
      <c r="AY39" s="225" t="str">
        <f aca="false">IF(AS39="&gt;50",AZ39,IF(AS39="&lt;50",BA39," "))</f>
        <v> </v>
      </c>
      <c r="AZ39" s="224" t="str">
        <f aca="false">IF(AW39=" "," ",IF(CC39=""," ",IF(CC39&lt;2,"MUY BLANDA",IF(CC39=2,"MUY BLANDA A BLANDA",IF(CC39&lt;4,"BLANDA",IF(CC39=4,"BLANDA A MEDIA",IF(CC39&lt;8,"MEDIA",IF(CC39=8,"MEDIA A FIRME",IF(CC39&lt;15,"FIRME",IF(CC39=15,"FIRME A MUY FIRME",IF(CC39&lt;30,"MUY FIRME",IF(CC39=30,"MUY FIRME A DURA","DURA"))))))))))))</f>
        <v> </v>
      </c>
      <c r="BA39" s="225" t="str">
        <f aca="false">IF(AW39=" "," ",IF(DC39=""," ",IF(DC39&lt;4,"MUY SUELTA",IF(DC39=4,"MUY SUELTA A SUELTA",IF(DC39&lt;10,"SUELTA",IF(DC39=10,"SUELTA A MEDIA",IF(DC39&lt;30,"MEDIA",IF(DC39=30,"MEDIA A DENSO",IF(DC39&lt;50,"DENSO",IF(DC39=50,"DENSO MUY DENSO","MUY DENSO"))))))))))</f>
        <v> </v>
      </c>
      <c r="BB39" s="226" t="str">
        <f aca="false">IF(BR40=0,"",CQ40*0.0101972)</f>
        <v/>
      </c>
      <c r="BC39" s="227" t="n">
        <f aca="false">+BC38+0.1</f>
        <v>2.2</v>
      </c>
      <c r="BD39" s="227" t="str">
        <f aca="false">IF(BC39&lt;=$AN$10,BC39,"")</f>
        <v/>
      </c>
      <c r="BE39" s="228" t="n">
        <f aca="false">ISNUMBER(BD39)</f>
        <v>0</v>
      </c>
      <c r="BF39" s="229" t="str">
        <f aca="false">MID(M39,1,1)</f>
        <v/>
      </c>
      <c r="BG39" s="230" t="str">
        <f aca="false">IF(BF39="S","",IF(BF39="G","",MID(M39,2,1)))</f>
        <v/>
      </c>
      <c r="BH39" s="231" t="str">
        <f aca="false">CONCATENATE(BF39,BG39)</f>
        <v/>
      </c>
      <c r="BI39" s="6" t="str">
        <f aca="false">IF(BE39=FALSE(),"",IF(BH39="",BI38,BH39))</f>
        <v/>
      </c>
      <c r="BJ39" s="74" t="str">
        <f aca="false">IF(OR(BI39="S",BI39="G"),BI39,"X")</f>
        <v>X</v>
      </c>
      <c r="BK39" s="74" t="s">
        <v>199</v>
      </c>
      <c r="BL39" s="301" t="e">
        <f aca="false">INDEX(sim_0,MATCH($BJ$39,granular,0))</f>
        <v>#NAME?</v>
      </c>
      <c r="BM39" s="301"/>
      <c r="BN39" s="6"/>
      <c r="BO39" s="191" t="n">
        <f aca="false">BO38+0.1</f>
        <v>2.2</v>
      </c>
      <c r="BP39" s="233" t="e">
        <f aca="false">IF(AW39=0,NA(),IF(AS39=$AX$3,ROUND(DC39,0),NA()))</f>
        <v>#N/A</v>
      </c>
      <c r="BQ39" s="31" t="e">
        <f aca="false">IF(AW39=0,NA(),IF(AS39=$AX$4,ROUND(CC39,0),NA()))</f>
        <v>#N/A</v>
      </c>
      <c r="BR39" s="234" t="n">
        <f aca="false">+AW39</f>
        <v>0</v>
      </c>
      <c r="BS39" s="235" t="str">
        <f aca="false">IF(BR39=0,"", -0.00000000016128755327*CC39^6 + 0.00000006709386362421*CC39^5 - 0.0000106217678052217*CC39^4 + 0.00081068114193385*CC39^3 - 0.0314027378159951*CC39^2 + 0.649796593937842*CC39 + 13.7888866455022)</f>
        <v/>
      </c>
      <c r="BT39" s="235" t="str">
        <f aca="false">IF(BR39=0,"",-0.00000000014625939695*CC39^6 + 0.00000004971732060241*CC39^5 - 0.000006683744342031*CC39^4 + 0.0004563177378098*CC39^3 - 0.0171727530635803*CC39^2 + 0.444529932876435*CC39 + 15.6692518940565)</f>
        <v/>
      </c>
      <c r="BU39" s="236" t="str">
        <f aca="false">IF(BR39=0,"", -0.0000000008152265738*BR39^6 + 0.00000022764320256987*BR39^5 - 0.0000248205675927705*BR39^4 + 0.00133186623684865*BR39^3 - 0.0368442570441677*BR39^2 + 0.580111565569094*BR39 + 14.0417598296107)</f>
        <v/>
      </c>
      <c r="BV39" s="236" t="str">
        <f aca="false">IF(BR39=0,"", -0.00000000004321395721*BR39^6 + 0.00000002531844275498*BR39^5 - 0.00000369428022780862*BR39^4 + 0.00020283665900125*BR39^3 - 0.00462426256803268*BR39^2 + 0.139572935065453*BR39 + 15.4475338156923)</f>
        <v/>
      </c>
      <c r="BW39" s="236" t="str">
        <f aca="false">IF(BR39=0,"",-0.00000000033126390082*BR39^6 + 0.00000010463660614506*BR39^5 - 0.0000129629592998707*BR39^4 + 0.000803946335250767*BR39^3 - 0.0270257140395994*BR39^2 + 0.562590210721552*BR39+ 12.1254107606419)</f>
        <v/>
      </c>
      <c r="BX39" s="236" t="str">
        <f aca="false">IF(BR39=0,"",-0.00000000002593504955*BR39^6 + 0.00000002430495156704*BR39^5 - 0.00000386103271086364*BR39^4 + 0.000214416118986322*BR39^3 - 0.0047271462612021*BR39^2 + 0.156696175741135*BR39 + 15.4598891949502)</f>
        <v/>
      </c>
      <c r="BY39" s="234" t="str">
        <f aca="false">IF(BR39=0,"",$BS$2)</f>
        <v/>
      </c>
      <c r="BZ39" s="234" t="str">
        <f aca="false">IF(BR39=0,"",$BS$3)</f>
        <v/>
      </c>
      <c r="CA39" s="234" t="str">
        <f aca="false">IF(BR39=0,"",$BS$4)</f>
        <v/>
      </c>
      <c r="CB39" s="235" t="str">
        <f aca="false">IF(BR39=0,"",IF(AND(BO39&gt;=0,BO39&lt;4),0.75,IF(AND(BO39&gt;=4,BO39&lt;6),0.85,IF(AND(BO39&gt;=6,BO39&lt;=10),0.95,1))))</f>
        <v/>
      </c>
      <c r="CC39" s="234" t="str">
        <f aca="false">IF(BR39=0,"",BR39*BY39*BZ39*CA39*CB39/60)</f>
        <v/>
      </c>
      <c r="CD39" s="238" t="str">
        <f aca="false">IF(BR39=0,"",IF($S$12="NO","NO",IF($AD$12&lt;=BO39,"SI","NO")))</f>
        <v/>
      </c>
      <c r="CE39" s="235" t="n">
        <f aca="false">IF(BR39=0,0,AB39)</f>
        <v>0</v>
      </c>
      <c r="CF39" s="235" t="n">
        <f aca="false">IF(CE39&gt;0,BO39,0)</f>
        <v>0</v>
      </c>
      <c r="CG39" s="239" t="n">
        <f aca="false">IF(CF39=0,CF39+CG38,CF39)</f>
        <v>0</v>
      </c>
      <c r="CH39" s="239" t="n">
        <f aca="false">IF(CG39=CG38,CH38,ABS(CG39-CG38))</f>
        <v>0</v>
      </c>
      <c r="CI39" s="239" t="n">
        <f aca="false">+CE39*CH39</f>
        <v>0</v>
      </c>
      <c r="CJ39" s="239" t="n">
        <f aca="false">IF(CI39=0,CI39+CJ38,CI39)</f>
        <v>0</v>
      </c>
      <c r="CK39" s="239" t="n">
        <f aca="false">IF(CJ39=CJ38,CK38,ABS(CJ39+CK38))</f>
        <v>0</v>
      </c>
      <c r="CL39" s="241" t="n">
        <f aca="false">IF(CE39=0,0,CK39)</f>
        <v>0</v>
      </c>
      <c r="CM39" s="239" t="n">
        <f aca="false">IF(CE39=0,0,CH39*9.81)</f>
        <v>0</v>
      </c>
      <c r="CN39" s="239" t="n">
        <f aca="false">IF(CM39=0,CM39+CN38,CM39)</f>
        <v>0</v>
      </c>
      <c r="CO39" s="239" t="n">
        <f aca="false">IF(CN39=CN38,CO38,ABS(CN39+CO38))</f>
        <v>0</v>
      </c>
      <c r="CP39" s="241" t="n">
        <f aca="false">IF(CD39="NO",0,IF(CE39=0,0,CO39))</f>
        <v>0</v>
      </c>
      <c r="CQ39" s="244" t="str">
        <f aca="false">IF(BR39=0,"",CL39-CP39)</f>
        <v/>
      </c>
      <c r="CR39" s="244" t="str">
        <f aca="false">IF(BR39=0,"",CQ39/101.3)</f>
        <v/>
      </c>
      <c r="CS39" s="244" t="str">
        <f aca="false">IF(BR39=0,"",LOG(10/CR39))</f>
        <v/>
      </c>
      <c r="CT39" s="243" t="str">
        <f aca="false">IF(BR39=0,"",IF(SQRT(101.3/CQ39)&lt;=1.7,SQRT(101.3/CQ39),2.2/(1.2+(CQ39/101.3))))</f>
        <v/>
      </c>
      <c r="CU39" s="244" t="str">
        <f aca="false">IF(BR39=0,"",1.7/(0.7+CR39))</f>
        <v/>
      </c>
      <c r="CV39" s="244" t="str">
        <f aca="false">IF(BR39=0,"",IF(CR39&gt;=0.25,0.77*LOG(20/CR39),""))</f>
        <v/>
      </c>
      <c r="CW39" s="244" t="str">
        <f aca="false">IF(BR39=0,"",32.5/(10.2+20.3*CR39))</f>
        <v/>
      </c>
      <c r="CX39" s="244" t="str">
        <f aca="false">IF(BR39=0,"",1-1.25*LOG(CR39))</f>
        <v/>
      </c>
      <c r="CY39" s="244" t="str">
        <f aca="false">IF(BR39=0,"",IF(CR39&lt;1,1-1.41*LOG(CR39),1+0.92*LOG(CR39)))</f>
        <v/>
      </c>
      <c r="CZ39" s="244" t="str">
        <f aca="false">IF(BR39=0,"",2/(1+CR39))</f>
        <v/>
      </c>
      <c r="DA39" s="244" t="str">
        <f aca="false">IF(BR39=0,"",IF(CR39&lt;=0.75,4/(1+4*CR39),4/(3.25+CR39)))</f>
        <v/>
      </c>
      <c r="DB39" s="244" t="str">
        <f aca="false">IF(BR39=0,"",CT39)</f>
        <v/>
      </c>
      <c r="DC39" s="244" t="str">
        <f aca="false">IF(BR39=0,"",DB39*CC39)</f>
        <v/>
      </c>
      <c r="DD39" s="244"/>
      <c r="DE39" s="244" t="str">
        <f aca="false">IF(BR39=0,"",0.193*(CC39/(CQ39*0.001))^0.689)</f>
        <v/>
      </c>
      <c r="DF39" s="244" t="str">
        <f aca="false">IF(BR39=0,"",IF(AS39=$AX$4,(0.1348118*CC39 - 0.0383065)*98.0665,""))</f>
        <v/>
      </c>
      <c r="DG39" s="244" t="str">
        <f aca="false">IF(BR39=0,"",IF(AS39=$AX$4,DF39/2,""))</f>
        <v/>
      </c>
      <c r="DH39" s="244" t="str">
        <f aca="false">IF(BR39=0,"",IF(DC39&lt;=15,12*(DC39+6),40+12*(DC39-6)))</f>
        <v/>
      </c>
      <c r="DI39" s="244" t="str">
        <f aca="false">IF(BR39=0,"",IF(CD39="SI",5*(DC39+15),((3.3*(DC39+15))+(4*(DC39+12)))/2))</f>
        <v/>
      </c>
      <c r="DJ39" s="244" t="str">
        <f aca="false">IF(BR39=0,"",8*DC39)</f>
        <v/>
      </c>
      <c r="DK39" s="244" t="str">
        <f aca="false">IF(BR39=0,"",215+(10.6*DC39))</f>
        <v/>
      </c>
      <c r="DL39" s="244" t="str">
        <f aca="false">IF(BR39=0,"",10*(7.5+(0.5*DC39)))</f>
        <v/>
      </c>
      <c r="DM39" s="244" t="str">
        <f aca="false">IF(BR39=0,"",8*DC39)</f>
        <v/>
      </c>
      <c r="DN39" s="244" t="str">
        <f aca="false">IF(AW39=" "," ",IF(DC39=""," ",IF(DC39&lt;4,10*10.2,IF(DC39=4,12*10.2,IF(DC39&lt;10,17.5*10.5,IF(DC39=10,15*10.2,IF(DC39&lt;30,22.5*10.2,IF(DC39=30,35*10.2,IF(DC39&lt;50,40*10.2,IF(DC39=50,50*10.2,55*10.2))))))))))</f>
        <v> </v>
      </c>
      <c r="DO39" s="244" t="str">
        <f aca="false">IF(BR39=0,"",7*SQRT(DC39)*10.1972)</f>
        <v/>
      </c>
      <c r="DP39" s="244" t="str">
        <f aca="false">IF(BR39=0,"",IF(AS39=$AX$4,5*CC39,""))</f>
        <v/>
      </c>
      <c r="DQ39" s="244" t="str">
        <f aca="false">IF(AW39=" "," ",IF(DC39=""," ",IF(DC39&lt;2,4*10.2,IF(DC39=2,6*10.2,IF(DC39&lt;4,12*10.2,IF(DC39=4,20*10.2,IF(DC39&lt;8,30*10.2,IF(DC39=8,35*10.2,IF(DC39&lt;15,40*10.2,IF(DC39=15,42*10.2,IF(DC39&lt;30,45*10.2,IF(DC39=30,50*10.2,70*10.2))))))))))))</f>
        <v> </v>
      </c>
      <c r="DR39" s="244" t="str">
        <f aca="false">IF(BR39=0,"",IF(AS39=$AX$4,220*DP39*0.0101972,""))</f>
        <v/>
      </c>
      <c r="DS39" s="271" t="str">
        <f aca="false">IF(BR39=0,"",IF(AS39=$AX$7,(SUM(DH39:DO39)-MIN(DH39:DO39)-MAX(DH39:DO39))/6,(SUM(DO39:DR39)-MIN(DO39:DR39)-MAX(DO39:DR39))/2))</f>
        <v/>
      </c>
      <c r="DT39" s="244" t="str">
        <f aca="false">IF(AW39=" "," ",IF(DC39=""," ",IF(DC39&lt;4,0.2,IF(DC39=4,0.27,IF(DC39&lt;10,0.33,IF(DC39=10,0.35,IF(DC39&lt;30,0.36,IF(DC39=30,0.37,IF(DC39&lt;50,0.38,IF(DC39=50,0.4,0.45))))))))))</f>
        <v> </v>
      </c>
      <c r="DU39" s="272" t="str">
        <f aca="false">IF(AW39=" "," ",IF(CC39=""," ",IF(CC39&lt;2,0.2,IF(CC39=2,0.23,IF(CC39&lt;4,0.26,IF(CC39=4,0.29,IF(CC39&lt;8,0.32,IF(CC39=8,0.35,IF(CC39&lt;15,0.38,IF(CC39=15,0.41,IF(CC39&lt;30,0.44,IF(CC39=30,0.47,0.5))))))))))))</f>
        <v> </v>
      </c>
      <c r="DV39" s="244" t="str">
        <f aca="false">IF(BR39=0,"",IF(AS39=$AX$3,DT39,DU39))</f>
        <v/>
      </c>
      <c r="DW39" s="244" t="str">
        <f aca="false">IF(BR39=0,"",IF(DC39&gt;15,15+0.5*(DC39-15),DC39))</f>
        <v/>
      </c>
      <c r="DX39" s="244" t="str">
        <f aca="false">IF(BR39=0,"",IF($S$12="SI",IF(CD39="NO",IF($AD$12&gt;(BO39+1.5*$ED$15),1,0.5),0.5),1))</f>
        <v/>
      </c>
      <c r="DY39" s="244" t="str">
        <f aca="false">IF(BR39=0,"",IF($S$12="SI",IF(CD39="NO",IF($AD$12&gt;(BO39+1.5*$EE$15),1,0.5),0.5),1))</f>
        <v/>
      </c>
      <c r="DZ39" s="244" t="str">
        <f aca="false">IF(BR39=0,"",IF($S$12="SI",IF(CD39="NO",IF($AD$12&gt;(BO39+1.5*$EF$15),1,0.5),0.5),1))</f>
        <v/>
      </c>
      <c r="EA39" s="244" t="str">
        <f aca="false">IF(BR39=0,"",IF($S$12="SI",IF(CD39="NO",IF($AD$12&gt;(BO39+1.5*$ED$15),1,0.5),IF($AD$12=BO39,1,0.5)),1))</f>
        <v/>
      </c>
      <c r="EB39" s="244" t="str">
        <f aca="false">IF(BR39=0,"",IF($S$12="SI",IF(CD39="NO",IF($AD$12&gt;(BO39+1.5*$EE$15),1,0.5),IF($AD$12=BO39,1,0.5)),1))</f>
        <v/>
      </c>
      <c r="EC39" s="244" t="str">
        <f aca="false">IF(BR39=0,"",IF($S$12="SI",IF(CD39="NO",IF($AD$12&gt;(BO39+1.5*$EF$15),1,0.5),IF($AD$12=BO39,1,0.5)),1))</f>
        <v/>
      </c>
      <c r="ED39" s="244" t="str">
        <f aca="false">IF(BR39=0,"",(DW39*($ED$15/10)*(DX39+EA39*(BO39/$ED$15))*1)/3)</f>
        <v/>
      </c>
      <c r="EE39" s="244" t="str">
        <f aca="false">IF(BR39=0,"",(DW39*($EE$15/10)*(DY39+EB39*(BO39/$EE$15))*1)/3)</f>
        <v/>
      </c>
      <c r="EF39" s="244" t="str">
        <f aca="false">IF(BR39=0,"",(DW39*($EF$15/10)*(DZ39+EC39*(BO39/$EF$15))*1)/3)</f>
        <v/>
      </c>
      <c r="EG39" s="273" t="str">
        <f aca="false">IF(BR39=0,"",IF(CD39="SI",0.5,1))</f>
        <v/>
      </c>
      <c r="EH39" s="244" t="str">
        <f aca="false">IF(BR39=0,"",IF((1+0.33*(BO39/$ED$15))&lt;=1.33,(1+0.33*(BO39/$ED$15)),1.33))</f>
        <v/>
      </c>
      <c r="EI39" s="244" t="str">
        <f aca="false">IF(BR39=0,"",IF((1+0.33*(BO39/$EE$15))&lt;=1.33,(1+0.33*(BO39/$EE$15)),1.33))</f>
        <v/>
      </c>
      <c r="EJ39" s="244" t="str">
        <f aca="false">IF(BR39=0,"",IF((1+0.33*(BO39/$EF$15))&lt;=1.33,(1+0.33*(BO39/$EF$15)),1.33))</f>
        <v/>
      </c>
      <c r="EK39" s="244" t="str">
        <f aca="false">IF(BR39=0,"",IF($ED$15&lt;=1.2,((20*DC39*EG39*EH39)/3)*0.010197,((12.5*DC39*((($ED$15+0.3)^2)/$ED$15)*EG39*EH39)/3)*0.010197))</f>
        <v/>
      </c>
      <c r="EL39" s="244" t="str">
        <f aca="false">IF(BR39=0,"",IF($EE$15&lt;=1.2,((20*DC39*EG39*EI39)/3)*0.010197,((12.5*DC39*((($EE$15+0.3)^2)/$EE$15)*EG39*EI39)/3)*0.010197))</f>
        <v/>
      </c>
      <c r="EM39" s="244" t="str">
        <f aca="false">IF(BR39=0,"",IF($EF$15&lt;=1.2,((20*DC39*EG39*EJ39)/3)*0.010197,((12.5*DC39*((($EF$15+0.3)^2)/$EF$15)*EG39*EJ39)/3)*0.010197))</f>
        <v/>
      </c>
      <c r="EN39" s="248" t="str">
        <f aca="false">IF(BR39=0,"",SQRT(12*CC39)+25)</f>
        <v/>
      </c>
      <c r="EO39" s="248" t="str">
        <f aca="false">IF(BR39=0,"",28.5+0.25*CC39)</f>
        <v/>
      </c>
      <c r="EP39" s="248" t="str">
        <f aca="false">IF(BR39=0,"",SQRT(20*CC39)+15)</f>
        <v/>
      </c>
      <c r="EQ39" s="248" t="str">
        <f aca="false">IF(BR39=0,"",23.7+0.57*CC39-0.0006*CC39*CC39)</f>
        <v/>
      </c>
      <c r="ER39" s="248" t="str">
        <f aca="false">IF(BR39=0,"",15+SQRT(12.5*DC39))</f>
        <v/>
      </c>
      <c r="ES39" s="248" t="str">
        <f aca="false">IF(BR39=0,"",3.5*SQRT(CC39)+20)</f>
        <v/>
      </c>
      <c r="ET39" s="248" t="str">
        <f aca="false">IF(BR39=0,"",27.1+0.3*DC39-0.00054*DC39*DC39)</f>
        <v/>
      </c>
      <c r="EU39" s="248" t="str">
        <f aca="false">IF(BR39=0,"",SQRT(20*CC39)+20)</f>
        <v/>
      </c>
      <c r="EV39" s="248" t="str">
        <f aca="false">IF(BR39=0,"",12.79+SQRT(25.86*CC39))</f>
        <v/>
      </c>
      <c r="EW39" s="248" t="str">
        <f aca="false">IF(BR39=0,"",DEGREES(_xlfn.ACOT((CC39/(12.2+20.3*CR39))^0.34)))</f>
        <v/>
      </c>
      <c r="EX39" s="248" t="str">
        <f aca="false">IF(BR39=0,"",24+(5.77*LN(0.17*DC39)))</f>
        <v/>
      </c>
      <c r="EY39" s="248" t="str">
        <f aca="false">IF(BR39=0,"",(SUM(EN39:EX39)-MIN(EN39:EX39)-MAX(EN39:EX39))/9)</f>
        <v/>
      </c>
      <c r="EZ39" s="248" t="str">
        <f aca="false">IF(BR39=0,"", -0.0000000034*CC39^6 + 0.0000008305*CC39^5 - 0.0000741842*CC39^4 + 0.0030204278*CC39^3 - 0.0541594733*CC39^2 + 0.8083147848*CC39 - 0.6182191243)</f>
        <v/>
      </c>
      <c r="FA39" s="249" t="str">
        <f aca="false">IF(BR39=0,"",(0.134811827956989*CC39 - 0.0383064516129019)/2)</f>
        <v/>
      </c>
      <c r="FB39" s="249" t="str">
        <f aca="false">IF(BR39=0,"",CC39*0.065)</f>
        <v/>
      </c>
      <c r="FC39" s="249" t="str">
        <f aca="false">IF(BR39=0,"",(CC39*0.12*0.48)*SQRT((1+SIN(EZ39*((2*PI())/360))/(1-SIN(EZ39*((2*PI())/360))))))</f>
        <v/>
      </c>
      <c r="FD39" s="249" t="str">
        <f aca="false">IF(BR39=0,"",(CC39/8)/2)</f>
        <v/>
      </c>
      <c r="FE39" s="249" t="str">
        <f aca="false">IF(BR39=0,"",(SUM(FA39:FD39)-MIN(FA39:FD39)-MAX(FA39:FD39))/2)</f>
        <v/>
      </c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</row>
    <row r="40" customFormat="false" ht="9.75" hidden="false" customHeight="true" outlineLevel="0" collapsed="false">
      <c r="A40" s="197" t="n">
        <f aca="false">ROUND(A39+0.1,1)</f>
        <v>2.3</v>
      </c>
      <c r="B40" s="250"/>
      <c r="C40" s="251"/>
      <c r="D40" s="251"/>
      <c r="E40" s="199"/>
      <c r="F40" s="200"/>
      <c r="G40" s="279"/>
      <c r="H40" s="280"/>
      <c r="I40" s="280"/>
      <c r="J40" s="257"/>
      <c r="K40" s="258"/>
      <c r="L40" s="259"/>
      <c r="M40" s="276"/>
      <c r="N40" s="277"/>
      <c r="O40" s="277"/>
      <c r="P40" s="277"/>
      <c r="Q40" s="293"/>
      <c r="R40" s="294"/>
      <c r="S40" s="294"/>
      <c r="T40" s="295"/>
      <c r="U40" s="295"/>
      <c r="V40" s="296"/>
      <c r="W40" s="296"/>
      <c r="X40" s="296"/>
      <c r="Y40" s="296"/>
      <c r="Z40" s="296"/>
      <c r="AA40" s="296"/>
      <c r="AB40" s="297"/>
      <c r="AC40" s="298"/>
      <c r="AD40" s="299"/>
      <c r="AE40" s="298"/>
      <c r="AF40" s="300"/>
      <c r="AG40" s="267"/>
      <c r="AH40" s="267"/>
      <c r="AI40" s="241"/>
      <c r="AJ40" s="241"/>
      <c r="AK40" s="266"/>
      <c r="AL40" s="266"/>
      <c r="AM40" s="268"/>
      <c r="AN40" s="250"/>
      <c r="AO40" s="251"/>
      <c r="AP40" s="251"/>
      <c r="AQ40" s="199"/>
      <c r="AR40" s="200"/>
      <c r="AS40" s="269" t="s">
        <v>13</v>
      </c>
      <c r="AT40" s="221"/>
      <c r="AU40" s="269"/>
      <c r="AV40" s="269"/>
      <c r="AW40" s="270" t="n">
        <f aca="false">+K40+L40</f>
        <v>0</v>
      </c>
      <c r="AX40" s="270" t="str">
        <f aca="false">IF(AS40="&gt;50","CONSISTENCIA",IF(AS40="&lt;50","COMPACIDAD"," "))</f>
        <v>COMPACIDAD</v>
      </c>
      <c r="AY40" s="225" t="str">
        <f aca="false">IF(AS40="&gt;50",AZ40,IF(AS40="&lt;50",BA40," "))</f>
        <v> </v>
      </c>
      <c r="AZ40" s="224" t="str">
        <f aca="false">IF(AW40=" "," ",IF(CC40=""," ",IF(CC40&lt;2,"MUY BLANDA",IF(CC40=2,"MUY BLANDA A BLANDA",IF(CC40&lt;4,"BLANDA",IF(CC40=4,"BLANDA A MEDIA",IF(CC40&lt;8,"MEDIA",IF(CC40=8,"MEDIA A FIRME",IF(CC40&lt;15,"FIRME",IF(CC40=15,"FIRME A MUY FIRME",IF(CC40&lt;30,"MUY FIRME",IF(CC40=30,"MUY FIRME A DURA","DURA"))))))))))))</f>
        <v> </v>
      </c>
      <c r="BA40" s="225" t="str">
        <f aca="false">IF(AW40=" "," ",IF(DC40=""," ",IF(DC40&lt;4,"MUY SUELTA",IF(DC40=4,"MUY SUELTA A SUELTA",IF(DC40&lt;10,"SUELTA",IF(DC40=10,"SUELTA A MEDIA",IF(DC40&lt;30,"MEDIA",IF(DC40=30,"MEDIA A DENSO",IF(DC40&lt;50,"DENSO",IF(DC40=50,"DENSO MUY DENSO","MUY DENSO"))))))))))</f>
        <v> </v>
      </c>
      <c r="BB40" s="226" t="str">
        <f aca="false">IF(BR41=0,"",CQ41*0.0101972)</f>
        <v/>
      </c>
      <c r="BC40" s="227" t="n">
        <f aca="false">+BC39+0.1</f>
        <v>2.3</v>
      </c>
      <c r="BD40" s="227" t="str">
        <f aca="false">IF(BC40&lt;=$AN$10,BC40,"")</f>
        <v/>
      </c>
      <c r="BE40" s="228" t="n">
        <f aca="false">ISNUMBER(BD40)</f>
        <v>0</v>
      </c>
      <c r="BF40" s="229" t="str">
        <f aca="false">MID(M40,1,1)</f>
        <v/>
      </c>
      <c r="BG40" s="230" t="str">
        <f aca="false">IF(BF40="S","",IF(BF40="G","",MID(M40,2,1)))</f>
        <v/>
      </c>
      <c r="BH40" s="231" t="str">
        <f aca="false">CONCATENATE(BF40,BG40)</f>
        <v/>
      </c>
      <c r="BI40" s="6" t="str">
        <f aca="false">IF(BE40=FALSE(),"",IF(BH40="",BI39,BH40))</f>
        <v/>
      </c>
      <c r="BJ40" s="74" t="str">
        <f aca="false">IF(OR(BI40="S",BI40="G"),BI40,"X")</f>
        <v>X</v>
      </c>
      <c r="BK40" s="74" t="s">
        <v>200</v>
      </c>
      <c r="BL40" s="301" t="e">
        <f aca="false">INDEX(sim_0,MATCH($BJ$40,granular,0))</f>
        <v>#NAME?</v>
      </c>
      <c r="BM40" s="301"/>
      <c r="BN40" s="6"/>
      <c r="BO40" s="191" t="n">
        <f aca="false">BO39+0.1</f>
        <v>2.3</v>
      </c>
      <c r="BP40" s="233" t="e">
        <f aca="false">IF(AW40=0,NA(),IF(AS40=$AX$3,ROUND(DC40,0),NA()))</f>
        <v>#N/A</v>
      </c>
      <c r="BQ40" s="31" t="e">
        <f aca="false">IF(AW40=0,NA(),IF(AS40=$AX$4,ROUND(CC40,0),NA()))</f>
        <v>#N/A</v>
      </c>
      <c r="BR40" s="234" t="n">
        <f aca="false">+AW40</f>
        <v>0</v>
      </c>
      <c r="BS40" s="235" t="str">
        <f aca="false">IF(BR40=0,"", -0.00000000016128755327*CC40^6 + 0.00000006709386362421*CC40^5 - 0.0000106217678052217*CC40^4 + 0.00081068114193385*CC40^3 - 0.0314027378159951*CC40^2 + 0.649796593937842*CC40 + 13.7888866455022)</f>
        <v/>
      </c>
      <c r="BT40" s="235" t="str">
        <f aca="false">IF(BR40=0,"",-0.00000000014625939695*CC40^6 + 0.00000004971732060241*CC40^5 - 0.000006683744342031*CC40^4 + 0.0004563177378098*CC40^3 - 0.0171727530635803*CC40^2 + 0.444529932876435*CC40 + 15.6692518940565)</f>
        <v/>
      </c>
      <c r="BU40" s="236" t="str">
        <f aca="false">IF(BR40=0,"", -0.0000000008152265738*BR40^6 + 0.00000022764320256987*BR40^5 - 0.0000248205675927705*BR40^4 + 0.00133186623684865*BR40^3 - 0.0368442570441677*BR40^2 + 0.580111565569094*BR40 + 14.0417598296107)</f>
        <v/>
      </c>
      <c r="BV40" s="236" t="str">
        <f aca="false">IF(BR40=0,"", -0.00000000004321395721*BR40^6 + 0.00000002531844275498*BR40^5 - 0.00000369428022780862*BR40^4 + 0.00020283665900125*BR40^3 - 0.00462426256803268*BR40^2 + 0.139572935065453*BR40 + 15.4475338156923)</f>
        <v/>
      </c>
      <c r="BW40" s="236" t="str">
        <f aca="false">IF(BR40=0,"",-0.00000000033126390082*BR40^6 + 0.00000010463660614506*BR40^5 - 0.0000129629592998707*BR40^4 + 0.000803946335250767*BR40^3 - 0.0270257140395994*BR40^2 + 0.562590210721552*BR40+ 12.1254107606419)</f>
        <v/>
      </c>
      <c r="BX40" s="236" t="str">
        <f aca="false">IF(BR40=0,"",-0.00000000002593504955*BR40^6 + 0.00000002430495156704*BR40^5 - 0.00000386103271086364*BR40^4 + 0.000214416118986322*BR40^3 - 0.0047271462612021*BR40^2 + 0.156696175741135*BR40 + 15.4598891949502)</f>
        <v/>
      </c>
      <c r="BY40" s="234" t="str">
        <f aca="false">IF(BR40=0,"",$BS$2)</f>
        <v/>
      </c>
      <c r="BZ40" s="234" t="str">
        <f aca="false">IF(BR40=0,"",$BS$3)</f>
        <v/>
      </c>
      <c r="CA40" s="234" t="str">
        <f aca="false">IF(BR40=0,"",$BS$4)</f>
        <v/>
      </c>
      <c r="CB40" s="235" t="str">
        <f aca="false">IF(BR40=0,"",IF(AND(BO40&gt;=0,BO40&lt;4),0.75,IF(AND(BO40&gt;=4,BO40&lt;6),0.85,IF(AND(BO40&gt;=6,BO40&lt;=10),0.95,1))))</f>
        <v/>
      </c>
      <c r="CC40" s="234" t="str">
        <f aca="false">IF(BR40=0,"",BR40*BY40*BZ40*CA40*CB40/60)</f>
        <v/>
      </c>
      <c r="CD40" s="238" t="str">
        <f aca="false">IF(BR40=0,"",IF($S$12="NO","NO",IF($AD$12&lt;=BO40,"SI","NO")))</f>
        <v/>
      </c>
      <c r="CE40" s="235" t="n">
        <f aca="false">IF(BR40=0,0,AB40)</f>
        <v>0</v>
      </c>
      <c r="CF40" s="235" t="n">
        <f aca="false">IF(CE40&gt;0,BO40,0)</f>
        <v>0</v>
      </c>
      <c r="CG40" s="239" t="n">
        <f aca="false">IF(CF40=0,CF40+CG39,CF40)</f>
        <v>0</v>
      </c>
      <c r="CH40" s="239" t="n">
        <f aca="false">IF(CG40=CG39,CH39,ABS(CG40-CG39))</f>
        <v>0</v>
      </c>
      <c r="CI40" s="239" t="n">
        <f aca="false">+CE40*CH40</f>
        <v>0</v>
      </c>
      <c r="CJ40" s="239" t="n">
        <f aca="false">IF(CI40=0,CI40+CJ39,CI40)</f>
        <v>0</v>
      </c>
      <c r="CK40" s="239" t="n">
        <f aca="false">IF(CJ40=CJ39,CK39,ABS(CJ40+CK39))</f>
        <v>0</v>
      </c>
      <c r="CL40" s="241" t="n">
        <f aca="false">IF(CE40=0,0,CK40)</f>
        <v>0</v>
      </c>
      <c r="CM40" s="239" t="n">
        <f aca="false">IF(CE40=0,0,CH40*9.81)</f>
        <v>0</v>
      </c>
      <c r="CN40" s="239" t="n">
        <f aca="false">IF(CM40=0,CM40+CN39,CM40)</f>
        <v>0</v>
      </c>
      <c r="CO40" s="239" t="n">
        <f aca="false">IF(CN40=CN39,CO39,ABS(CN40+CO39))</f>
        <v>0</v>
      </c>
      <c r="CP40" s="241" t="n">
        <f aca="false">IF(CD40="NO",0,IF(CE40=0,0,CO40))</f>
        <v>0</v>
      </c>
      <c r="CQ40" s="244" t="str">
        <f aca="false">IF(BR40=0,"",CL40-CP40)</f>
        <v/>
      </c>
      <c r="CR40" s="244" t="str">
        <f aca="false">IF(BR40=0,"",CQ40/101.3)</f>
        <v/>
      </c>
      <c r="CS40" s="244" t="str">
        <f aca="false">IF(BR40=0,"",LOG(10/CR40))</f>
        <v/>
      </c>
      <c r="CT40" s="243" t="str">
        <f aca="false">IF(BR40=0,"",IF(SQRT(101.3/CQ40)&lt;=1.7,SQRT(101.3/CQ40),2.2/(1.2+(CQ40/101.3))))</f>
        <v/>
      </c>
      <c r="CU40" s="244" t="str">
        <f aca="false">IF(BR40=0,"",1.7/(0.7+CR40))</f>
        <v/>
      </c>
      <c r="CV40" s="244" t="str">
        <f aca="false">IF(BR40=0,"",IF(CR40&gt;=0.25,0.77*LOG(20/CR40),""))</f>
        <v/>
      </c>
      <c r="CW40" s="244" t="str">
        <f aca="false">IF(BR40=0,"",32.5/(10.2+20.3*CR40))</f>
        <v/>
      </c>
      <c r="CX40" s="244" t="str">
        <f aca="false">IF(BR40=0,"",1-1.25*LOG(CR40))</f>
        <v/>
      </c>
      <c r="CY40" s="244" t="str">
        <f aca="false">IF(BR40=0,"",IF(CR40&lt;1,1-1.41*LOG(CR40),1+0.92*LOG(CR40)))</f>
        <v/>
      </c>
      <c r="CZ40" s="244" t="str">
        <f aca="false">IF(BR40=0,"",2/(1+CR40))</f>
        <v/>
      </c>
      <c r="DA40" s="244" t="str">
        <f aca="false">IF(BR40=0,"",IF(CR40&lt;=0.75,4/(1+4*CR40),4/(3.25+CR40)))</f>
        <v/>
      </c>
      <c r="DB40" s="244" t="str">
        <f aca="false">IF(BR40=0,"",CT40)</f>
        <v/>
      </c>
      <c r="DC40" s="244" t="str">
        <f aca="false">IF(BR40=0,"",DB40*CC40)</f>
        <v/>
      </c>
      <c r="DD40" s="244"/>
      <c r="DE40" s="244" t="str">
        <f aca="false">IF(BR40=0,"",0.193*(CC40/(CQ40*0.001))^0.689)</f>
        <v/>
      </c>
      <c r="DF40" s="244" t="str">
        <f aca="false">IF(BR40=0,"",IF(AS40=$AX$4,(0.1348118*CC40 - 0.0383065)*98.0665,""))</f>
        <v/>
      </c>
      <c r="DG40" s="244" t="str">
        <f aca="false">IF(BR40=0,"",IF(AS40=$AX$4,DF40/2,""))</f>
        <v/>
      </c>
      <c r="DH40" s="244" t="str">
        <f aca="false">IF(BR40=0,"",IF(DC40&lt;=15,12*(DC40+6),40+12*(DC40-6)))</f>
        <v/>
      </c>
      <c r="DI40" s="244" t="str">
        <f aca="false">IF(BR40=0,"",IF(CD40="SI",5*(DC40+15),((3.3*(DC40+15))+(4*(DC40+12)))/2))</f>
        <v/>
      </c>
      <c r="DJ40" s="244" t="str">
        <f aca="false">IF(BR40=0,"",8*DC40)</f>
        <v/>
      </c>
      <c r="DK40" s="244" t="str">
        <f aca="false">IF(BR40=0,"",215+(10.6*DC40))</f>
        <v/>
      </c>
      <c r="DL40" s="244" t="str">
        <f aca="false">IF(BR40=0,"",10*(7.5+(0.5*DC40)))</f>
        <v/>
      </c>
      <c r="DM40" s="244" t="str">
        <f aca="false">IF(BR40=0,"",8*DC40)</f>
        <v/>
      </c>
      <c r="DN40" s="244" t="str">
        <f aca="false">IF(AW40=" "," ",IF(DC40=""," ",IF(DC40&lt;4,10*10.2,IF(DC40=4,12*10.2,IF(DC40&lt;10,17.5*10.5,IF(DC40=10,15*10.2,IF(DC40&lt;30,22.5*10.2,IF(DC40=30,35*10.2,IF(DC40&lt;50,40*10.2,IF(DC40=50,50*10.2,55*10.2))))))))))</f>
        <v> </v>
      </c>
      <c r="DO40" s="244" t="str">
        <f aca="false">IF(BR40=0,"",7*SQRT(DC40)*10.1972)</f>
        <v/>
      </c>
      <c r="DP40" s="244" t="str">
        <f aca="false">IF(BR40=0,"",IF(AS40=$AX$4,5*CC40,""))</f>
        <v/>
      </c>
      <c r="DQ40" s="244" t="str">
        <f aca="false">IF(AW40=" "," ",IF(DC40=""," ",IF(DC40&lt;2,4*10.2,IF(DC40=2,6*10.2,IF(DC40&lt;4,12*10.2,IF(DC40=4,20*10.2,IF(DC40&lt;8,30*10.2,IF(DC40=8,35*10.2,IF(DC40&lt;15,40*10.2,IF(DC40=15,42*10.2,IF(DC40&lt;30,45*10.2,IF(DC40=30,50*10.2,70*10.2))))))))))))</f>
        <v> </v>
      </c>
      <c r="DR40" s="244" t="str">
        <f aca="false">IF(BR40=0,"",IF(AS40=$AX$4,220*DP40*0.0101972,""))</f>
        <v/>
      </c>
      <c r="DS40" s="271" t="str">
        <f aca="false">IF(BR40=0,"",IF(AS40=$AX$7,(SUM(DH40:DO40)-MIN(DH40:DO40)-MAX(DH40:DO40))/6,(SUM(DO40:DR40)-MIN(DO40:DR40)-MAX(DO40:DR40))/2))</f>
        <v/>
      </c>
      <c r="DT40" s="244" t="str">
        <f aca="false">IF(AW40=" "," ",IF(DC40=""," ",IF(DC40&lt;4,0.2,IF(DC40=4,0.27,IF(DC40&lt;10,0.33,IF(DC40=10,0.35,IF(DC40&lt;30,0.36,IF(DC40=30,0.37,IF(DC40&lt;50,0.38,IF(DC40=50,0.4,0.45))))))))))</f>
        <v> </v>
      </c>
      <c r="DU40" s="272" t="str">
        <f aca="false">IF(AW40=" "," ",IF(CC40=""," ",IF(CC40&lt;2,0.2,IF(CC40=2,0.23,IF(CC40&lt;4,0.26,IF(CC40=4,0.29,IF(CC40&lt;8,0.32,IF(CC40=8,0.35,IF(CC40&lt;15,0.38,IF(CC40=15,0.41,IF(CC40&lt;30,0.44,IF(CC40=30,0.47,0.5))))))))))))</f>
        <v> </v>
      </c>
      <c r="DV40" s="244" t="str">
        <f aca="false">IF(BR40=0,"",IF(AS40=$AX$3,DT40,DU40))</f>
        <v/>
      </c>
      <c r="DW40" s="244" t="str">
        <f aca="false">IF(BR40=0,"",IF(DC40&gt;15,15+0.5*(DC40-15),DC40))</f>
        <v/>
      </c>
      <c r="DX40" s="244" t="str">
        <f aca="false">IF(BR40=0,"",IF($S$12="SI",IF(CD40="NO",IF($AD$12&gt;(BO40+1.5*$ED$15),1,0.5),0.5),1))</f>
        <v/>
      </c>
      <c r="DY40" s="244" t="str">
        <f aca="false">IF(BR40=0,"",IF($S$12="SI",IF(CD40="NO",IF($AD$12&gt;(BO40+1.5*$EE$15),1,0.5),0.5),1))</f>
        <v/>
      </c>
      <c r="DZ40" s="244" t="str">
        <f aca="false">IF(BR40=0,"",IF($S$12="SI",IF(CD40="NO",IF($AD$12&gt;(BO40+1.5*$EF$15),1,0.5),0.5),1))</f>
        <v/>
      </c>
      <c r="EA40" s="244" t="str">
        <f aca="false">IF(BR40=0,"",IF($S$12="SI",IF(CD40="NO",IF($AD$12&gt;(BO40+1.5*$ED$15),1,0.5),IF($AD$12=BO40,1,0.5)),1))</f>
        <v/>
      </c>
      <c r="EB40" s="244" t="str">
        <f aca="false">IF(BR40=0,"",IF($S$12="SI",IF(CD40="NO",IF($AD$12&gt;(BO40+1.5*$EE$15),1,0.5),IF($AD$12=BO40,1,0.5)),1))</f>
        <v/>
      </c>
      <c r="EC40" s="244" t="str">
        <f aca="false">IF(BR40=0,"",IF($S$12="SI",IF(CD40="NO",IF($AD$12&gt;(BO40+1.5*$EF$15),1,0.5),IF($AD$12=BO40,1,0.5)),1))</f>
        <v/>
      </c>
      <c r="ED40" s="244" t="str">
        <f aca="false">IF(BR40=0,"",(DW40*($ED$15/10)*(DX40+EA40*(BO40/$ED$15))*1)/3)</f>
        <v/>
      </c>
      <c r="EE40" s="244" t="str">
        <f aca="false">IF(BR40=0,"",(DW40*($EE$15/10)*(DY40+EB40*(BO40/$EE$15))*1)/3)</f>
        <v/>
      </c>
      <c r="EF40" s="244" t="str">
        <f aca="false">IF(BR40=0,"",(DW40*($EF$15/10)*(DZ40+EC40*(BO40/$EF$15))*1)/3)</f>
        <v/>
      </c>
      <c r="EG40" s="273" t="str">
        <f aca="false">IF(BR40=0,"",IF(CD40="SI",0.5,1))</f>
        <v/>
      </c>
      <c r="EH40" s="244" t="str">
        <f aca="false">IF(BR40=0,"",IF((1+0.33*(BO40/$ED$15))&lt;=1.33,(1+0.33*(BO40/$ED$15)),1.33))</f>
        <v/>
      </c>
      <c r="EI40" s="244" t="str">
        <f aca="false">IF(BR40=0,"",IF((1+0.33*(BO40/$EE$15))&lt;=1.33,(1+0.33*(BO40/$EE$15)),1.33))</f>
        <v/>
      </c>
      <c r="EJ40" s="244" t="str">
        <f aca="false">IF(BR40=0,"",IF((1+0.33*(BO40/$EF$15))&lt;=1.33,(1+0.33*(BO40/$EF$15)),1.33))</f>
        <v/>
      </c>
      <c r="EK40" s="244" t="str">
        <f aca="false">IF(BR40=0,"",IF($ED$15&lt;=1.2,((20*DC40*EG40*EH40)/3)*0.010197,((12.5*DC40*((($ED$15+0.3)^2)/$ED$15)*EG40*EH40)/3)*0.010197))</f>
        <v/>
      </c>
      <c r="EL40" s="244" t="str">
        <f aca="false">IF(BR40=0,"",IF($EE$15&lt;=1.2,((20*DC40*EG40*EI40)/3)*0.010197,((12.5*DC40*((($EE$15+0.3)^2)/$EE$15)*EG40*EI40)/3)*0.010197))</f>
        <v/>
      </c>
      <c r="EM40" s="244" t="str">
        <f aca="false">IF(BR40=0,"",IF($EF$15&lt;=1.2,((20*DC40*EG40*EJ40)/3)*0.010197,((12.5*DC40*((($EF$15+0.3)^2)/$EF$15)*EG40*EJ40)/3)*0.010197))</f>
        <v/>
      </c>
      <c r="EN40" s="248" t="str">
        <f aca="false">IF(BR40=0,"",SQRT(12*CC40)+25)</f>
        <v/>
      </c>
      <c r="EO40" s="248" t="str">
        <f aca="false">IF(BR40=0,"",28.5+0.25*CC40)</f>
        <v/>
      </c>
      <c r="EP40" s="248" t="str">
        <f aca="false">IF(BR40=0,"",SQRT(20*CC40)+15)</f>
        <v/>
      </c>
      <c r="EQ40" s="248" t="str">
        <f aca="false">IF(BR40=0,"",23.7+0.57*CC40-0.0006*CC40*CC40)</f>
        <v/>
      </c>
      <c r="ER40" s="248" t="str">
        <f aca="false">IF(BR40=0,"",15+SQRT(12.5*DC40))</f>
        <v/>
      </c>
      <c r="ES40" s="248" t="str">
        <f aca="false">IF(BR40=0,"",3.5*SQRT(CC40)+20)</f>
        <v/>
      </c>
      <c r="ET40" s="248" t="str">
        <f aca="false">IF(BR40=0,"",27.1+0.3*DC40-0.00054*DC40*DC40)</f>
        <v/>
      </c>
      <c r="EU40" s="248" t="str">
        <f aca="false">IF(BR40=0,"",SQRT(20*CC40)+20)</f>
        <v/>
      </c>
      <c r="EV40" s="248" t="str">
        <f aca="false">IF(BR40=0,"",12.79+SQRT(25.86*CC40))</f>
        <v/>
      </c>
      <c r="EW40" s="248" t="str">
        <f aca="false">IF(BR40=0,"",DEGREES(_xlfn.ACOT((CC40/(12.2+20.3*CR40))^0.34)))</f>
        <v/>
      </c>
      <c r="EX40" s="248" t="str">
        <f aca="false">IF(BR40=0,"",24+(5.77*LN(0.17*DC40)))</f>
        <v/>
      </c>
      <c r="EY40" s="248" t="str">
        <f aca="false">IF(BR40=0,"",(SUM(EN40:EX40)-MIN(EN40:EX40)-MAX(EN40:EX40))/9)</f>
        <v/>
      </c>
      <c r="EZ40" s="248" t="str">
        <f aca="false">IF(BR40=0,"", -0.0000000034*CC40^6 + 0.0000008305*CC40^5 - 0.0000741842*CC40^4 + 0.0030204278*CC40^3 - 0.0541594733*CC40^2 + 0.8083147848*CC40 - 0.6182191243)</f>
        <v/>
      </c>
      <c r="FA40" s="249" t="str">
        <f aca="false">IF(BR40=0,"",(0.134811827956989*CC40 - 0.0383064516129019)/2)</f>
        <v/>
      </c>
      <c r="FB40" s="249" t="str">
        <f aca="false">IF(BR40=0,"",CC40*0.065)</f>
        <v/>
      </c>
      <c r="FC40" s="249" t="str">
        <f aca="false">IF(BR40=0,"",(CC40*0.12*0.48)*SQRT((1+SIN(EZ40*((2*PI())/360))/(1-SIN(EZ40*((2*PI())/360))))))</f>
        <v/>
      </c>
      <c r="FD40" s="249" t="str">
        <f aca="false">IF(BR40=0,"",(CC40/8)/2)</f>
        <v/>
      </c>
      <c r="FE40" s="249" t="str">
        <f aca="false">IF(BR40=0,"",(SUM(FA40:FD40)-MIN(FA40:FD40)-MAX(FA40:FD40))/2)</f>
        <v/>
      </c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</row>
    <row r="41" customFormat="false" ht="9.75" hidden="false" customHeight="true" outlineLevel="0" collapsed="false">
      <c r="A41" s="197" t="n">
        <f aca="false">ROUND(A40+0.1,1)</f>
        <v>2.4</v>
      </c>
      <c r="B41" s="250" t="n">
        <f aca="false">+A41</f>
        <v>2.4</v>
      </c>
      <c r="C41" s="251"/>
      <c r="D41" s="251"/>
      <c r="E41" s="274"/>
      <c r="F41" s="253"/>
      <c r="G41" s="279"/>
      <c r="H41" s="280"/>
      <c r="I41" s="280"/>
      <c r="J41" s="257"/>
      <c r="K41" s="258"/>
      <c r="L41" s="259"/>
      <c r="M41" s="276"/>
      <c r="N41" s="277"/>
      <c r="O41" s="277"/>
      <c r="P41" s="277"/>
      <c r="Q41" s="293"/>
      <c r="R41" s="294"/>
      <c r="S41" s="294"/>
      <c r="T41" s="295"/>
      <c r="U41" s="295"/>
      <c r="V41" s="296"/>
      <c r="W41" s="296"/>
      <c r="X41" s="296"/>
      <c r="Y41" s="296"/>
      <c r="Z41" s="296"/>
      <c r="AA41" s="296"/>
      <c r="AB41" s="297"/>
      <c r="AC41" s="298"/>
      <c r="AD41" s="299"/>
      <c r="AE41" s="298"/>
      <c r="AF41" s="300"/>
      <c r="AG41" s="267"/>
      <c r="AH41" s="267"/>
      <c r="AI41" s="241"/>
      <c r="AJ41" s="241"/>
      <c r="AK41" s="266"/>
      <c r="AL41" s="266"/>
      <c r="AM41" s="268"/>
      <c r="AN41" s="250" t="n">
        <f aca="false">+AN39+0.2</f>
        <v>2.4</v>
      </c>
      <c r="AO41" s="251"/>
      <c r="AP41" s="251"/>
      <c r="AQ41" s="274"/>
      <c r="AR41" s="253"/>
      <c r="AS41" s="269" t="s">
        <v>21</v>
      </c>
      <c r="AT41" s="221"/>
      <c r="AU41" s="269"/>
      <c r="AV41" s="269"/>
      <c r="AW41" s="270" t="n">
        <f aca="false">+K41+L41</f>
        <v>0</v>
      </c>
      <c r="AX41" s="270" t="str">
        <f aca="false">IF(AS41="&gt;50","CONSISTENCIA",IF(AS41="&lt;50","COMPACIDAD"," "))</f>
        <v>CONSISTENCIA</v>
      </c>
      <c r="AY41" s="225" t="str">
        <f aca="false">IF(AS41="&gt;50",AZ41,IF(AS41="&lt;50",BA41," "))</f>
        <v> </v>
      </c>
      <c r="AZ41" s="224" t="str">
        <f aca="false">IF(AW41=" "," ",IF(CC41=""," ",IF(CC41&lt;2,"MUY BLANDA",IF(CC41=2,"MUY BLANDA A BLANDA",IF(CC41&lt;4,"BLANDA",IF(CC41=4,"BLANDA A MEDIA",IF(CC41&lt;8,"MEDIA",IF(CC41=8,"MEDIA A FIRME",IF(CC41&lt;15,"FIRME",IF(CC41=15,"FIRME A MUY FIRME",IF(CC41&lt;30,"MUY FIRME",IF(CC41=30,"MUY FIRME A DURA","DURA"))))))))))))</f>
        <v> </v>
      </c>
      <c r="BA41" s="225" t="str">
        <f aca="false">IF(AW41=" "," ",IF(DC41=""," ",IF(DC41&lt;4,"MUY SUELTA",IF(DC41=4,"MUY SUELTA A SUELTA",IF(DC41&lt;10,"SUELTA",IF(DC41=10,"SUELTA A MEDIA",IF(DC41&lt;30,"MEDIA",IF(DC41=30,"MEDIA A DENSO",IF(DC41&lt;50,"DENSO",IF(DC41=50,"DENSO MUY DENSO","MUY DENSO"))))))))))</f>
        <v> </v>
      </c>
      <c r="BB41" s="226" t="str">
        <f aca="false">IF(BR42=0,"",CQ42*0.0101972)</f>
        <v/>
      </c>
      <c r="BC41" s="227" t="n">
        <f aca="false">+BC40+0.1</f>
        <v>2.4</v>
      </c>
      <c r="BD41" s="227" t="str">
        <f aca="false">IF(BC41&lt;=$AN$10,BC41,"")</f>
        <v/>
      </c>
      <c r="BE41" s="228" t="n">
        <f aca="false">ISNUMBER(BD41)</f>
        <v>0</v>
      </c>
      <c r="BF41" s="229" t="str">
        <f aca="false">MID(M41,1,1)</f>
        <v/>
      </c>
      <c r="BG41" s="230" t="str">
        <f aca="false">IF(BF41="S","",IF(BF41="G","",MID(M41,2,1)))</f>
        <v/>
      </c>
      <c r="BH41" s="231" t="str">
        <f aca="false">CONCATENATE(BF41,BG41)</f>
        <v/>
      </c>
      <c r="BI41" s="6" t="str">
        <f aca="false">IF(BE41=FALSE(),"",IF(BH41="",BI40,BH41))</f>
        <v/>
      </c>
      <c r="BJ41" s="74" t="str">
        <f aca="false">IF(OR(BI41="S",BI41="G"),BI41,"X")</f>
        <v>X</v>
      </c>
      <c r="BK41" s="74" t="s">
        <v>201</v>
      </c>
      <c r="BL41" s="301" t="e">
        <f aca="false">INDEX(sim_0,MATCH($BJ$41,granular,0))</f>
        <v>#NAME?</v>
      </c>
      <c r="BM41" s="301"/>
      <c r="BN41" s="6"/>
      <c r="BO41" s="191" t="n">
        <f aca="false">BO40+0.1</f>
        <v>2.4</v>
      </c>
      <c r="BP41" s="233" t="e">
        <f aca="false">IF(AW41=0,NA(),IF(AS41=$AX$3,ROUND(DC41,0),NA()))</f>
        <v>#N/A</v>
      </c>
      <c r="BQ41" s="31" t="e">
        <f aca="false">IF(AW41=0,NA(),IF(AS41=$AX$4,ROUND(CC41,0),NA()))</f>
        <v>#N/A</v>
      </c>
      <c r="BR41" s="234" t="n">
        <f aca="false">+AW41</f>
        <v>0</v>
      </c>
      <c r="BS41" s="235" t="str">
        <f aca="false">IF(BR41=0,"", -0.00000000016128755327*CC41^6 + 0.00000006709386362421*CC41^5 - 0.0000106217678052217*CC41^4 + 0.00081068114193385*CC41^3 - 0.0314027378159951*CC41^2 + 0.649796593937842*CC41 + 13.7888866455022)</f>
        <v/>
      </c>
      <c r="BT41" s="235" t="str">
        <f aca="false">IF(BR41=0,"",-0.00000000014625939695*CC41^6 + 0.00000004971732060241*CC41^5 - 0.000006683744342031*CC41^4 + 0.0004563177378098*CC41^3 - 0.0171727530635803*CC41^2 + 0.444529932876435*CC41 + 15.6692518940565)</f>
        <v/>
      </c>
      <c r="BU41" s="236" t="str">
        <f aca="false">IF(BR41=0,"", -0.0000000008152265738*BR41^6 + 0.00000022764320256987*BR41^5 - 0.0000248205675927705*BR41^4 + 0.00133186623684865*BR41^3 - 0.0368442570441677*BR41^2 + 0.580111565569094*BR41 + 14.0417598296107)</f>
        <v/>
      </c>
      <c r="BV41" s="236" t="str">
        <f aca="false">IF(BR41=0,"", -0.00000000004321395721*BR41^6 + 0.00000002531844275498*BR41^5 - 0.00000369428022780862*BR41^4 + 0.00020283665900125*BR41^3 - 0.00462426256803268*BR41^2 + 0.139572935065453*BR41 + 15.4475338156923)</f>
        <v/>
      </c>
      <c r="BW41" s="236" t="str">
        <f aca="false">IF(BR41=0,"",-0.00000000033126390082*BR41^6 + 0.00000010463660614506*BR41^5 - 0.0000129629592998707*BR41^4 + 0.000803946335250767*BR41^3 - 0.0270257140395994*BR41^2 + 0.562590210721552*BR41+ 12.1254107606419)</f>
        <v/>
      </c>
      <c r="BX41" s="236" t="str">
        <f aca="false">IF(BR41=0,"",-0.00000000002593504955*BR41^6 + 0.00000002430495156704*BR41^5 - 0.00000386103271086364*BR41^4 + 0.000214416118986322*BR41^3 - 0.0047271462612021*BR41^2 + 0.156696175741135*BR41 + 15.4598891949502)</f>
        <v/>
      </c>
      <c r="BY41" s="234" t="str">
        <f aca="false">IF(BR41=0,"",$BS$2)</f>
        <v/>
      </c>
      <c r="BZ41" s="234" t="str">
        <f aca="false">IF(BR41=0,"",$BS$3)</f>
        <v/>
      </c>
      <c r="CA41" s="234" t="str">
        <f aca="false">IF(BR41=0,"",$BS$4)</f>
        <v/>
      </c>
      <c r="CB41" s="235" t="str">
        <f aca="false">IF(BR41=0,"",IF(AND(BO41&gt;=0,BO41&lt;4),0.75,IF(AND(BO41&gt;=4,BO41&lt;6),0.85,IF(AND(BO41&gt;=6,BO41&lt;=10),0.95,1))))</f>
        <v/>
      </c>
      <c r="CC41" s="234" t="str">
        <f aca="false">IF(BR41=0,"",BR41*BY41*BZ41*CA41*CB41/60)</f>
        <v/>
      </c>
      <c r="CD41" s="238" t="str">
        <f aca="false">IF(BR41=0,"",IF($S$12="NO","NO",IF($AD$12&lt;=BO41,"SI","NO")))</f>
        <v/>
      </c>
      <c r="CE41" s="235" t="n">
        <f aca="false">IF(BR41=0,0,AB41)</f>
        <v>0</v>
      </c>
      <c r="CF41" s="235" t="n">
        <f aca="false">IF(CE41&gt;0,BO41,0)</f>
        <v>0</v>
      </c>
      <c r="CG41" s="239" t="n">
        <f aca="false">IF(CF41=0,CF41+CG40,CF41)</f>
        <v>0</v>
      </c>
      <c r="CH41" s="239" t="n">
        <f aca="false">IF(CG41=CG40,CH40,ABS(CG41-CG40))</f>
        <v>0</v>
      </c>
      <c r="CI41" s="239" t="n">
        <f aca="false">+CE41*CH41</f>
        <v>0</v>
      </c>
      <c r="CJ41" s="239" t="n">
        <f aca="false">IF(CI41=0,CI41+CJ40,CI41)</f>
        <v>0</v>
      </c>
      <c r="CK41" s="239" t="n">
        <f aca="false">IF(CJ41=CJ40,CK40,ABS(CJ41+CK40))</f>
        <v>0</v>
      </c>
      <c r="CL41" s="241" t="n">
        <f aca="false">IF(CE41=0,0,CK41)</f>
        <v>0</v>
      </c>
      <c r="CM41" s="239" t="n">
        <f aca="false">IF(CE41=0,0,CH41*9.81)</f>
        <v>0</v>
      </c>
      <c r="CN41" s="239" t="n">
        <f aca="false">IF(CM41=0,CM41+CN40,CM41)</f>
        <v>0</v>
      </c>
      <c r="CO41" s="239" t="n">
        <f aca="false">IF(CN41=CN40,CO40,ABS(CN41+CO40))</f>
        <v>0</v>
      </c>
      <c r="CP41" s="241" t="n">
        <f aca="false">IF(CD41="NO",0,IF(CE41=0,0,CO41))</f>
        <v>0</v>
      </c>
      <c r="CQ41" s="244" t="str">
        <f aca="false">IF(BR41=0,"",CL41-CP41)</f>
        <v/>
      </c>
      <c r="CR41" s="244" t="str">
        <f aca="false">IF(BR41=0,"",CQ41/101.3)</f>
        <v/>
      </c>
      <c r="CS41" s="244" t="str">
        <f aca="false">IF(BR41=0,"",LOG(10/CR41))</f>
        <v/>
      </c>
      <c r="CT41" s="243" t="str">
        <f aca="false">IF(BR41=0,"",IF(SQRT(101.3/CQ41)&lt;=1.7,SQRT(101.3/CQ41),2.2/(1.2+(CQ41/101.3))))</f>
        <v/>
      </c>
      <c r="CU41" s="244" t="str">
        <f aca="false">IF(BR41=0,"",1.7/(0.7+CR41))</f>
        <v/>
      </c>
      <c r="CV41" s="244" t="str">
        <f aca="false">IF(BR41=0,"",IF(CR41&gt;=0.25,0.77*LOG(20/CR41),""))</f>
        <v/>
      </c>
      <c r="CW41" s="244" t="str">
        <f aca="false">IF(BR41=0,"",32.5/(10.2+20.3*CR41))</f>
        <v/>
      </c>
      <c r="CX41" s="244" t="str">
        <f aca="false">IF(BR41=0,"",1-1.25*LOG(CR41))</f>
        <v/>
      </c>
      <c r="CY41" s="244" t="str">
        <f aca="false">IF(BR41=0,"",IF(CR41&lt;1,1-1.41*LOG(CR41),1+0.92*LOG(CR41)))</f>
        <v/>
      </c>
      <c r="CZ41" s="244" t="str">
        <f aca="false">IF(BR41=0,"",2/(1+CR41))</f>
        <v/>
      </c>
      <c r="DA41" s="244" t="str">
        <f aca="false">IF(BR41=0,"",IF(CR41&lt;=0.75,4/(1+4*CR41),4/(3.25+CR41)))</f>
        <v/>
      </c>
      <c r="DB41" s="244" t="str">
        <f aca="false">IF(BR41=0,"",CT41)</f>
        <v/>
      </c>
      <c r="DC41" s="244" t="str">
        <f aca="false">IF(BR41=0,"",DB41*CC41)</f>
        <v/>
      </c>
      <c r="DD41" s="244"/>
      <c r="DE41" s="244" t="str">
        <f aca="false">IF(BR41=0,"",0.193*(CC41/(CQ41*0.001))^0.689)</f>
        <v/>
      </c>
      <c r="DF41" s="244" t="str">
        <f aca="false">IF(BR41=0,"",IF(AS41=$AX$4,(0.1348118*CC41 - 0.0383065)*98.0665,""))</f>
        <v/>
      </c>
      <c r="DG41" s="244" t="str">
        <f aca="false">IF(BR41=0,"",IF(AS41=$AX$4,DF41/2,""))</f>
        <v/>
      </c>
      <c r="DH41" s="244" t="str">
        <f aca="false">IF(BR41=0,"",IF(DC41&lt;=15,12*(DC41+6),40+12*(DC41-6)))</f>
        <v/>
      </c>
      <c r="DI41" s="244" t="str">
        <f aca="false">IF(BR41=0,"",IF(CD41="SI",5*(DC41+15),((3.3*(DC41+15))+(4*(DC41+12)))/2))</f>
        <v/>
      </c>
      <c r="DJ41" s="244" t="str">
        <f aca="false">IF(BR41=0,"",8*DC41)</f>
        <v/>
      </c>
      <c r="DK41" s="244" t="str">
        <f aca="false">IF(BR41=0,"",215+(10.6*DC41))</f>
        <v/>
      </c>
      <c r="DL41" s="244" t="str">
        <f aca="false">IF(BR41=0,"",10*(7.5+(0.5*DC41)))</f>
        <v/>
      </c>
      <c r="DM41" s="244" t="str">
        <f aca="false">IF(BR41=0,"",8*DC41)</f>
        <v/>
      </c>
      <c r="DN41" s="244" t="str">
        <f aca="false">IF(AW41=" "," ",IF(DC41=""," ",IF(DC41&lt;4,10*10.2,IF(DC41=4,12*10.2,IF(DC41&lt;10,17.5*10.5,IF(DC41=10,15*10.2,IF(DC41&lt;30,22.5*10.2,IF(DC41=30,35*10.2,IF(DC41&lt;50,40*10.2,IF(DC41=50,50*10.2,55*10.2))))))))))</f>
        <v> </v>
      </c>
      <c r="DO41" s="244" t="str">
        <f aca="false">IF(BR41=0,"",7*SQRT(DC41)*10.1972)</f>
        <v/>
      </c>
      <c r="DP41" s="244" t="str">
        <f aca="false">IF(BR41=0,"",IF(AS41=$AX$4,5*CC41,""))</f>
        <v/>
      </c>
      <c r="DQ41" s="244" t="str">
        <f aca="false">IF(AW41=" "," ",IF(DC41=""," ",IF(DC41&lt;2,4*10.2,IF(DC41=2,6*10.2,IF(DC41&lt;4,12*10.2,IF(DC41=4,20*10.2,IF(DC41&lt;8,30*10.2,IF(DC41=8,35*10.2,IF(DC41&lt;15,40*10.2,IF(DC41=15,42*10.2,IF(DC41&lt;30,45*10.2,IF(DC41=30,50*10.2,70*10.2))))))))))))</f>
        <v> </v>
      </c>
      <c r="DR41" s="244" t="str">
        <f aca="false">IF(BR41=0,"",IF(AS41=$AX$4,220*DP41*0.0101972,""))</f>
        <v/>
      </c>
      <c r="DS41" s="271" t="str">
        <f aca="false">IF(BR41=0,"",IF(AS41=$AX$7,(SUM(DH41:DO41)-MIN(DH41:DO41)-MAX(DH41:DO41))/6,(SUM(DO41:DR41)-MIN(DO41:DR41)-MAX(DO41:DR41))/2))</f>
        <v/>
      </c>
      <c r="DT41" s="244" t="str">
        <f aca="false">IF(AW41=" "," ",IF(DC41=""," ",IF(DC41&lt;4,0.2,IF(DC41=4,0.27,IF(DC41&lt;10,0.33,IF(DC41=10,0.35,IF(DC41&lt;30,0.36,IF(DC41=30,0.37,IF(DC41&lt;50,0.38,IF(DC41=50,0.4,0.45))))))))))</f>
        <v> </v>
      </c>
      <c r="DU41" s="272" t="str">
        <f aca="false">IF(AW41=" "," ",IF(CC41=""," ",IF(CC41&lt;2,0.2,IF(CC41=2,0.23,IF(CC41&lt;4,0.26,IF(CC41=4,0.29,IF(CC41&lt;8,0.32,IF(CC41=8,0.35,IF(CC41&lt;15,0.38,IF(CC41=15,0.41,IF(CC41&lt;30,0.44,IF(CC41=30,0.47,0.5))))))))))))</f>
        <v> </v>
      </c>
      <c r="DV41" s="244" t="str">
        <f aca="false">IF(BR41=0,"",IF(AS41=$AX$3,DT41,DU41))</f>
        <v/>
      </c>
      <c r="DW41" s="244" t="str">
        <f aca="false">IF(BR41=0,"",IF(DC41&gt;15,15+0.5*(DC41-15),DC41))</f>
        <v/>
      </c>
      <c r="DX41" s="244" t="str">
        <f aca="false">IF(BR41=0,"",IF($S$12="SI",IF(CD41="NO",IF($AD$12&gt;(BO41+1.5*$ED$15),1,0.5),0.5),1))</f>
        <v/>
      </c>
      <c r="DY41" s="244" t="str">
        <f aca="false">IF(BR41=0,"",IF($S$12="SI",IF(CD41="NO",IF($AD$12&gt;(BO41+1.5*$EE$15),1,0.5),0.5),1))</f>
        <v/>
      </c>
      <c r="DZ41" s="244" t="str">
        <f aca="false">IF(BR41=0,"",IF($S$12="SI",IF(CD41="NO",IF($AD$12&gt;(BO41+1.5*$EF$15),1,0.5),0.5),1))</f>
        <v/>
      </c>
      <c r="EA41" s="244" t="str">
        <f aca="false">IF(BR41=0,"",IF($S$12="SI",IF(CD41="NO",IF($AD$12&gt;(BO41+1.5*$ED$15),1,0.5),IF($AD$12=BO41,1,0.5)),1))</f>
        <v/>
      </c>
      <c r="EB41" s="244" t="str">
        <f aca="false">IF(BR41=0,"",IF($S$12="SI",IF(CD41="NO",IF($AD$12&gt;(BO41+1.5*$EE$15),1,0.5),IF($AD$12=BO41,1,0.5)),1))</f>
        <v/>
      </c>
      <c r="EC41" s="244" t="str">
        <f aca="false">IF(BR41=0,"",IF($S$12="SI",IF(CD41="NO",IF($AD$12&gt;(BO41+1.5*$EF$15),1,0.5),IF($AD$12=BO41,1,0.5)),1))</f>
        <v/>
      </c>
      <c r="ED41" s="244" t="str">
        <f aca="false">IF(BR41=0,"",(DW41*($ED$15/10)*(DX41+EA41*(BO41/$ED$15))*1)/3)</f>
        <v/>
      </c>
      <c r="EE41" s="244" t="str">
        <f aca="false">IF(BR41=0,"",(DW41*($EE$15/10)*(DY41+EB41*(BO41/$EE$15))*1)/3)</f>
        <v/>
      </c>
      <c r="EF41" s="244" t="str">
        <f aca="false">IF(BR41=0,"",(DW41*($EF$15/10)*(DZ41+EC41*(BO41/$EF$15))*1)/3)</f>
        <v/>
      </c>
      <c r="EG41" s="273" t="str">
        <f aca="false">IF(BR41=0,"",IF(CD41="SI",0.5,1))</f>
        <v/>
      </c>
      <c r="EH41" s="244" t="str">
        <f aca="false">IF(BR41=0,"",IF((1+0.33*(BO41/$ED$15))&lt;=1.33,(1+0.33*(BO41/$ED$15)),1.33))</f>
        <v/>
      </c>
      <c r="EI41" s="244" t="str">
        <f aca="false">IF(BR41=0,"",IF((1+0.33*(BO41/$EE$15))&lt;=1.33,(1+0.33*(BO41/$EE$15)),1.33))</f>
        <v/>
      </c>
      <c r="EJ41" s="244" t="str">
        <f aca="false">IF(BR41=0,"",IF((1+0.33*(BO41/$EF$15))&lt;=1.33,(1+0.33*(BO41/$EF$15)),1.33))</f>
        <v/>
      </c>
      <c r="EK41" s="244" t="str">
        <f aca="false">IF(BR41=0,"",IF($ED$15&lt;=1.2,((20*DC41*EG41*EH41)/3)*0.010197,((12.5*DC41*((($ED$15+0.3)^2)/$ED$15)*EG41*EH41)/3)*0.010197))</f>
        <v/>
      </c>
      <c r="EL41" s="244" t="str">
        <f aca="false">IF(BR41=0,"",IF($EE$15&lt;=1.2,((20*DC41*EG41*EI41)/3)*0.010197,((12.5*DC41*((($EE$15+0.3)^2)/$EE$15)*EG41*EI41)/3)*0.010197))</f>
        <v/>
      </c>
      <c r="EM41" s="244" t="str">
        <f aca="false">IF(BR41=0,"",IF($EF$15&lt;=1.2,((20*DC41*EG41*EJ41)/3)*0.010197,((12.5*DC41*((($EF$15+0.3)^2)/$EF$15)*EG41*EJ41)/3)*0.010197))</f>
        <v/>
      </c>
      <c r="EN41" s="248" t="str">
        <f aca="false">IF(BR41=0,"",SQRT(12*CC41)+25)</f>
        <v/>
      </c>
      <c r="EO41" s="248" t="str">
        <f aca="false">IF(BR41=0,"",28.5+0.25*CC41)</f>
        <v/>
      </c>
      <c r="EP41" s="248" t="str">
        <f aca="false">IF(BR41=0,"",SQRT(20*CC41)+15)</f>
        <v/>
      </c>
      <c r="EQ41" s="248" t="str">
        <f aca="false">IF(BR41=0,"",23.7+0.57*CC41-0.0006*CC41*CC41)</f>
        <v/>
      </c>
      <c r="ER41" s="248" t="str">
        <f aca="false">IF(BR41=0,"",15+SQRT(12.5*DC41))</f>
        <v/>
      </c>
      <c r="ES41" s="248" t="str">
        <f aca="false">IF(BR41=0,"",3.5*SQRT(CC41)+20)</f>
        <v/>
      </c>
      <c r="ET41" s="248" t="str">
        <f aca="false">IF(BR41=0,"",27.1+0.3*DC41-0.00054*DC41*DC41)</f>
        <v/>
      </c>
      <c r="EU41" s="248" t="str">
        <f aca="false">IF(BR41=0,"",SQRT(20*CC41)+20)</f>
        <v/>
      </c>
      <c r="EV41" s="248" t="str">
        <f aca="false">IF(BR41=0,"",12.79+SQRT(25.86*CC41))</f>
        <v/>
      </c>
      <c r="EW41" s="248" t="str">
        <f aca="false">IF(BR41=0,"",DEGREES(_xlfn.ACOT((CC41/(12.2+20.3*CR41))^0.34)))</f>
        <v/>
      </c>
      <c r="EX41" s="248" t="str">
        <f aca="false">IF(BR41=0,"",24+(5.77*LN(0.17*DC41)))</f>
        <v/>
      </c>
      <c r="EY41" s="248" t="str">
        <f aca="false">IF(BR41=0,"",(SUM(EN41:EX41)-MIN(EN41:EX41)-MAX(EN41:EX41))/9)</f>
        <v/>
      </c>
      <c r="EZ41" s="248" t="str">
        <f aca="false">IF(BR41=0,"", -0.0000000034*CC41^6 + 0.0000008305*CC41^5 - 0.0000741842*CC41^4 + 0.0030204278*CC41^3 - 0.0541594733*CC41^2 + 0.8083147848*CC41 - 0.6182191243)</f>
        <v/>
      </c>
      <c r="FA41" s="249" t="str">
        <f aca="false">IF(BR41=0,"",(0.134811827956989*CC41 - 0.0383064516129019)/2)</f>
        <v/>
      </c>
      <c r="FB41" s="249" t="str">
        <f aca="false">IF(BR41=0,"",CC41*0.065)</f>
        <v/>
      </c>
      <c r="FC41" s="249" t="str">
        <f aca="false">IF(BR41=0,"",(CC41*0.12*0.48)*SQRT((1+SIN(EZ41*((2*PI())/360))/(1-SIN(EZ41*((2*PI())/360))))))</f>
        <v/>
      </c>
      <c r="FD41" s="249" t="str">
        <f aca="false">IF(BR41=0,"",(CC41/8)/2)</f>
        <v/>
      </c>
      <c r="FE41" s="249" t="str">
        <f aca="false">IF(BR41=0,"",(SUM(FA41:FD41)-MIN(FA41:FD41)-MAX(FA41:FD41))/2)</f>
        <v/>
      </c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</row>
    <row r="42" customFormat="false" ht="9.75" hidden="false" customHeight="true" outlineLevel="0" collapsed="false">
      <c r="A42" s="197" t="n">
        <f aca="false">ROUND(A41+0.1,1)</f>
        <v>2.5</v>
      </c>
      <c r="B42" s="250"/>
      <c r="C42" s="251"/>
      <c r="D42" s="251"/>
      <c r="E42" s="199"/>
      <c r="F42" s="200"/>
      <c r="G42" s="254"/>
      <c r="H42" s="284"/>
      <c r="I42" s="285"/>
      <c r="J42" s="257"/>
      <c r="K42" s="258"/>
      <c r="L42" s="259"/>
      <c r="M42" s="276"/>
      <c r="N42" s="277"/>
      <c r="O42" s="277"/>
      <c r="P42" s="277"/>
      <c r="Q42" s="293"/>
      <c r="R42" s="294"/>
      <c r="S42" s="294"/>
      <c r="T42" s="295"/>
      <c r="U42" s="295"/>
      <c r="V42" s="296"/>
      <c r="W42" s="296"/>
      <c r="X42" s="296"/>
      <c r="Y42" s="296"/>
      <c r="Z42" s="296"/>
      <c r="AA42" s="296"/>
      <c r="AB42" s="297"/>
      <c r="AC42" s="298"/>
      <c r="AD42" s="299"/>
      <c r="AE42" s="298"/>
      <c r="AF42" s="300"/>
      <c r="AG42" s="267"/>
      <c r="AH42" s="267"/>
      <c r="AI42" s="241"/>
      <c r="AJ42" s="241"/>
      <c r="AK42" s="266"/>
      <c r="AL42" s="266"/>
      <c r="AM42" s="268"/>
      <c r="AN42" s="250"/>
      <c r="AO42" s="251"/>
      <c r="AP42" s="251"/>
      <c r="AQ42" s="199"/>
      <c r="AR42" s="200"/>
      <c r="AS42" s="269" t="s">
        <v>13</v>
      </c>
      <c r="AT42" s="221" t="s">
        <v>45</v>
      </c>
      <c r="AU42" s="269"/>
      <c r="AV42" s="269"/>
      <c r="AW42" s="270" t="n">
        <f aca="false">+K42+L42</f>
        <v>0</v>
      </c>
      <c r="AX42" s="270" t="str">
        <f aca="false">IF(AS42="&gt;50","CONSISTENCIA",IF(AS42="&lt;50","COMPACIDAD"," "))</f>
        <v>COMPACIDAD</v>
      </c>
      <c r="AY42" s="225" t="str">
        <f aca="false">IF(AS42="&gt;50",AZ42,IF(AS42="&lt;50",BA42," "))</f>
        <v> </v>
      </c>
      <c r="AZ42" s="224" t="str">
        <f aca="false">IF(AW42=" "," ",IF(CC42=""," ",IF(CC42&lt;2,"MUY BLANDA",IF(CC42=2,"MUY BLANDA A BLANDA",IF(CC42&lt;4,"BLANDA",IF(CC42=4,"BLANDA A MEDIA",IF(CC42&lt;8,"MEDIA",IF(CC42=8,"MEDIA A FIRME",IF(CC42&lt;15,"FIRME",IF(CC42=15,"FIRME A MUY FIRME",IF(CC42&lt;30,"MUY FIRME",IF(CC42=30,"MUY FIRME A DURA","DURA"))))))))))))</f>
        <v> </v>
      </c>
      <c r="BA42" s="225" t="str">
        <f aca="false">IF(AW42=" "," ",IF(DC42=""," ",IF(DC42&lt;4,"MUY SUELTA",IF(DC42=4,"MUY SUELTA A SUELTA",IF(DC42&lt;10,"SUELTA",IF(DC42=10,"SUELTA A MEDIA",IF(DC42&lt;30,"MEDIA",IF(DC42=30,"MEDIA A DENSO",IF(DC42&lt;50,"DENSO",IF(DC42=50,"DENSO MUY DENSO","MUY DENSO"))))))))))</f>
        <v> </v>
      </c>
      <c r="BB42" s="226" t="str">
        <f aca="false">IF(BR43=0,"",CQ43*0.0101972)</f>
        <v/>
      </c>
      <c r="BC42" s="227" t="n">
        <f aca="false">+BC41+0.1</f>
        <v>2.5</v>
      </c>
      <c r="BD42" s="227" t="str">
        <f aca="false">IF(BC42&lt;=$AN$10,BC42,"")</f>
        <v/>
      </c>
      <c r="BE42" s="228" t="n">
        <f aca="false">ISNUMBER(BD42)</f>
        <v>0</v>
      </c>
      <c r="BF42" s="229" t="str">
        <f aca="false">MID(M42,1,1)</f>
        <v/>
      </c>
      <c r="BG42" s="230" t="str">
        <f aca="false">IF(BF42="S","",IF(BF42="G","",MID(M42,2,1)))</f>
        <v/>
      </c>
      <c r="BH42" s="231" t="str">
        <f aca="false">CONCATENATE(BF42,BG42)</f>
        <v/>
      </c>
      <c r="BI42" s="6" t="str">
        <f aca="false">IF(BE42=FALSE(),"",IF(BH42="",BI41,BH42))</f>
        <v/>
      </c>
      <c r="BJ42" s="74" t="str">
        <f aca="false">IF(OR(BI42="S",BI42="G"),BI42,"X")</f>
        <v>X</v>
      </c>
      <c r="BK42" s="74" t="s">
        <v>202</v>
      </c>
      <c r="BL42" s="301" t="e">
        <f aca="false">INDEX(sim_0,MATCH($BJ$42,granular,0))</f>
        <v>#NAME?</v>
      </c>
      <c r="BM42" s="301"/>
      <c r="BN42" s="6"/>
      <c r="BO42" s="191" t="n">
        <f aca="false">BO41+0.1</f>
        <v>2.5</v>
      </c>
      <c r="BP42" s="233" t="e">
        <f aca="false">IF(AW42=0,NA(),IF(AS42=$AX$3,ROUND(DC42,0),NA()))</f>
        <v>#N/A</v>
      </c>
      <c r="BQ42" s="31" t="e">
        <f aca="false">IF(AW42=0,NA(),IF(AS42=$AX$4,ROUND(CC42,0),NA()))</f>
        <v>#N/A</v>
      </c>
      <c r="BR42" s="234" t="n">
        <f aca="false">+AW42</f>
        <v>0</v>
      </c>
      <c r="BS42" s="235" t="str">
        <f aca="false">IF(BR42=0,"", -0.00000000016128755327*CC42^6 + 0.00000006709386362421*CC42^5 - 0.0000106217678052217*CC42^4 + 0.00081068114193385*CC42^3 - 0.0314027378159951*CC42^2 + 0.649796593937842*CC42 + 13.7888866455022)</f>
        <v/>
      </c>
      <c r="BT42" s="235" t="str">
        <f aca="false">IF(BR42=0,"",-0.00000000014625939695*CC42^6 + 0.00000004971732060241*CC42^5 - 0.000006683744342031*CC42^4 + 0.0004563177378098*CC42^3 - 0.0171727530635803*CC42^2 + 0.444529932876435*CC42 + 15.6692518940565)</f>
        <v/>
      </c>
      <c r="BU42" s="236" t="str">
        <f aca="false">IF(BR42=0,"", -0.0000000008152265738*BR42^6 + 0.00000022764320256987*BR42^5 - 0.0000248205675927705*BR42^4 + 0.00133186623684865*BR42^3 - 0.0368442570441677*BR42^2 + 0.580111565569094*BR42 + 14.0417598296107)</f>
        <v/>
      </c>
      <c r="BV42" s="236" t="str">
        <f aca="false">IF(BR42=0,"", -0.00000000004321395721*BR42^6 + 0.00000002531844275498*BR42^5 - 0.00000369428022780862*BR42^4 + 0.00020283665900125*BR42^3 - 0.00462426256803268*BR42^2 + 0.139572935065453*BR42 + 15.4475338156923)</f>
        <v/>
      </c>
      <c r="BW42" s="236" t="str">
        <f aca="false">IF(BR42=0,"",-0.00000000033126390082*BR42^6 + 0.00000010463660614506*BR42^5 - 0.0000129629592998707*BR42^4 + 0.000803946335250767*BR42^3 - 0.0270257140395994*BR42^2 + 0.562590210721552*BR42+ 12.1254107606419)</f>
        <v/>
      </c>
      <c r="BX42" s="236" t="str">
        <f aca="false">IF(BR42=0,"",-0.00000000002593504955*BR42^6 + 0.00000002430495156704*BR42^5 - 0.00000386103271086364*BR42^4 + 0.000214416118986322*BR42^3 - 0.0047271462612021*BR42^2 + 0.156696175741135*BR42 + 15.4598891949502)</f>
        <v/>
      </c>
      <c r="BY42" s="234" t="str">
        <f aca="false">IF(BR42=0,"",$BS$2)</f>
        <v/>
      </c>
      <c r="BZ42" s="234" t="str">
        <f aca="false">IF(BR42=0,"",$BS$3)</f>
        <v/>
      </c>
      <c r="CA42" s="234" t="str">
        <f aca="false">IF(BR42=0,"",$BS$4)</f>
        <v/>
      </c>
      <c r="CB42" s="235" t="str">
        <f aca="false">IF(BR42=0,"",IF(AND(BO42&gt;=0,BO42&lt;4),0.75,IF(AND(BO42&gt;=4,BO42&lt;6),0.85,IF(AND(BO42&gt;=6,BO42&lt;=10),0.95,1))))</f>
        <v/>
      </c>
      <c r="CC42" s="234" t="str">
        <f aca="false">IF(BR42=0,"",BR42*BY42*BZ42*CA42*CB42/60)</f>
        <v/>
      </c>
      <c r="CD42" s="238" t="str">
        <f aca="false">IF(BR42=0,"",IF($S$12="NO","NO",IF($AD$12&lt;=BO42,"SI","NO")))</f>
        <v/>
      </c>
      <c r="CE42" s="235" t="n">
        <f aca="false">IF(BR42=0,0,AB42)</f>
        <v>0</v>
      </c>
      <c r="CF42" s="235" t="n">
        <f aca="false">IF(CE42&gt;0,BO42,0)</f>
        <v>0</v>
      </c>
      <c r="CG42" s="239" t="n">
        <f aca="false">IF(CF42=0,CF42+CG41,CF42)</f>
        <v>0</v>
      </c>
      <c r="CH42" s="239" t="n">
        <f aca="false">IF(CG42=CG41,CH41,ABS(CG42-CG41))</f>
        <v>0</v>
      </c>
      <c r="CI42" s="239" t="n">
        <f aca="false">+CE42*CH42</f>
        <v>0</v>
      </c>
      <c r="CJ42" s="239" t="n">
        <f aca="false">IF(CI42=0,CI42+CJ41,CI42)</f>
        <v>0</v>
      </c>
      <c r="CK42" s="239" t="n">
        <f aca="false">IF(CJ42=CJ41,CK41,ABS(CJ42+CK41))</f>
        <v>0</v>
      </c>
      <c r="CL42" s="241" t="n">
        <f aca="false">IF(CE42=0,0,CK42)</f>
        <v>0</v>
      </c>
      <c r="CM42" s="239" t="n">
        <f aca="false">IF(CE42=0,0,CH42*9.81)</f>
        <v>0</v>
      </c>
      <c r="CN42" s="239" t="n">
        <f aca="false">IF(CM42=0,CM42+CN41,CM42)</f>
        <v>0</v>
      </c>
      <c r="CO42" s="239" t="n">
        <f aca="false">IF(CN42=CN41,CO41,ABS(CN42+CO41))</f>
        <v>0</v>
      </c>
      <c r="CP42" s="241" t="n">
        <f aca="false">IF(CD42="NO",0,IF(CE42=0,0,CO42))</f>
        <v>0</v>
      </c>
      <c r="CQ42" s="244" t="str">
        <f aca="false">IF(BR42=0,"",CL42-CP42)</f>
        <v/>
      </c>
      <c r="CR42" s="244" t="str">
        <f aca="false">IF(BR42=0,"",CQ42/101.3)</f>
        <v/>
      </c>
      <c r="CS42" s="244" t="str">
        <f aca="false">IF(BR42=0,"",LOG(10/CR42))</f>
        <v/>
      </c>
      <c r="CT42" s="243" t="str">
        <f aca="false">IF(BR42=0,"",IF(SQRT(101.3/CQ42)&lt;=1.7,SQRT(101.3/CQ42),2.2/(1.2+(CQ42/101.3))))</f>
        <v/>
      </c>
      <c r="CU42" s="244" t="str">
        <f aca="false">IF(BR42=0,"",1.7/(0.7+CR42))</f>
        <v/>
      </c>
      <c r="CV42" s="244" t="str">
        <f aca="false">IF(BR42=0,"",IF(CR42&gt;=0.25,0.77*LOG(20/CR42),""))</f>
        <v/>
      </c>
      <c r="CW42" s="244" t="str">
        <f aca="false">IF(BR42=0,"",32.5/(10.2+20.3*CR42))</f>
        <v/>
      </c>
      <c r="CX42" s="244" t="str">
        <f aca="false">IF(BR42=0,"",1-1.25*LOG(CR42))</f>
        <v/>
      </c>
      <c r="CY42" s="244" t="str">
        <f aca="false">IF(BR42=0,"",IF(CR42&lt;1,1-1.41*LOG(CR42),1+0.92*LOG(CR42)))</f>
        <v/>
      </c>
      <c r="CZ42" s="244" t="str">
        <f aca="false">IF(BR42=0,"",2/(1+CR42))</f>
        <v/>
      </c>
      <c r="DA42" s="244" t="str">
        <f aca="false">IF(BR42=0,"",IF(CR42&lt;=0.75,4/(1+4*CR42),4/(3.25+CR42)))</f>
        <v/>
      </c>
      <c r="DB42" s="244" t="str">
        <f aca="false">IF(BR42=0,"",CT42)</f>
        <v/>
      </c>
      <c r="DC42" s="244" t="str">
        <f aca="false">IF(BR42=0,"",DB42*CC42)</f>
        <v/>
      </c>
      <c r="DD42" s="244"/>
      <c r="DE42" s="244" t="str">
        <f aca="false">IF(BR42=0,"",0.193*(CC42/(CQ42*0.001))^0.689)</f>
        <v/>
      </c>
      <c r="DF42" s="244" t="str">
        <f aca="false">IF(BR42=0,"",IF(AS42=$AX$4,(0.1348118*CC42 - 0.0383065)*98.0665,""))</f>
        <v/>
      </c>
      <c r="DG42" s="244" t="str">
        <f aca="false">IF(BR42=0,"",IF(AS42=$AX$4,DF42/2,""))</f>
        <v/>
      </c>
      <c r="DH42" s="244" t="str">
        <f aca="false">IF(BR42=0,"",IF(DC42&lt;=15,12*(DC42+6),40+12*(DC42-6)))</f>
        <v/>
      </c>
      <c r="DI42" s="244" t="str">
        <f aca="false">IF(BR42=0,"",IF(CD42="SI",5*(DC42+15),((3.3*(DC42+15))+(4*(DC42+12)))/2))</f>
        <v/>
      </c>
      <c r="DJ42" s="244" t="str">
        <f aca="false">IF(BR42=0,"",8*DC42)</f>
        <v/>
      </c>
      <c r="DK42" s="244" t="str">
        <f aca="false">IF(BR42=0,"",215+(10.6*DC42))</f>
        <v/>
      </c>
      <c r="DL42" s="244" t="str">
        <f aca="false">IF(BR42=0,"",10*(7.5+(0.5*DC42)))</f>
        <v/>
      </c>
      <c r="DM42" s="244" t="str">
        <f aca="false">IF(BR42=0,"",8*DC42)</f>
        <v/>
      </c>
      <c r="DN42" s="244" t="str">
        <f aca="false">IF(AW42=" "," ",IF(DC42=""," ",IF(DC42&lt;4,10*10.2,IF(DC42=4,12*10.2,IF(DC42&lt;10,17.5*10.5,IF(DC42=10,15*10.2,IF(DC42&lt;30,22.5*10.2,IF(DC42=30,35*10.2,IF(DC42&lt;50,40*10.2,IF(DC42=50,50*10.2,55*10.2))))))))))</f>
        <v> </v>
      </c>
      <c r="DO42" s="244" t="str">
        <f aca="false">IF(BR42=0,"",7*SQRT(DC42)*10.1972)</f>
        <v/>
      </c>
      <c r="DP42" s="244" t="str">
        <f aca="false">IF(BR42=0,"",IF(AS42=$AX$4,5*CC42,""))</f>
        <v/>
      </c>
      <c r="DQ42" s="244" t="str">
        <f aca="false">IF(AW42=" "," ",IF(DC42=""," ",IF(DC42&lt;2,4*10.2,IF(DC42=2,6*10.2,IF(DC42&lt;4,12*10.2,IF(DC42=4,20*10.2,IF(DC42&lt;8,30*10.2,IF(DC42=8,35*10.2,IF(DC42&lt;15,40*10.2,IF(DC42=15,42*10.2,IF(DC42&lt;30,45*10.2,IF(DC42=30,50*10.2,70*10.2))))))))))))</f>
        <v> </v>
      </c>
      <c r="DR42" s="244" t="str">
        <f aca="false">IF(BR42=0,"",IF(AS42=$AX$4,220*DP42*0.0101972,""))</f>
        <v/>
      </c>
      <c r="DS42" s="271" t="str">
        <f aca="false">IF(BR42=0,"",IF(AS42=$AX$7,(SUM(DH42:DO42)-MIN(DH42:DO42)-MAX(DH42:DO42))/6,(SUM(DO42:DR42)-MIN(DO42:DR42)-MAX(DO42:DR42))/2))</f>
        <v/>
      </c>
      <c r="DT42" s="244" t="str">
        <f aca="false">IF(AW42=" "," ",IF(DC42=""," ",IF(DC42&lt;4,0.2,IF(DC42=4,0.27,IF(DC42&lt;10,0.33,IF(DC42=10,0.35,IF(DC42&lt;30,0.36,IF(DC42=30,0.37,IF(DC42&lt;50,0.38,IF(DC42=50,0.4,0.45))))))))))</f>
        <v> </v>
      </c>
      <c r="DU42" s="272" t="str">
        <f aca="false">IF(AW42=" "," ",IF(CC42=""," ",IF(CC42&lt;2,0.2,IF(CC42=2,0.23,IF(CC42&lt;4,0.26,IF(CC42=4,0.29,IF(CC42&lt;8,0.32,IF(CC42=8,0.35,IF(CC42&lt;15,0.38,IF(CC42=15,0.41,IF(CC42&lt;30,0.44,IF(CC42=30,0.47,0.5))))))))))))</f>
        <v> </v>
      </c>
      <c r="DV42" s="244" t="str">
        <f aca="false">IF(BR42=0,"",IF(AS42=$AX$3,DT42,DU42))</f>
        <v/>
      </c>
      <c r="DW42" s="244" t="str">
        <f aca="false">IF(BR42=0,"",IF(DC42&gt;15,15+0.5*(DC42-15),DC42))</f>
        <v/>
      </c>
      <c r="DX42" s="244" t="str">
        <f aca="false">IF(BR42=0,"",IF($S$12="SI",IF(CD42="NO",IF($AD$12&gt;(BO42+1.5*$ED$15),1,0.5),0.5),1))</f>
        <v/>
      </c>
      <c r="DY42" s="244" t="str">
        <f aca="false">IF(BR42=0,"",IF($S$12="SI",IF(CD42="NO",IF($AD$12&gt;(BO42+1.5*$EE$15),1,0.5),0.5),1))</f>
        <v/>
      </c>
      <c r="DZ42" s="244" t="str">
        <f aca="false">IF(BR42=0,"",IF($S$12="SI",IF(CD42="NO",IF($AD$12&gt;(BO42+1.5*$EF$15),1,0.5),0.5),1))</f>
        <v/>
      </c>
      <c r="EA42" s="244" t="str">
        <f aca="false">IF(BR42=0,"",IF($S$12="SI",IF(CD42="NO",IF($AD$12&gt;(BO42+1.5*$ED$15),1,0.5),IF($AD$12=BO42,1,0.5)),1))</f>
        <v/>
      </c>
      <c r="EB42" s="244" t="str">
        <f aca="false">IF(BR42=0,"",IF($S$12="SI",IF(CD42="NO",IF($AD$12&gt;(BO42+1.5*$EE$15),1,0.5),IF($AD$12=BO42,1,0.5)),1))</f>
        <v/>
      </c>
      <c r="EC42" s="244" t="str">
        <f aca="false">IF(BR42=0,"",IF($S$12="SI",IF(CD42="NO",IF($AD$12&gt;(BO42+1.5*$EF$15),1,0.5),IF($AD$12=BO42,1,0.5)),1))</f>
        <v/>
      </c>
      <c r="ED42" s="244" t="str">
        <f aca="false">IF(BR42=0,"",(DW42*($ED$15/10)*(DX42+EA42*(BO42/$ED$15))*1)/3)</f>
        <v/>
      </c>
      <c r="EE42" s="244" t="str">
        <f aca="false">IF(BR42=0,"",(DW42*($EE$15/10)*(DY42+EB42*(BO42/$EE$15))*1)/3)</f>
        <v/>
      </c>
      <c r="EF42" s="244" t="str">
        <f aca="false">IF(BR42=0,"",(DW42*($EF$15/10)*(DZ42+EC42*(BO42/$EF$15))*1)/3)</f>
        <v/>
      </c>
      <c r="EG42" s="273" t="str">
        <f aca="false">IF(BR42=0,"",IF(CD42="SI",0.5,1))</f>
        <v/>
      </c>
      <c r="EH42" s="244" t="str">
        <f aca="false">IF(BR42=0,"",IF((1+0.33*(BO42/$ED$15))&lt;=1.33,(1+0.33*(BO42/$ED$15)),1.33))</f>
        <v/>
      </c>
      <c r="EI42" s="244" t="str">
        <f aca="false">IF(BR42=0,"",IF((1+0.33*(BO42/$EE$15))&lt;=1.33,(1+0.33*(BO42/$EE$15)),1.33))</f>
        <v/>
      </c>
      <c r="EJ42" s="244" t="str">
        <f aca="false">IF(BR42=0,"",IF((1+0.33*(BO42/$EF$15))&lt;=1.33,(1+0.33*(BO42/$EF$15)),1.33))</f>
        <v/>
      </c>
      <c r="EK42" s="244" t="str">
        <f aca="false">IF(BR42=0,"",IF($ED$15&lt;=1.2,((20*DC42*EG42*EH42)/3)*0.010197,((12.5*DC42*((($ED$15+0.3)^2)/$ED$15)*EG42*EH42)/3)*0.010197))</f>
        <v/>
      </c>
      <c r="EL42" s="244" t="str">
        <f aca="false">IF(BR42=0,"",IF($EE$15&lt;=1.2,((20*DC42*EG42*EI42)/3)*0.010197,((12.5*DC42*((($EE$15+0.3)^2)/$EE$15)*EG42*EI42)/3)*0.010197))</f>
        <v/>
      </c>
      <c r="EM42" s="244" t="str">
        <f aca="false">IF(BR42=0,"",IF($EF$15&lt;=1.2,((20*DC42*EG42*EJ42)/3)*0.010197,((12.5*DC42*((($EF$15+0.3)^2)/$EF$15)*EG42*EJ42)/3)*0.010197))</f>
        <v/>
      </c>
      <c r="EN42" s="248" t="str">
        <f aca="false">IF(BR42=0,"",SQRT(12*CC42)+25)</f>
        <v/>
      </c>
      <c r="EO42" s="248" t="str">
        <f aca="false">IF(BR42=0,"",28.5+0.25*CC42)</f>
        <v/>
      </c>
      <c r="EP42" s="248" t="str">
        <f aca="false">IF(BR42=0,"",SQRT(20*CC42)+15)</f>
        <v/>
      </c>
      <c r="EQ42" s="248" t="str">
        <f aca="false">IF(BR42=0,"",23.7+0.57*CC42-0.0006*CC42*CC42)</f>
        <v/>
      </c>
      <c r="ER42" s="248" t="str">
        <f aca="false">IF(BR42=0,"",15+SQRT(12.5*DC42))</f>
        <v/>
      </c>
      <c r="ES42" s="248" t="str">
        <f aca="false">IF(BR42=0,"",3.5*SQRT(CC42)+20)</f>
        <v/>
      </c>
      <c r="ET42" s="248" t="str">
        <f aca="false">IF(BR42=0,"",27.1+0.3*DC42-0.00054*DC42*DC42)</f>
        <v/>
      </c>
      <c r="EU42" s="248" t="str">
        <f aca="false">IF(BR42=0,"",SQRT(20*CC42)+20)</f>
        <v/>
      </c>
      <c r="EV42" s="248" t="str">
        <f aca="false">IF(BR42=0,"",12.79+SQRT(25.86*CC42))</f>
        <v/>
      </c>
      <c r="EW42" s="248" t="str">
        <f aca="false">IF(BR42=0,"",DEGREES(_xlfn.ACOT((CC42/(12.2+20.3*CR42))^0.34)))</f>
        <v/>
      </c>
      <c r="EX42" s="248" t="str">
        <f aca="false">IF(BR42=0,"",24+(5.77*LN(0.17*DC42)))</f>
        <v/>
      </c>
      <c r="EY42" s="248" t="str">
        <f aca="false">IF(BR42=0,"",(SUM(EN42:EX42)-MIN(EN42:EX42)-MAX(EN42:EX42))/9)</f>
        <v/>
      </c>
      <c r="EZ42" s="248" t="str">
        <f aca="false">IF(BR42=0,"", -0.0000000034*CC42^6 + 0.0000008305*CC42^5 - 0.0000741842*CC42^4 + 0.0030204278*CC42^3 - 0.0541594733*CC42^2 + 0.8083147848*CC42 - 0.6182191243)</f>
        <v/>
      </c>
      <c r="FA42" s="249" t="str">
        <f aca="false">IF(BR42=0,"",(0.134811827956989*CC42 - 0.0383064516129019)/2)</f>
        <v/>
      </c>
      <c r="FB42" s="249" t="str">
        <f aca="false">IF(BR42=0,"",CC42*0.065)</f>
        <v/>
      </c>
      <c r="FC42" s="249" t="str">
        <f aca="false">IF(BR42=0,"",(CC42*0.12*0.48)*SQRT((1+SIN(EZ42*((2*PI())/360))/(1-SIN(EZ42*((2*PI())/360))))))</f>
        <v/>
      </c>
      <c r="FD42" s="249" t="str">
        <f aca="false">IF(BR42=0,"",(CC42/8)/2)</f>
        <v/>
      </c>
      <c r="FE42" s="249" t="str">
        <f aca="false">IF(BR42=0,"",(SUM(FA42:FD42)-MIN(FA42:FD42)-MAX(FA42:FD42))/2)</f>
        <v/>
      </c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</row>
    <row r="43" customFormat="false" ht="9.75" hidden="false" customHeight="true" outlineLevel="0" collapsed="false">
      <c r="A43" s="197" t="n">
        <f aca="false">ROUND(A42+0.1,1)</f>
        <v>2.6</v>
      </c>
      <c r="B43" s="250" t="n">
        <f aca="false">+A43</f>
        <v>2.6</v>
      </c>
      <c r="C43" s="251"/>
      <c r="D43" s="275"/>
      <c r="E43" s="252"/>
      <c r="F43" s="253"/>
      <c r="G43" s="254"/>
      <c r="H43" s="284"/>
      <c r="I43" s="285"/>
      <c r="J43" s="257"/>
      <c r="K43" s="258"/>
      <c r="L43" s="259"/>
      <c r="M43" s="276"/>
      <c r="N43" s="277"/>
      <c r="O43" s="277"/>
      <c r="P43" s="277"/>
      <c r="Q43" s="293"/>
      <c r="R43" s="294"/>
      <c r="S43" s="294"/>
      <c r="T43" s="295"/>
      <c r="U43" s="295"/>
      <c r="V43" s="296"/>
      <c r="W43" s="296"/>
      <c r="X43" s="296"/>
      <c r="Y43" s="296"/>
      <c r="Z43" s="296"/>
      <c r="AA43" s="296"/>
      <c r="AB43" s="297"/>
      <c r="AC43" s="298"/>
      <c r="AD43" s="299"/>
      <c r="AE43" s="298"/>
      <c r="AF43" s="300"/>
      <c r="AG43" s="267"/>
      <c r="AH43" s="267"/>
      <c r="AI43" s="241"/>
      <c r="AJ43" s="241"/>
      <c r="AK43" s="266"/>
      <c r="AL43" s="266"/>
      <c r="AM43" s="268"/>
      <c r="AN43" s="250" t="n">
        <f aca="false">+AN41+0.2</f>
        <v>2.6</v>
      </c>
      <c r="AO43" s="251"/>
      <c r="AP43" s="275"/>
      <c r="AQ43" s="252"/>
      <c r="AR43" s="253"/>
      <c r="AS43" s="269" t="s">
        <v>13</v>
      </c>
      <c r="AT43" s="221"/>
      <c r="AU43" s="269"/>
      <c r="AV43" s="269"/>
      <c r="AW43" s="270" t="n">
        <f aca="false">+K43+L43</f>
        <v>0</v>
      </c>
      <c r="AX43" s="270" t="str">
        <f aca="false">IF(AS43="&gt;50","CONSISTENCIA",IF(AS43="&lt;50","COMPACIDAD"," "))</f>
        <v>COMPACIDAD</v>
      </c>
      <c r="AY43" s="225" t="str">
        <f aca="false">IF(AS43="&gt;50",AZ43,IF(AS43="&lt;50",BA43," "))</f>
        <v> </v>
      </c>
      <c r="AZ43" s="224" t="str">
        <f aca="false">IF(AW43=" "," ",IF(CC43=""," ",IF(CC43&lt;2,"MUY BLANDA",IF(CC43=2,"MUY BLANDA A BLANDA",IF(CC43&lt;4,"BLANDA",IF(CC43=4,"BLANDA A MEDIA",IF(CC43&lt;8,"MEDIA",IF(CC43=8,"MEDIA A FIRME",IF(CC43&lt;15,"FIRME",IF(CC43=15,"FIRME A MUY FIRME",IF(CC43&lt;30,"MUY FIRME",IF(CC43=30,"MUY FIRME A DURA","DURA"))))))))))))</f>
        <v> </v>
      </c>
      <c r="BA43" s="225" t="str">
        <f aca="false">IF(AW43=" "," ",IF(DC43=""," ",IF(DC43&lt;4,"MUY SUELTA",IF(DC43=4,"MUY SUELTA A SUELTA",IF(DC43&lt;10,"SUELTA",IF(DC43=10,"SUELTA A MEDIA",IF(DC43&lt;30,"MEDIA",IF(DC43=30,"MEDIA A DENSO",IF(DC43&lt;50,"DENSO",IF(DC43=50,"DENSO MUY DENSO","MUY DENSO"))))))))))</f>
        <v> </v>
      </c>
      <c r="BB43" s="226" t="str">
        <f aca="false">IF(BR44=0,"",CQ44*0.0101972)</f>
        <v/>
      </c>
      <c r="BC43" s="227" t="n">
        <f aca="false">+BC42+0.1</f>
        <v>2.6</v>
      </c>
      <c r="BD43" s="227" t="str">
        <f aca="false">IF(BC43&lt;=$AN$10,BC43,"")</f>
        <v/>
      </c>
      <c r="BE43" s="228" t="n">
        <f aca="false">ISNUMBER(BD43)</f>
        <v>0</v>
      </c>
      <c r="BF43" s="229" t="str">
        <f aca="false">MID(M43,1,1)</f>
        <v/>
      </c>
      <c r="BG43" s="230" t="str">
        <f aca="false">IF(BF43="S","",IF(BF43="G","",MID(M43,2,1)))</f>
        <v/>
      </c>
      <c r="BH43" s="231" t="str">
        <f aca="false">CONCATENATE(BF43,BG43)</f>
        <v/>
      </c>
      <c r="BI43" s="6" t="str">
        <f aca="false">IF(BE43=FALSE(),"",IF(BH43="",BI42,BH43))</f>
        <v/>
      </c>
      <c r="BJ43" s="74" t="str">
        <f aca="false">IF(OR(BI43="S",BI43="G"),BI43,"X")</f>
        <v>X</v>
      </c>
      <c r="BK43" s="74" t="s">
        <v>203</v>
      </c>
      <c r="BL43" s="301" t="e">
        <f aca="false">INDEX(sim_0,MATCH($BJ$43,granular,0))</f>
        <v>#NAME?</v>
      </c>
      <c r="BM43" s="301"/>
      <c r="BN43" s="6"/>
      <c r="BO43" s="191" t="n">
        <f aca="false">BO42+0.1</f>
        <v>2.6</v>
      </c>
      <c r="BP43" s="233" t="e">
        <f aca="false">IF(AW43=0,NA(),IF(AS43=$AX$3,ROUND(DC43,0),NA()))</f>
        <v>#N/A</v>
      </c>
      <c r="BQ43" s="31" t="e">
        <f aca="false">IF(AW43=0,NA(),IF(AS43=$AX$4,ROUND(CC43,0),NA()))</f>
        <v>#N/A</v>
      </c>
      <c r="BR43" s="234" t="n">
        <f aca="false">+AW43</f>
        <v>0</v>
      </c>
      <c r="BS43" s="235" t="str">
        <f aca="false">IF(BR43=0,"", -0.00000000016128755327*CC43^6 + 0.00000006709386362421*CC43^5 - 0.0000106217678052217*CC43^4 + 0.00081068114193385*CC43^3 - 0.0314027378159951*CC43^2 + 0.649796593937842*CC43 + 13.7888866455022)</f>
        <v/>
      </c>
      <c r="BT43" s="235" t="str">
        <f aca="false">IF(BR43=0,"",-0.00000000014625939695*CC43^6 + 0.00000004971732060241*CC43^5 - 0.000006683744342031*CC43^4 + 0.0004563177378098*CC43^3 - 0.0171727530635803*CC43^2 + 0.444529932876435*CC43 + 15.6692518940565)</f>
        <v/>
      </c>
      <c r="BU43" s="236" t="str">
        <f aca="false">IF(BR43=0,"", -0.0000000008152265738*BR43^6 + 0.00000022764320256987*BR43^5 - 0.0000248205675927705*BR43^4 + 0.00133186623684865*BR43^3 - 0.0368442570441677*BR43^2 + 0.580111565569094*BR43 + 14.0417598296107)</f>
        <v/>
      </c>
      <c r="BV43" s="236" t="str">
        <f aca="false">IF(BR43=0,"", -0.00000000004321395721*BR43^6 + 0.00000002531844275498*BR43^5 - 0.00000369428022780862*BR43^4 + 0.00020283665900125*BR43^3 - 0.00462426256803268*BR43^2 + 0.139572935065453*BR43 + 15.4475338156923)</f>
        <v/>
      </c>
      <c r="BW43" s="236" t="str">
        <f aca="false">IF(BR43=0,"",-0.00000000033126390082*BR43^6 + 0.00000010463660614506*BR43^5 - 0.0000129629592998707*BR43^4 + 0.000803946335250767*BR43^3 - 0.0270257140395994*BR43^2 + 0.562590210721552*BR43+ 12.1254107606419)</f>
        <v/>
      </c>
      <c r="BX43" s="236" t="str">
        <f aca="false">IF(BR43=0,"",-0.00000000002593504955*BR43^6 + 0.00000002430495156704*BR43^5 - 0.00000386103271086364*BR43^4 + 0.000214416118986322*BR43^3 - 0.0047271462612021*BR43^2 + 0.156696175741135*BR43 + 15.4598891949502)</f>
        <v/>
      </c>
      <c r="BY43" s="234" t="str">
        <f aca="false">IF(BR43=0,"",$BS$2)</f>
        <v/>
      </c>
      <c r="BZ43" s="234" t="str">
        <f aca="false">IF(BR43=0,"",$BS$3)</f>
        <v/>
      </c>
      <c r="CA43" s="234" t="str">
        <f aca="false">IF(BR43=0,"",$BS$4)</f>
        <v/>
      </c>
      <c r="CB43" s="235" t="str">
        <f aca="false">IF(BR43=0,"",IF(AND(BO43&gt;=0,BO43&lt;4),0.75,IF(AND(BO43&gt;=4,BO43&lt;6),0.85,IF(AND(BO43&gt;=6,BO43&lt;=10),0.95,1))))</f>
        <v/>
      </c>
      <c r="CC43" s="234" t="str">
        <f aca="false">IF(BR43=0,"",BR43*BY43*BZ43*CA43*CB43/60)</f>
        <v/>
      </c>
      <c r="CD43" s="238" t="str">
        <f aca="false">IF(BR43=0,"",IF($S$12="NO","NO",IF($AD$12&lt;=BO43,"SI","NO")))</f>
        <v/>
      </c>
      <c r="CE43" s="235" t="n">
        <f aca="false">IF(BR43=0,0,AB43)</f>
        <v>0</v>
      </c>
      <c r="CF43" s="235" t="n">
        <f aca="false">IF(CE43&gt;0,BO43,0)</f>
        <v>0</v>
      </c>
      <c r="CG43" s="239" t="n">
        <f aca="false">IF(CF43=0,CF43+CG42,CF43)</f>
        <v>0</v>
      </c>
      <c r="CH43" s="239" t="n">
        <f aca="false">IF(CG43=CG42,CH42,ABS(CG43-CG42))</f>
        <v>0</v>
      </c>
      <c r="CI43" s="239" t="n">
        <f aca="false">+CE43*CH43</f>
        <v>0</v>
      </c>
      <c r="CJ43" s="239" t="n">
        <f aca="false">IF(CI43=0,CI43+CJ42,CI43)</f>
        <v>0</v>
      </c>
      <c r="CK43" s="239" t="n">
        <f aca="false">IF(CJ43=CJ42,CK42,ABS(CJ43+CK42))</f>
        <v>0</v>
      </c>
      <c r="CL43" s="241" t="n">
        <f aca="false">IF(CE43=0,0,CK43)</f>
        <v>0</v>
      </c>
      <c r="CM43" s="239" t="n">
        <f aca="false">IF(CE43=0,0,CH43*9.81)</f>
        <v>0</v>
      </c>
      <c r="CN43" s="239" t="n">
        <f aca="false">IF(CM43=0,CM43+CN42,CM43)</f>
        <v>0</v>
      </c>
      <c r="CO43" s="239" t="n">
        <f aca="false">IF(CN43=CN42,CO42,ABS(CN43+CO42))</f>
        <v>0</v>
      </c>
      <c r="CP43" s="241" t="n">
        <f aca="false">IF(CD43="NO",0,IF(CE43=0,0,CO43))</f>
        <v>0</v>
      </c>
      <c r="CQ43" s="244" t="str">
        <f aca="false">IF(BR43=0,"",CL43-CP43)</f>
        <v/>
      </c>
      <c r="CR43" s="244" t="str">
        <f aca="false">IF(BR43=0,"",CQ43/101.3)</f>
        <v/>
      </c>
      <c r="CS43" s="244" t="str">
        <f aca="false">IF(BR43=0,"",LOG(10/CR43))</f>
        <v/>
      </c>
      <c r="CT43" s="243" t="str">
        <f aca="false">IF(BR43=0,"",IF(SQRT(101.3/CQ43)&lt;=1.7,SQRT(101.3/CQ43),2.2/(1.2+(CQ43/101.3))))</f>
        <v/>
      </c>
      <c r="CU43" s="244" t="str">
        <f aca="false">IF(BR43=0,"",1.7/(0.7+CR43))</f>
        <v/>
      </c>
      <c r="CV43" s="244" t="str">
        <f aca="false">IF(BR43=0,"",IF(CR43&gt;=0.25,0.77*LOG(20/CR43),""))</f>
        <v/>
      </c>
      <c r="CW43" s="244" t="str">
        <f aca="false">IF(BR43=0,"",32.5/(10.2+20.3*CR43))</f>
        <v/>
      </c>
      <c r="CX43" s="244" t="str">
        <f aca="false">IF(BR43=0,"",1-1.25*LOG(CR43))</f>
        <v/>
      </c>
      <c r="CY43" s="244" t="str">
        <f aca="false">IF(BR43=0,"",IF(CR43&lt;1,1-1.41*LOG(CR43),1+0.92*LOG(CR43)))</f>
        <v/>
      </c>
      <c r="CZ43" s="244" t="str">
        <f aca="false">IF(BR43=0,"",2/(1+CR43))</f>
        <v/>
      </c>
      <c r="DA43" s="244" t="str">
        <f aca="false">IF(BR43=0,"",IF(CR43&lt;=0.75,4/(1+4*CR43),4/(3.25+CR43)))</f>
        <v/>
      </c>
      <c r="DB43" s="244" t="str">
        <f aca="false">IF(BR43=0,"",CT43)</f>
        <v/>
      </c>
      <c r="DC43" s="244" t="str">
        <f aca="false">IF(BR43=0,"",DB43*CC43)</f>
        <v/>
      </c>
      <c r="DD43" s="244"/>
      <c r="DE43" s="244" t="str">
        <f aca="false">IF(BR43=0,"",0.193*(CC43/(CQ43*0.001))^0.689)</f>
        <v/>
      </c>
      <c r="DF43" s="244" t="str">
        <f aca="false">IF(BR43=0,"",IF(AS43=$AX$4,(0.1348118*CC43 - 0.0383065)*98.0665,""))</f>
        <v/>
      </c>
      <c r="DG43" s="244" t="str">
        <f aca="false">IF(BR43=0,"",IF(AS43=$AX$4,DF43/2,""))</f>
        <v/>
      </c>
      <c r="DH43" s="244" t="str">
        <f aca="false">IF(BR43=0,"",IF(DC43&lt;=15,12*(DC43+6),40+12*(DC43-6)))</f>
        <v/>
      </c>
      <c r="DI43" s="244" t="str">
        <f aca="false">IF(BR43=0,"",IF(CD43="SI",5*(DC43+15),((3.3*(DC43+15))+(4*(DC43+12)))/2))</f>
        <v/>
      </c>
      <c r="DJ43" s="244" t="str">
        <f aca="false">IF(BR43=0,"",8*DC43)</f>
        <v/>
      </c>
      <c r="DK43" s="244" t="str">
        <f aca="false">IF(BR43=0,"",215+(10.6*DC43))</f>
        <v/>
      </c>
      <c r="DL43" s="244" t="str">
        <f aca="false">IF(BR43=0,"",10*(7.5+(0.5*DC43)))</f>
        <v/>
      </c>
      <c r="DM43" s="244" t="str">
        <f aca="false">IF(BR43=0,"",8*DC43)</f>
        <v/>
      </c>
      <c r="DN43" s="244" t="str">
        <f aca="false">IF(AW43=" "," ",IF(DC43=""," ",IF(DC43&lt;4,10*10.2,IF(DC43=4,12*10.2,IF(DC43&lt;10,17.5*10.5,IF(DC43=10,15*10.2,IF(DC43&lt;30,22.5*10.2,IF(DC43=30,35*10.2,IF(DC43&lt;50,40*10.2,IF(DC43=50,50*10.2,55*10.2))))))))))</f>
        <v> </v>
      </c>
      <c r="DO43" s="244" t="str">
        <f aca="false">IF(BR43=0,"",7*SQRT(DC43)*10.1972)</f>
        <v/>
      </c>
      <c r="DP43" s="244" t="str">
        <f aca="false">IF(BR43=0,"",IF(AS43=$AX$4,5*CC43,""))</f>
        <v/>
      </c>
      <c r="DQ43" s="244" t="str">
        <f aca="false">IF(AW43=" "," ",IF(DC43=""," ",IF(DC43&lt;2,4*10.2,IF(DC43=2,6*10.2,IF(DC43&lt;4,12*10.2,IF(DC43=4,20*10.2,IF(DC43&lt;8,30*10.2,IF(DC43=8,35*10.2,IF(DC43&lt;15,40*10.2,IF(DC43=15,42*10.2,IF(DC43&lt;30,45*10.2,IF(DC43=30,50*10.2,70*10.2))))))))))))</f>
        <v> </v>
      </c>
      <c r="DR43" s="244" t="str">
        <f aca="false">IF(BR43=0,"",IF(AS43=$AX$4,220*DP43*0.0101972,""))</f>
        <v/>
      </c>
      <c r="DS43" s="271" t="str">
        <f aca="false">IF(BR43=0,"",IF(AS43=$AX$7,(SUM(DH43:DO43)-MIN(DH43:DO43)-MAX(DH43:DO43))/6,(SUM(DO43:DR43)-MIN(DO43:DR43)-MAX(DO43:DR43))/2))</f>
        <v/>
      </c>
      <c r="DT43" s="244" t="str">
        <f aca="false">IF(AW43=" "," ",IF(DC43=""," ",IF(DC43&lt;4,0.2,IF(DC43=4,0.27,IF(DC43&lt;10,0.33,IF(DC43=10,0.35,IF(DC43&lt;30,0.36,IF(DC43=30,0.37,IF(DC43&lt;50,0.38,IF(DC43=50,0.4,0.45))))))))))</f>
        <v> </v>
      </c>
      <c r="DU43" s="272" t="str">
        <f aca="false">IF(AW43=" "," ",IF(CC43=""," ",IF(CC43&lt;2,0.2,IF(CC43=2,0.23,IF(CC43&lt;4,0.26,IF(CC43=4,0.29,IF(CC43&lt;8,0.32,IF(CC43=8,0.35,IF(CC43&lt;15,0.38,IF(CC43=15,0.41,IF(CC43&lt;30,0.44,IF(CC43=30,0.47,0.5))))))))))))</f>
        <v> </v>
      </c>
      <c r="DV43" s="244" t="str">
        <f aca="false">IF(BR43=0,"",IF(AS43=$AX$3,DT43,DU43))</f>
        <v/>
      </c>
      <c r="DW43" s="244" t="str">
        <f aca="false">IF(BR43=0,"",IF(DC43&gt;15,15+0.5*(DC43-15),DC43))</f>
        <v/>
      </c>
      <c r="DX43" s="244" t="str">
        <f aca="false">IF(BR43=0,"",IF($S$12="SI",IF(CD43="NO",IF($AD$12&gt;(BO43+1.5*$ED$15),1,0.5),0.5),1))</f>
        <v/>
      </c>
      <c r="DY43" s="244" t="str">
        <f aca="false">IF(BR43=0,"",IF($S$12="SI",IF(CD43="NO",IF($AD$12&gt;(BO43+1.5*$EE$15),1,0.5),0.5),1))</f>
        <v/>
      </c>
      <c r="DZ43" s="244" t="str">
        <f aca="false">IF(BR43=0,"",IF($S$12="SI",IF(CD43="NO",IF($AD$12&gt;(BO43+1.5*$EF$15),1,0.5),0.5),1))</f>
        <v/>
      </c>
      <c r="EA43" s="244" t="str">
        <f aca="false">IF(BR43=0,"",IF($S$12="SI",IF(CD43="NO",IF($AD$12&gt;(BO43+1.5*$ED$15),1,0.5),IF($AD$12=BO43,1,0.5)),1))</f>
        <v/>
      </c>
      <c r="EB43" s="244" t="str">
        <f aca="false">IF(BR43=0,"",IF($S$12="SI",IF(CD43="NO",IF($AD$12&gt;(BO43+1.5*$EE$15),1,0.5),IF($AD$12=BO43,1,0.5)),1))</f>
        <v/>
      </c>
      <c r="EC43" s="244" t="str">
        <f aca="false">IF(BR43=0,"",IF($S$12="SI",IF(CD43="NO",IF($AD$12&gt;(BO43+1.5*$EF$15),1,0.5),IF($AD$12=BO43,1,0.5)),1))</f>
        <v/>
      </c>
      <c r="ED43" s="244" t="str">
        <f aca="false">IF(BR43=0,"",(DW43*($ED$15/10)*(DX43+EA43*(BO43/$ED$15))*1)/3)</f>
        <v/>
      </c>
      <c r="EE43" s="244" t="str">
        <f aca="false">IF(BR43=0,"",(DW43*($EE$15/10)*(DY43+EB43*(BO43/$EE$15))*1)/3)</f>
        <v/>
      </c>
      <c r="EF43" s="244" t="str">
        <f aca="false">IF(BR43=0,"",(DW43*($EF$15/10)*(DZ43+EC43*(BO43/$EF$15))*1)/3)</f>
        <v/>
      </c>
      <c r="EG43" s="273" t="str">
        <f aca="false">IF(BR43=0,"",IF(CD43="SI",0.5,1))</f>
        <v/>
      </c>
      <c r="EH43" s="244" t="str">
        <f aca="false">IF(BR43=0,"",IF((1+0.33*(BO43/$ED$15))&lt;=1.33,(1+0.33*(BO43/$ED$15)),1.33))</f>
        <v/>
      </c>
      <c r="EI43" s="244" t="str">
        <f aca="false">IF(BR43=0,"",IF((1+0.33*(BO43/$EE$15))&lt;=1.33,(1+0.33*(BO43/$EE$15)),1.33))</f>
        <v/>
      </c>
      <c r="EJ43" s="244" t="str">
        <f aca="false">IF(BR43=0,"",IF((1+0.33*(BO43/$EF$15))&lt;=1.33,(1+0.33*(BO43/$EF$15)),1.33))</f>
        <v/>
      </c>
      <c r="EK43" s="244" t="str">
        <f aca="false">IF(BR43=0,"",IF($ED$15&lt;=1.2,((20*DC43*EG43*EH43)/3)*0.010197,((12.5*DC43*((($ED$15+0.3)^2)/$ED$15)*EG43*EH43)/3)*0.010197))</f>
        <v/>
      </c>
      <c r="EL43" s="244" t="str">
        <f aca="false">IF(BR43=0,"",IF($EE$15&lt;=1.2,((20*DC43*EG43*EI43)/3)*0.010197,((12.5*DC43*((($EE$15+0.3)^2)/$EE$15)*EG43*EI43)/3)*0.010197))</f>
        <v/>
      </c>
      <c r="EM43" s="244" t="str">
        <f aca="false">IF(BR43=0,"",IF($EF$15&lt;=1.2,((20*DC43*EG43*EJ43)/3)*0.010197,((12.5*DC43*((($EF$15+0.3)^2)/$EF$15)*EG43*EJ43)/3)*0.010197))</f>
        <v/>
      </c>
      <c r="EN43" s="248" t="str">
        <f aca="false">IF(BR43=0,"",SQRT(12*CC43)+25)</f>
        <v/>
      </c>
      <c r="EO43" s="248" t="str">
        <f aca="false">IF(BR43=0,"",28.5+0.25*CC43)</f>
        <v/>
      </c>
      <c r="EP43" s="248" t="str">
        <f aca="false">IF(BR43=0,"",SQRT(20*CC43)+15)</f>
        <v/>
      </c>
      <c r="EQ43" s="248" t="str">
        <f aca="false">IF(BR43=0,"",23.7+0.57*CC43-0.0006*CC43*CC43)</f>
        <v/>
      </c>
      <c r="ER43" s="248" t="str">
        <f aca="false">IF(BR43=0,"",15+SQRT(12.5*DC43))</f>
        <v/>
      </c>
      <c r="ES43" s="248" t="str">
        <f aca="false">IF(BR43=0,"",3.5*SQRT(CC43)+20)</f>
        <v/>
      </c>
      <c r="ET43" s="248" t="str">
        <f aca="false">IF(BR43=0,"",27.1+0.3*DC43-0.00054*DC43*DC43)</f>
        <v/>
      </c>
      <c r="EU43" s="248" t="str">
        <f aca="false">IF(BR43=0,"",SQRT(20*CC43)+20)</f>
        <v/>
      </c>
      <c r="EV43" s="248" t="str">
        <f aca="false">IF(BR43=0,"",12.79+SQRT(25.86*CC43))</f>
        <v/>
      </c>
      <c r="EW43" s="248" t="str">
        <f aca="false">IF(BR43=0,"",DEGREES(_xlfn.ACOT((CC43/(12.2+20.3*CR43))^0.34)))</f>
        <v/>
      </c>
      <c r="EX43" s="248" t="str">
        <f aca="false">IF(BR43=0,"",24+(5.77*LN(0.17*DC43)))</f>
        <v/>
      </c>
      <c r="EY43" s="248" t="str">
        <f aca="false">IF(BR43=0,"",(SUM(EN43:EX43)-MIN(EN43:EX43)-MAX(EN43:EX43))/9)</f>
        <v/>
      </c>
      <c r="EZ43" s="248" t="str">
        <f aca="false">IF(BR43=0,"", -0.0000000034*CC43^6 + 0.0000008305*CC43^5 - 0.0000741842*CC43^4 + 0.0030204278*CC43^3 - 0.0541594733*CC43^2 + 0.8083147848*CC43 - 0.6182191243)</f>
        <v/>
      </c>
      <c r="FA43" s="249" t="str">
        <f aca="false">IF(BR43=0,"",(0.134811827956989*CC43 - 0.0383064516129019)/2)</f>
        <v/>
      </c>
      <c r="FB43" s="249" t="str">
        <f aca="false">IF(BR43=0,"",CC43*0.065)</f>
        <v/>
      </c>
      <c r="FC43" s="249" t="str">
        <f aca="false">IF(BR43=0,"",(CC43*0.12*0.48)*SQRT((1+SIN(EZ43*((2*PI())/360))/(1-SIN(EZ43*((2*PI())/360))))))</f>
        <v/>
      </c>
      <c r="FD43" s="249" t="str">
        <f aca="false">IF(BR43=0,"",(CC43/8)/2)</f>
        <v/>
      </c>
      <c r="FE43" s="249" t="str">
        <f aca="false">IF(BR43=0,"",(SUM(FA43:FD43)-MIN(FA43:FD43)-MAX(FA43:FD43))/2)</f>
        <v/>
      </c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</row>
    <row r="44" customFormat="false" ht="9.75" hidden="false" customHeight="true" outlineLevel="0" collapsed="false">
      <c r="A44" s="197" t="n">
        <f aca="false">ROUND(A43+0.1,1)</f>
        <v>2.7</v>
      </c>
      <c r="B44" s="250"/>
      <c r="C44" s="251"/>
      <c r="D44" s="251"/>
      <c r="E44" s="199"/>
      <c r="F44" s="200"/>
      <c r="G44" s="254"/>
      <c r="H44" s="284"/>
      <c r="I44" s="285"/>
      <c r="J44" s="257"/>
      <c r="K44" s="258"/>
      <c r="L44" s="259"/>
      <c r="M44" s="276"/>
      <c r="N44" s="277"/>
      <c r="O44" s="277"/>
      <c r="P44" s="277"/>
      <c r="Q44" s="293"/>
      <c r="R44" s="294"/>
      <c r="S44" s="294"/>
      <c r="T44" s="295"/>
      <c r="U44" s="295"/>
      <c r="V44" s="296"/>
      <c r="W44" s="296"/>
      <c r="X44" s="296"/>
      <c r="Y44" s="296"/>
      <c r="Z44" s="296"/>
      <c r="AA44" s="296"/>
      <c r="AB44" s="297"/>
      <c r="AC44" s="298"/>
      <c r="AD44" s="299"/>
      <c r="AE44" s="298"/>
      <c r="AF44" s="300"/>
      <c r="AG44" s="267"/>
      <c r="AH44" s="267"/>
      <c r="AI44" s="241"/>
      <c r="AJ44" s="241"/>
      <c r="AK44" s="266"/>
      <c r="AL44" s="266"/>
      <c r="AM44" s="268"/>
      <c r="AN44" s="250"/>
      <c r="AO44" s="251"/>
      <c r="AP44" s="251"/>
      <c r="AQ44" s="199"/>
      <c r="AR44" s="200"/>
      <c r="AS44" s="269" t="s">
        <v>13</v>
      </c>
      <c r="AT44" s="221"/>
      <c r="AU44" s="269"/>
      <c r="AV44" s="269"/>
      <c r="AW44" s="270" t="n">
        <f aca="false">+K44+L44</f>
        <v>0</v>
      </c>
      <c r="AX44" s="270" t="str">
        <f aca="false">IF(AS44="&gt;50","CONSISTENCIA",IF(AS44="&lt;50","COMPACIDAD"," "))</f>
        <v>COMPACIDAD</v>
      </c>
      <c r="AY44" s="225" t="str">
        <f aca="false">IF(AS44="&gt;50",AZ44,IF(AS44="&lt;50",BA44," "))</f>
        <v> </v>
      </c>
      <c r="AZ44" s="224" t="str">
        <f aca="false">IF(AW44=" "," ",IF(CC44=""," ",IF(CC44&lt;2,"MUY BLANDA",IF(CC44=2,"MUY BLANDA A BLANDA",IF(CC44&lt;4,"BLANDA",IF(CC44=4,"BLANDA A MEDIA",IF(CC44&lt;8,"MEDIA",IF(CC44=8,"MEDIA A FIRME",IF(CC44&lt;15,"FIRME",IF(CC44=15,"FIRME A MUY FIRME",IF(CC44&lt;30,"MUY FIRME",IF(CC44=30,"MUY FIRME A DURA","DURA"))))))))))))</f>
        <v> </v>
      </c>
      <c r="BA44" s="225" t="str">
        <f aca="false">IF(AW44=" "," ",IF(DC44=""," ",IF(DC44&lt;4,"MUY SUELTA",IF(DC44=4,"MUY SUELTA A SUELTA",IF(DC44&lt;10,"SUELTA",IF(DC44=10,"SUELTA A MEDIA",IF(DC44&lt;30,"MEDIA",IF(DC44=30,"MEDIA A DENSO",IF(DC44&lt;50,"DENSO",IF(DC44=50,"DENSO MUY DENSO","MUY DENSO"))))))))))</f>
        <v> </v>
      </c>
      <c r="BB44" s="226" t="str">
        <f aca="false">IF(BR45=0,"",CQ45*0.0101972)</f>
        <v/>
      </c>
      <c r="BC44" s="227" t="n">
        <f aca="false">+BC43+0.1</f>
        <v>2.7</v>
      </c>
      <c r="BD44" s="227" t="str">
        <f aca="false">IF(BC44&lt;=$AN$10,BC44,"")</f>
        <v/>
      </c>
      <c r="BE44" s="228" t="n">
        <f aca="false">ISNUMBER(BD44)</f>
        <v>0</v>
      </c>
      <c r="BF44" s="229" t="str">
        <f aca="false">MID(M44,1,1)</f>
        <v/>
      </c>
      <c r="BG44" s="230" t="str">
        <f aca="false">IF(BF44="S","",IF(BF44="G","",MID(M44,2,1)))</f>
        <v/>
      </c>
      <c r="BH44" s="231" t="str">
        <f aca="false">CONCATENATE(BF44,BG44)</f>
        <v/>
      </c>
      <c r="BI44" s="6" t="str">
        <f aca="false">IF(BE44=FALSE(),"",IF(BH44="",BI43,BH44))</f>
        <v/>
      </c>
      <c r="BJ44" s="74" t="str">
        <f aca="false">IF(OR(BI44="S",BI44="G"),BI44,"X")</f>
        <v>X</v>
      </c>
      <c r="BK44" s="74" t="s">
        <v>204</v>
      </c>
      <c r="BL44" s="301" t="e">
        <f aca="false">INDEX(sim_0,MATCH($BJ$44,granular,0))</f>
        <v>#NAME?</v>
      </c>
      <c r="BM44" s="301"/>
      <c r="BN44" s="6"/>
      <c r="BO44" s="191" t="n">
        <f aca="false">BO43+0.1</f>
        <v>2.7</v>
      </c>
      <c r="BP44" s="233" t="e">
        <f aca="false">IF(AW44=0,NA(),IF(AS44=$AX$3,ROUND(DC44,0),NA()))</f>
        <v>#N/A</v>
      </c>
      <c r="BQ44" s="31" t="e">
        <f aca="false">IF(AW44=0,NA(),IF(AS44=$AX$4,ROUND(CC44,0),NA()))</f>
        <v>#N/A</v>
      </c>
      <c r="BR44" s="234" t="n">
        <f aca="false">+AW44</f>
        <v>0</v>
      </c>
      <c r="BS44" s="235" t="str">
        <f aca="false">IF(BR44=0,"", -0.00000000016128755327*CC44^6 + 0.00000006709386362421*CC44^5 - 0.0000106217678052217*CC44^4 + 0.00081068114193385*CC44^3 - 0.0314027378159951*CC44^2 + 0.649796593937842*CC44 + 13.7888866455022)</f>
        <v/>
      </c>
      <c r="BT44" s="235" t="str">
        <f aca="false">IF(BR44=0,"",-0.00000000014625939695*CC44^6 + 0.00000004971732060241*CC44^5 - 0.000006683744342031*CC44^4 + 0.0004563177378098*CC44^3 - 0.0171727530635803*CC44^2 + 0.444529932876435*CC44 + 15.6692518940565)</f>
        <v/>
      </c>
      <c r="BU44" s="236" t="str">
        <f aca="false">IF(BR44=0,"", -0.0000000008152265738*BR44^6 + 0.00000022764320256987*BR44^5 - 0.0000248205675927705*BR44^4 + 0.00133186623684865*BR44^3 - 0.0368442570441677*BR44^2 + 0.580111565569094*BR44 + 14.0417598296107)</f>
        <v/>
      </c>
      <c r="BV44" s="236" t="str">
        <f aca="false">IF(BR44=0,"", -0.00000000004321395721*BR44^6 + 0.00000002531844275498*BR44^5 - 0.00000369428022780862*BR44^4 + 0.00020283665900125*BR44^3 - 0.00462426256803268*BR44^2 + 0.139572935065453*BR44 + 15.4475338156923)</f>
        <v/>
      </c>
      <c r="BW44" s="236" t="str">
        <f aca="false">IF(BR44=0,"",-0.00000000033126390082*BR44^6 + 0.00000010463660614506*BR44^5 - 0.0000129629592998707*BR44^4 + 0.000803946335250767*BR44^3 - 0.0270257140395994*BR44^2 + 0.562590210721552*BR44+ 12.1254107606419)</f>
        <v/>
      </c>
      <c r="BX44" s="236" t="str">
        <f aca="false">IF(BR44=0,"",-0.00000000002593504955*BR44^6 + 0.00000002430495156704*BR44^5 - 0.00000386103271086364*BR44^4 + 0.000214416118986322*BR44^3 - 0.0047271462612021*BR44^2 + 0.156696175741135*BR44 + 15.4598891949502)</f>
        <v/>
      </c>
      <c r="BY44" s="234" t="str">
        <f aca="false">IF(BR44=0,"",$BS$2)</f>
        <v/>
      </c>
      <c r="BZ44" s="234" t="str">
        <f aca="false">IF(BR44=0,"",$BS$3)</f>
        <v/>
      </c>
      <c r="CA44" s="234" t="str">
        <f aca="false">IF(BR44=0,"",$BS$4)</f>
        <v/>
      </c>
      <c r="CB44" s="235" t="str">
        <f aca="false">IF(BR44=0,"",IF(AND(BO44&gt;=0,BO44&lt;4),0.75,IF(AND(BO44&gt;=4,BO44&lt;6),0.85,IF(AND(BO44&gt;=6,BO44&lt;=10),0.95,1))))</f>
        <v/>
      </c>
      <c r="CC44" s="234" t="str">
        <f aca="false">IF(BR44=0,"",BR44*BY44*BZ44*CA44*CB44/60)</f>
        <v/>
      </c>
      <c r="CD44" s="238" t="str">
        <f aca="false">IF(BR44=0,"",IF($S$12="NO","NO",IF($AD$12&lt;=BO44,"SI","NO")))</f>
        <v/>
      </c>
      <c r="CE44" s="235" t="n">
        <f aca="false">IF(BR44=0,0,AB44)</f>
        <v>0</v>
      </c>
      <c r="CF44" s="235" t="n">
        <f aca="false">IF(CE44&gt;0,BO44,0)</f>
        <v>0</v>
      </c>
      <c r="CG44" s="239" t="n">
        <f aca="false">IF(CF44=0,CF44+CG43,CF44)</f>
        <v>0</v>
      </c>
      <c r="CH44" s="239" t="n">
        <f aca="false">IF(CG44=CG43,CH43,ABS(CG44-CG43))</f>
        <v>0</v>
      </c>
      <c r="CI44" s="239" t="n">
        <f aca="false">+CE44*CH44</f>
        <v>0</v>
      </c>
      <c r="CJ44" s="239" t="n">
        <f aca="false">IF(CI44=0,CI44+CJ43,CI44)</f>
        <v>0</v>
      </c>
      <c r="CK44" s="239" t="n">
        <f aca="false">IF(CJ44=CJ43,CK43,ABS(CJ44+CK43))</f>
        <v>0</v>
      </c>
      <c r="CL44" s="241" t="n">
        <f aca="false">IF(CE44=0,0,CK44)</f>
        <v>0</v>
      </c>
      <c r="CM44" s="239" t="n">
        <f aca="false">IF(CE44=0,0,CH44*9.81)</f>
        <v>0</v>
      </c>
      <c r="CN44" s="239" t="n">
        <f aca="false">IF(CM44=0,CM44+CN43,CM44)</f>
        <v>0</v>
      </c>
      <c r="CO44" s="239" t="n">
        <f aca="false">IF(CN44=CN43,CO43,ABS(CN44+CO43))</f>
        <v>0</v>
      </c>
      <c r="CP44" s="241" t="n">
        <f aca="false">IF(CD44="NO",0,IF(CE44=0,0,CO44))</f>
        <v>0</v>
      </c>
      <c r="CQ44" s="244" t="str">
        <f aca="false">IF(BR44=0,"",CL44-CP44)</f>
        <v/>
      </c>
      <c r="CR44" s="244" t="str">
        <f aca="false">IF(BR44=0,"",CQ44/101.3)</f>
        <v/>
      </c>
      <c r="CS44" s="244" t="str">
        <f aca="false">IF(BR44=0,"",LOG(10/CR44))</f>
        <v/>
      </c>
      <c r="CT44" s="243" t="str">
        <f aca="false">IF(BR44=0,"",IF(SQRT(101.3/CQ44)&lt;=1.7,SQRT(101.3/CQ44),2.2/(1.2+(CQ44/101.3))))</f>
        <v/>
      </c>
      <c r="CU44" s="244" t="str">
        <f aca="false">IF(BR44=0,"",1.7/(0.7+CR44))</f>
        <v/>
      </c>
      <c r="CV44" s="244" t="str">
        <f aca="false">IF(BR44=0,"",IF(CR44&gt;=0.25,0.77*LOG(20/CR44),""))</f>
        <v/>
      </c>
      <c r="CW44" s="244" t="str">
        <f aca="false">IF(BR44=0,"",32.5/(10.2+20.3*CR44))</f>
        <v/>
      </c>
      <c r="CX44" s="244" t="str">
        <f aca="false">IF(BR44=0,"",1-1.25*LOG(CR44))</f>
        <v/>
      </c>
      <c r="CY44" s="244" t="str">
        <f aca="false">IF(BR44=0,"",IF(CR44&lt;1,1-1.41*LOG(CR44),1+0.92*LOG(CR44)))</f>
        <v/>
      </c>
      <c r="CZ44" s="244" t="str">
        <f aca="false">IF(BR44=0,"",2/(1+CR44))</f>
        <v/>
      </c>
      <c r="DA44" s="244" t="str">
        <f aca="false">IF(BR44=0,"",IF(CR44&lt;=0.75,4/(1+4*CR44),4/(3.25+CR44)))</f>
        <v/>
      </c>
      <c r="DB44" s="244" t="str">
        <f aca="false">IF(BR44=0,"",CT44)</f>
        <v/>
      </c>
      <c r="DC44" s="244" t="str">
        <f aca="false">IF(BR44=0,"",DB44*CC44)</f>
        <v/>
      </c>
      <c r="DD44" s="244"/>
      <c r="DE44" s="244" t="str">
        <f aca="false">IF(BR44=0,"",0.193*(CC44/(CQ44*0.001))^0.689)</f>
        <v/>
      </c>
      <c r="DF44" s="244" t="str">
        <f aca="false">IF(BR44=0,"",IF(AS44=$AX$4,(0.1348118*CC44 - 0.0383065)*98.0665,""))</f>
        <v/>
      </c>
      <c r="DG44" s="244" t="str">
        <f aca="false">IF(BR44=0,"",IF(AS44=$AX$4,DF44/2,""))</f>
        <v/>
      </c>
      <c r="DH44" s="244" t="str">
        <f aca="false">IF(BR44=0,"",IF(DC44&lt;=15,12*(DC44+6),40+12*(DC44-6)))</f>
        <v/>
      </c>
      <c r="DI44" s="244" t="str">
        <f aca="false">IF(BR44=0,"",IF(CD44="SI",5*(DC44+15),((3.3*(DC44+15))+(4*(DC44+12)))/2))</f>
        <v/>
      </c>
      <c r="DJ44" s="244" t="str">
        <f aca="false">IF(BR44=0,"",8*DC44)</f>
        <v/>
      </c>
      <c r="DK44" s="244" t="str">
        <f aca="false">IF(BR44=0,"",215+(10.6*DC44))</f>
        <v/>
      </c>
      <c r="DL44" s="244" t="str">
        <f aca="false">IF(BR44=0,"",10*(7.5+(0.5*DC44)))</f>
        <v/>
      </c>
      <c r="DM44" s="244" t="str">
        <f aca="false">IF(BR44=0,"",8*DC44)</f>
        <v/>
      </c>
      <c r="DN44" s="244" t="str">
        <f aca="false">IF(AW44=" "," ",IF(DC44=""," ",IF(DC44&lt;4,10*10.2,IF(DC44=4,12*10.2,IF(DC44&lt;10,17.5*10.5,IF(DC44=10,15*10.2,IF(DC44&lt;30,22.5*10.2,IF(DC44=30,35*10.2,IF(DC44&lt;50,40*10.2,IF(DC44=50,50*10.2,55*10.2))))))))))</f>
        <v> </v>
      </c>
      <c r="DO44" s="244" t="str">
        <f aca="false">IF(BR44=0,"",7*SQRT(DC44)*10.1972)</f>
        <v/>
      </c>
      <c r="DP44" s="244" t="str">
        <f aca="false">IF(BR44=0,"",IF(AS44=$AX$4,5*CC44,""))</f>
        <v/>
      </c>
      <c r="DQ44" s="244" t="str">
        <f aca="false">IF(AW44=" "," ",IF(DC44=""," ",IF(DC44&lt;2,4*10.2,IF(DC44=2,6*10.2,IF(DC44&lt;4,12*10.2,IF(DC44=4,20*10.2,IF(DC44&lt;8,30*10.2,IF(DC44=8,35*10.2,IF(DC44&lt;15,40*10.2,IF(DC44=15,42*10.2,IF(DC44&lt;30,45*10.2,IF(DC44=30,50*10.2,70*10.2))))))))))))</f>
        <v> </v>
      </c>
      <c r="DR44" s="244" t="str">
        <f aca="false">IF(BR44=0,"",IF(AS44=$AX$4,220*DP44*0.0101972,""))</f>
        <v/>
      </c>
      <c r="DS44" s="271" t="str">
        <f aca="false">IF(BR44=0,"",IF(AS44=$AX$7,(SUM(DH44:DO44)-MIN(DH44:DO44)-MAX(DH44:DO44))/6,(SUM(DO44:DR44)-MIN(DO44:DR44)-MAX(DO44:DR44))/2))</f>
        <v/>
      </c>
      <c r="DT44" s="244" t="str">
        <f aca="false">IF(AW44=" "," ",IF(DC44=""," ",IF(DC44&lt;4,0.2,IF(DC44=4,0.27,IF(DC44&lt;10,0.33,IF(DC44=10,0.35,IF(DC44&lt;30,0.36,IF(DC44=30,0.37,IF(DC44&lt;50,0.38,IF(DC44=50,0.4,0.45))))))))))</f>
        <v> </v>
      </c>
      <c r="DU44" s="272" t="str">
        <f aca="false">IF(AW44=" "," ",IF(CC44=""," ",IF(CC44&lt;2,0.2,IF(CC44=2,0.23,IF(CC44&lt;4,0.26,IF(CC44=4,0.29,IF(CC44&lt;8,0.32,IF(CC44=8,0.35,IF(CC44&lt;15,0.38,IF(CC44=15,0.41,IF(CC44&lt;30,0.44,IF(CC44=30,0.47,0.5))))))))))))</f>
        <v> </v>
      </c>
      <c r="DV44" s="244" t="str">
        <f aca="false">IF(BR44=0,"",IF(AS44=$AX$3,DT44,DU44))</f>
        <v/>
      </c>
      <c r="DW44" s="244" t="str">
        <f aca="false">IF(BR44=0,"",IF(DC44&gt;15,15+0.5*(DC44-15),DC44))</f>
        <v/>
      </c>
      <c r="DX44" s="244" t="str">
        <f aca="false">IF(BR44=0,"",IF($S$12="SI",IF(CD44="NO",IF($AD$12&gt;(BO44+1.5*$ED$15),1,0.5),0.5),1))</f>
        <v/>
      </c>
      <c r="DY44" s="244" t="str">
        <f aca="false">IF(BR44=0,"",IF($S$12="SI",IF(CD44="NO",IF($AD$12&gt;(BO44+1.5*$EE$15),1,0.5),0.5),1))</f>
        <v/>
      </c>
      <c r="DZ44" s="244" t="str">
        <f aca="false">IF(BR44=0,"",IF($S$12="SI",IF(CD44="NO",IF($AD$12&gt;(BO44+1.5*$EF$15),1,0.5),0.5),1))</f>
        <v/>
      </c>
      <c r="EA44" s="244" t="str">
        <f aca="false">IF(BR44=0,"",IF($S$12="SI",IF(CD44="NO",IF($AD$12&gt;(BO44+1.5*$ED$15),1,0.5),IF($AD$12=BO44,1,0.5)),1))</f>
        <v/>
      </c>
      <c r="EB44" s="244" t="str">
        <f aca="false">IF(BR44=0,"",IF($S$12="SI",IF(CD44="NO",IF($AD$12&gt;(BO44+1.5*$EE$15),1,0.5),IF($AD$12=BO44,1,0.5)),1))</f>
        <v/>
      </c>
      <c r="EC44" s="244" t="str">
        <f aca="false">IF(BR44=0,"",IF($S$12="SI",IF(CD44="NO",IF($AD$12&gt;(BO44+1.5*$EF$15),1,0.5),IF($AD$12=BO44,1,0.5)),1))</f>
        <v/>
      </c>
      <c r="ED44" s="244" t="str">
        <f aca="false">IF(BR44=0,"",(DW44*($ED$15/10)*(DX44+EA44*(BO44/$ED$15))*1)/3)</f>
        <v/>
      </c>
      <c r="EE44" s="244" t="str">
        <f aca="false">IF(BR44=0,"",(DW44*($EE$15/10)*(DY44+EB44*(BO44/$EE$15))*1)/3)</f>
        <v/>
      </c>
      <c r="EF44" s="244" t="str">
        <f aca="false">IF(BR44=0,"",(DW44*($EF$15/10)*(DZ44+EC44*(BO44/$EF$15))*1)/3)</f>
        <v/>
      </c>
      <c r="EG44" s="273" t="str">
        <f aca="false">IF(BR44=0,"",IF(CD44="SI",0.5,1))</f>
        <v/>
      </c>
      <c r="EH44" s="244" t="str">
        <f aca="false">IF(BR44=0,"",IF((1+0.33*(BO44/$ED$15))&lt;=1.33,(1+0.33*(BO44/$ED$15)),1.33))</f>
        <v/>
      </c>
      <c r="EI44" s="244" t="str">
        <f aca="false">IF(BR44=0,"",IF((1+0.33*(BO44/$EE$15))&lt;=1.33,(1+0.33*(BO44/$EE$15)),1.33))</f>
        <v/>
      </c>
      <c r="EJ44" s="244" t="str">
        <f aca="false">IF(BR44=0,"",IF((1+0.33*(BO44/$EF$15))&lt;=1.33,(1+0.33*(BO44/$EF$15)),1.33))</f>
        <v/>
      </c>
      <c r="EK44" s="244" t="str">
        <f aca="false">IF(BR44=0,"",IF($ED$15&lt;=1.2,((20*DC44*EG44*EH44)/3)*0.010197,((12.5*DC44*((($ED$15+0.3)^2)/$ED$15)*EG44*EH44)/3)*0.010197))</f>
        <v/>
      </c>
      <c r="EL44" s="244" t="str">
        <f aca="false">IF(BR44=0,"",IF($EE$15&lt;=1.2,((20*DC44*EG44*EI44)/3)*0.010197,((12.5*DC44*((($EE$15+0.3)^2)/$EE$15)*EG44*EI44)/3)*0.010197))</f>
        <v/>
      </c>
      <c r="EM44" s="244" t="str">
        <f aca="false">IF(BR44=0,"",IF($EF$15&lt;=1.2,((20*DC44*EG44*EJ44)/3)*0.010197,((12.5*DC44*((($EF$15+0.3)^2)/$EF$15)*EG44*EJ44)/3)*0.010197))</f>
        <v/>
      </c>
      <c r="EN44" s="248" t="str">
        <f aca="false">IF(BR44=0,"",SQRT(12*CC44)+25)</f>
        <v/>
      </c>
      <c r="EO44" s="248" t="str">
        <f aca="false">IF(BR44=0,"",28.5+0.25*CC44)</f>
        <v/>
      </c>
      <c r="EP44" s="248" t="str">
        <f aca="false">IF(BR44=0,"",SQRT(20*CC44)+15)</f>
        <v/>
      </c>
      <c r="EQ44" s="248" t="str">
        <f aca="false">IF(BR44=0,"",23.7+0.57*CC44-0.0006*CC44*CC44)</f>
        <v/>
      </c>
      <c r="ER44" s="248" t="str">
        <f aca="false">IF(BR44=0,"",15+SQRT(12.5*DC44))</f>
        <v/>
      </c>
      <c r="ES44" s="248" t="str">
        <f aca="false">IF(BR44=0,"",3.5*SQRT(CC44)+20)</f>
        <v/>
      </c>
      <c r="ET44" s="248" t="str">
        <f aca="false">IF(BR44=0,"",27.1+0.3*DC44-0.00054*DC44*DC44)</f>
        <v/>
      </c>
      <c r="EU44" s="248" t="str">
        <f aca="false">IF(BR44=0,"",SQRT(20*CC44)+20)</f>
        <v/>
      </c>
      <c r="EV44" s="248" t="str">
        <f aca="false">IF(BR44=0,"",12.79+SQRT(25.86*CC44))</f>
        <v/>
      </c>
      <c r="EW44" s="248" t="str">
        <f aca="false">IF(BR44=0,"",DEGREES(_xlfn.ACOT((CC44/(12.2+20.3*CR44))^0.34)))</f>
        <v/>
      </c>
      <c r="EX44" s="248" t="str">
        <f aca="false">IF(BR44=0,"",24+(5.77*LN(0.17*DC44)))</f>
        <v/>
      </c>
      <c r="EY44" s="248" t="str">
        <f aca="false">IF(BR44=0,"",(SUM(EN44:EX44)-MIN(EN44:EX44)-MAX(EN44:EX44))/9)</f>
        <v/>
      </c>
      <c r="EZ44" s="248" t="str">
        <f aca="false">IF(BR44=0,"", -0.0000000034*CC44^6 + 0.0000008305*CC44^5 - 0.0000741842*CC44^4 + 0.0030204278*CC44^3 - 0.0541594733*CC44^2 + 0.8083147848*CC44 - 0.6182191243)</f>
        <v/>
      </c>
      <c r="FA44" s="249" t="str">
        <f aca="false">IF(BR44=0,"",(0.134811827956989*CC44 - 0.0383064516129019)/2)</f>
        <v/>
      </c>
      <c r="FB44" s="249" t="str">
        <f aca="false">IF(BR44=0,"",CC44*0.065)</f>
        <v/>
      </c>
      <c r="FC44" s="249" t="str">
        <f aca="false">IF(BR44=0,"",(CC44*0.12*0.48)*SQRT((1+SIN(EZ44*((2*PI())/360))/(1-SIN(EZ44*((2*PI())/360))))))</f>
        <v/>
      </c>
      <c r="FD44" s="249" t="str">
        <f aca="false">IF(BR44=0,"",(CC44/8)/2)</f>
        <v/>
      </c>
      <c r="FE44" s="249" t="str">
        <f aca="false">IF(BR44=0,"",(SUM(FA44:FD44)-MIN(FA44:FD44)-MAX(FA44:FD44))/2)</f>
        <v/>
      </c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</row>
    <row r="45" customFormat="false" ht="9.75" hidden="false" customHeight="true" outlineLevel="0" collapsed="false">
      <c r="A45" s="197" t="n">
        <f aca="false">ROUND(A44+0.1,1)</f>
        <v>2.8</v>
      </c>
      <c r="B45" s="250" t="n">
        <f aca="false">+A45</f>
        <v>2.8</v>
      </c>
      <c r="C45" s="251"/>
      <c r="D45" s="251"/>
      <c r="E45" s="274"/>
      <c r="F45" s="253"/>
      <c r="G45" s="254"/>
      <c r="H45" s="284"/>
      <c r="I45" s="285"/>
      <c r="J45" s="257"/>
      <c r="K45" s="258"/>
      <c r="L45" s="259"/>
      <c r="M45" s="276"/>
      <c r="N45" s="277"/>
      <c r="O45" s="277"/>
      <c r="P45" s="277"/>
      <c r="Q45" s="293"/>
      <c r="R45" s="294"/>
      <c r="S45" s="294"/>
      <c r="T45" s="295"/>
      <c r="U45" s="295"/>
      <c r="V45" s="296"/>
      <c r="W45" s="296"/>
      <c r="X45" s="296"/>
      <c r="Y45" s="296"/>
      <c r="Z45" s="296"/>
      <c r="AA45" s="296"/>
      <c r="AB45" s="297"/>
      <c r="AC45" s="298"/>
      <c r="AD45" s="299"/>
      <c r="AE45" s="298"/>
      <c r="AF45" s="300"/>
      <c r="AG45" s="267"/>
      <c r="AH45" s="267"/>
      <c r="AI45" s="241"/>
      <c r="AJ45" s="241"/>
      <c r="AK45" s="266"/>
      <c r="AL45" s="266"/>
      <c r="AM45" s="268"/>
      <c r="AN45" s="250" t="n">
        <f aca="false">+AN43+0.2</f>
        <v>2.8</v>
      </c>
      <c r="AO45" s="251"/>
      <c r="AP45" s="251"/>
      <c r="AQ45" s="274"/>
      <c r="AR45" s="253"/>
      <c r="AS45" s="269" t="s">
        <v>13</v>
      </c>
      <c r="AT45" s="221"/>
      <c r="AU45" s="269"/>
      <c r="AV45" s="269"/>
      <c r="AW45" s="270" t="n">
        <f aca="false">+K45+L45</f>
        <v>0</v>
      </c>
      <c r="AX45" s="270" t="str">
        <f aca="false">IF(AS45="&gt;50","CONSISTENCIA",IF(AS45="&lt;50","COMPACIDAD"," "))</f>
        <v>COMPACIDAD</v>
      </c>
      <c r="AY45" s="225" t="str">
        <f aca="false">IF(AS45="&gt;50",AZ45,IF(AS45="&lt;50",BA45," "))</f>
        <v> </v>
      </c>
      <c r="AZ45" s="224" t="str">
        <f aca="false">IF(AW45=" "," ",IF(CC45=""," ",IF(CC45&lt;2,"MUY BLANDA",IF(CC45=2,"MUY BLANDA A BLANDA",IF(CC45&lt;4,"BLANDA",IF(CC45=4,"BLANDA A MEDIA",IF(CC45&lt;8,"MEDIA",IF(CC45=8,"MEDIA A FIRME",IF(CC45&lt;15,"FIRME",IF(CC45=15,"FIRME A MUY FIRME",IF(CC45&lt;30,"MUY FIRME",IF(CC45=30,"MUY FIRME A DURA","DURA"))))))))))))</f>
        <v> </v>
      </c>
      <c r="BA45" s="225" t="str">
        <f aca="false">IF(AW45=" "," ",IF(DC45=""," ",IF(DC45&lt;4,"MUY SUELTA",IF(DC45=4,"MUY SUELTA A SUELTA",IF(DC45&lt;10,"SUELTA",IF(DC45=10,"SUELTA A MEDIA",IF(DC45&lt;30,"MEDIA",IF(DC45=30,"MEDIA A DENSO",IF(DC45&lt;50,"DENSO",IF(DC45=50,"DENSO MUY DENSO","MUY DENSO"))))))))))</f>
        <v> </v>
      </c>
      <c r="BB45" s="226" t="str">
        <f aca="false">IF(BR46=0,"",CQ46*0.0101972)</f>
        <v/>
      </c>
      <c r="BC45" s="227" t="n">
        <f aca="false">+BC44+0.1</f>
        <v>2.8</v>
      </c>
      <c r="BD45" s="227" t="str">
        <f aca="false">IF(BC45&lt;=$AN$10,BC45,"")</f>
        <v/>
      </c>
      <c r="BE45" s="228" t="n">
        <f aca="false">ISNUMBER(BD45)</f>
        <v>0</v>
      </c>
      <c r="BF45" s="229" t="str">
        <f aca="false">MID(M45,1,1)</f>
        <v/>
      </c>
      <c r="BG45" s="230" t="str">
        <f aca="false">IF(BF45="S","",IF(BF45="G","",MID(M45,2,1)))</f>
        <v/>
      </c>
      <c r="BH45" s="231" t="str">
        <f aca="false">CONCATENATE(BF45,BG45)</f>
        <v/>
      </c>
      <c r="BI45" s="6" t="str">
        <f aca="false">IF(BE45=FALSE(),"",IF(BH45="",BI44,BH45))</f>
        <v/>
      </c>
      <c r="BJ45" s="74" t="str">
        <f aca="false">IF(OR(BI45="S",BI45="G"),BI45,"X")</f>
        <v>X</v>
      </c>
      <c r="BK45" s="74" t="s">
        <v>205</v>
      </c>
      <c r="BL45" s="301" t="e">
        <f aca="false">INDEX(sim_0,MATCH($BJ$45,granular,0))</f>
        <v>#NAME?</v>
      </c>
      <c r="BM45" s="301"/>
      <c r="BN45" s="6"/>
      <c r="BO45" s="191" t="n">
        <f aca="false">BO44+0.1</f>
        <v>2.8</v>
      </c>
      <c r="BP45" s="233" t="e">
        <f aca="false">IF(AW45=0,NA(),IF(AS45=$AX$3,ROUND(DC45,0),NA()))</f>
        <v>#N/A</v>
      </c>
      <c r="BQ45" s="31" t="e">
        <f aca="false">IF(AW45=0,NA(),IF(AS45=$AX$4,ROUND(CC45,0),NA()))</f>
        <v>#N/A</v>
      </c>
      <c r="BR45" s="234" t="n">
        <f aca="false">+AW45</f>
        <v>0</v>
      </c>
      <c r="BS45" s="235" t="str">
        <f aca="false">IF(BR45=0,"", -0.00000000016128755327*CC45^6 + 0.00000006709386362421*CC45^5 - 0.0000106217678052217*CC45^4 + 0.00081068114193385*CC45^3 - 0.0314027378159951*CC45^2 + 0.649796593937842*CC45 + 13.7888866455022)</f>
        <v/>
      </c>
      <c r="BT45" s="235" t="str">
        <f aca="false">IF(BR45=0,"",-0.00000000014625939695*CC45^6 + 0.00000004971732060241*CC45^5 - 0.000006683744342031*CC45^4 + 0.0004563177378098*CC45^3 - 0.0171727530635803*CC45^2 + 0.444529932876435*CC45 + 15.6692518940565)</f>
        <v/>
      </c>
      <c r="BU45" s="236" t="str">
        <f aca="false">IF(BR45=0,"", -0.0000000008152265738*BR45^6 + 0.00000022764320256987*BR45^5 - 0.0000248205675927705*BR45^4 + 0.00133186623684865*BR45^3 - 0.0368442570441677*BR45^2 + 0.580111565569094*BR45 + 14.0417598296107)</f>
        <v/>
      </c>
      <c r="BV45" s="236" t="str">
        <f aca="false">IF(BR45=0,"", -0.00000000004321395721*BR45^6 + 0.00000002531844275498*BR45^5 - 0.00000369428022780862*BR45^4 + 0.00020283665900125*BR45^3 - 0.00462426256803268*BR45^2 + 0.139572935065453*BR45 + 15.4475338156923)</f>
        <v/>
      </c>
      <c r="BW45" s="236" t="str">
        <f aca="false">IF(BR45=0,"",-0.00000000033126390082*BR45^6 + 0.00000010463660614506*BR45^5 - 0.0000129629592998707*BR45^4 + 0.000803946335250767*BR45^3 - 0.0270257140395994*BR45^2 + 0.562590210721552*BR45+ 12.1254107606419)</f>
        <v/>
      </c>
      <c r="BX45" s="236" t="str">
        <f aca="false">IF(BR45=0,"",-0.00000000002593504955*BR45^6 + 0.00000002430495156704*BR45^5 - 0.00000386103271086364*BR45^4 + 0.000214416118986322*BR45^3 - 0.0047271462612021*BR45^2 + 0.156696175741135*BR45 + 15.4598891949502)</f>
        <v/>
      </c>
      <c r="BY45" s="234" t="str">
        <f aca="false">IF(BR45=0,"",$BS$2)</f>
        <v/>
      </c>
      <c r="BZ45" s="234" t="str">
        <f aca="false">IF(BR45=0,"",$BS$3)</f>
        <v/>
      </c>
      <c r="CA45" s="234" t="str">
        <f aca="false">IF(BR45=0,"",$BS$4)</f>
        <v/>
      </c>
      <c r="CB45" s="235" t="str">
        <f aca="false">IF(BR45=0,"",IF(AND(BO45&gt;=0,BO45&lt;4),0.75,IF(AND(BO45&gt;=4,BO45&lt;6),0.85,IF(AND(BO45&gt;=6,BO45&lt;=10),0.95,1))))</f>
        <v/>
      </c>
      <c r="CC45" s="234" t="str">
        <f aca="false">IF(BR45=0,"",BR45*BY45*BZ45*CA45*CB45/60)</f>
        <v/>
      </c>
      <c r="CD45" s="238" t="str">
        <f aca="false">IF(BR45=0,"",IF($S$12="NO","NO",IF($AD$12&lt;=BO45,"SI","NO")))</f>
        <v/>
      </c>
      <c r="CE45" s="235" t="n">
        <f aca="false">IF(BR45=0,0,AB45)</f>
        <v>0</v>
      </c>
      <c r="CF45" s="235" t="n">
        <f aca="false">IF(CE45&gt;0,BO45,0)</f>
        <v>0</v>
      </c>
      <c r="CG45" s="239" t="n">
        <f aca="false">IF(CF45=0,CF45+CG44,CF45)</f>
        <v>0</v>
      </c>
      <c r="CH45" s="239" t="n">
        <f aca="false">IF(CG45=CG44,CH44,ABS(CG45-CG44))</f>
        <v>0</v>
      </c>
      <c r="CI45" s="239" t="n">
        <f aca="false">+CE45*CH45</f>
        <v>0</v>
      </c>
      <c r="CJ45" s="239" t="n">
        <f aca="false">IF(CI45=0,CI45+CJ44,CI45)</f>
        <v>0</v>
      </c>
      <c r="CK45" s="239" t="n">
        <f aca="false">IF(CJ45=CJ44,CK44,ABS(CJ45+CK44))</f>
        <v>0</v>
      </c>
      <c r="CL45" s="241" t="n">
        <f aca="false">IF(CE45=0,0,CK45)</f>
        <v>0</v>
      </c>
      <c r="CM45" s="239" t="n">
        <f aca="false">IF(CE45=0,0,CH45*9.81)</f>
        <v>0</v>
      </c>
      <c r="CN45" s="239" t="n">
        <f aca="false">IF(CM45=0,CM45+CN44,CM45)</f>
        <v>0</v>
      </c>
      <c r="CO45" s="239" t="n">
        <f aca="false">IF(CN45=CN44,CO44,ABS(CN45+CO44))</f>
        <v>0</v>
      </c>
      <c r="CP45" s="241" t="n">
        <f aca="false">IF(CD45="NO",0,IF(CE45=0,0,CO45))</f>
        <v>0</v>
      </c>
      <c r="CQ45" s="244" t="str">
        <f aca="false">IF(BR45=0,"",CL45-CP45)</f>
        <v/>
      </c>
      <c r="CR45" s="244" t="str">
        <f aca="false">IF(BR45=0,"",CQ45/101.3)</f>
        <v/>
      </c>
      <c r="CS45" s="244" t="str">
        <f aca="false">IF(BR45=0,"",LOG(10/CR45))</f>
        <v/>
      </c>
      <c r="CT45" s="243" t="str">
        <f aca="false">IF(BR45=0,"",IF(SQRT(101.3/CQ45)&lt;=1.7,SQRT(101.3/CQ45),2.2/(1.2+(CQ45/101.3))))</f>
        <v/>
      </c>
      <c r="CU45" s="244" t="str">
        <f aca="false">IF(BR45=0,"",1.7/(0.7+CR45))</f>
        <v/>
      </c>
      <c r="CV45" s="244" t="str">
        <f aca="false">IF(BR45=0,"",IF(CR45&gt;=0.25,0.77*LOG(20/CR45),""))</f>
        <v/>
      </c>
      <c r="CW45" s="244" t="str">
        <f aca="false">IF(BR45=0,"",32.5/(10.2+20.3*CR45))</f>
        <v/>
      </c>
      <c r="CX45" s="244" t="str">
        <f aca="false">IF(BR45=0,"",1-1.25*LOG(CR45))</f>
        <v/>
      </c>
      <c r="CY45" s="244" t="str">
        <f aca="false">IF(BR45=0,"",IF(CR45&lt;1,1-1.41*LOG(CR45),1+0.92*LOG(CR45)))</f>
        <v/>
      </c>
      <c r="CZ45" s="244" t="str">
        <f aca="false">IF(BR45=0,"",2/(1+CR45))</f>
        <v/>
      </c>
      <c r="DA45" s="244" t="str">
        <f aca="false">IF(BR45=0,"",IF(CR45&lt;=0.75,4/(1+4*CR45),4/(3.25+CR45)))</f>
        <v/>
      </c>
      <c r="DB45" s="244" t="str">
        <f aca="false">IF(BR45=0,"",CT45)</f>
        <v/>
      </c>
      <c r="DC45" s="244" t="str">
        <f aca="false">IF(BR45=0,"",DB45*CC45)</f>
        <v/>
      </c>
      <c r="DD45" s="244"/>
      <c r="DE45" s="244" t="str">
        <f aca="false">IF(BR45=0,"",0.193*(CC45/(CQ45*0.001))^0.689)</f>
        <v/>
      </c>
      <c r="DF45" s="244" t="str">
        <f aca="false">IF(BR45=0,"",IF(AS45=$AX$4,(0.1348118*CC45 - 0.0383065)*98.0665,""))</f>
        <v/>
      </c>
      <c r="DG45" s="244" t="str">
        <f aca="false">IF(BR45=0,"",IF(AS45=$AX$4,DF45/2,""))</f>
        <v/>
      </c>
      <c r="DH45" s="244" t="str">
        <f aca="false">IF(BR45=0,"",IF(DC45&lt;=15,12*(DC45+6),40+12*(DC45-6)))</f>
        <v/>
      </c>
      <c r="DI45" s="244" t="str">
        <f aca="false">IF(BR45=0,"",IF(CD45="SI",5*(DC45+15),((3.3*(DC45+15))+(4*(DC45+12)))/2))</f>
        <v/>
      </c>
      <c r="DJ45" s="244" t="str">
        <f aca="false">IF(BR45=0,"",8*DC45)</f>
        <v/>
      </c>
      <c r="DK45" s="244" t="str">
        <f aca="false">IF(BR45=0,"",215+(10.6*DC45))</f>
        <v/>
      </c>
      <c r="DL45" s="244" t="str">
        <f aca="false">IF(BR45=0,"",10*(7.5+(0.5*DC45)))</f>
        <v/>
      </c>
      <c r="DM45" s="244" t="str">
        <f aca="false">IF(BR45=0,"",8*DC45)</f>
        <v/>
      </c>
      <c r="DN45" s="244" t="str">
        <f aca="false">IF(AW45=" "," ",IF(DC45=""," ",IF(DC45&lt;4,10*10.2,IF(DC45=4,12*10.2,IF(DC45&lt;10,17.5*10.5,IF(DC45=10,15*10.2,IF(DC45&lt;30,22.5*10.2,IF(DC45=30,35*10.2,IF(DC45&lt;50,40*10.2,IF(DC45=50,50*10.2,55*10.2))))))))))</f>
        <v> </v>
      </c>
      <c r="DO45" s="244" t="str">
        <f aca="false">IF(BR45=0,"",7*SQRT(DC45)*10.1972)</f>
        <v/>
      </c>
      <c r="DP45" s="244" t="str">
        <f aca="false">IF(BR45=0,"",IF(AS45=$AX$4,5*CC45,""))</f>
        <v/>
      </c>
      <c r="DQ45" s="244" t="str">
        <f aca="false">IF(AW45=" "," ",IF(DC45=""," ",IF(DC45&lt;2,4*10.2,IF(DC45=2,6*10.2,IF(DC45&lt;4,12*10.2,IF(DC45=4,20*10.2,IF(DC45&lt;8,30*10.2,IF(DC45=8,35*10.2,IF(DC45&lt;15,40*10.2,IF(DC45=15,42*10.2,IF(DC45&lt;30,45*10.2,IF(DC45=30,50*10.2,70*10.2))))))))))))</f>
        <v> </v>
      </c>
      <c r="DR45" s="244" t="str">
        <f aca="false">IF(BR45=0,"",IF(AS45=$AX$4,220*DP45*0.0101972,""))</f>
        <v/>
      </c>
      <c r="DS45" s="271" t="str">
        <f aca="false">IF(BR45=0,"",IF(AS45=$AX$7,(SUM(DH45:DO45)-MIN(DH45:DO45)-MAX(DH45:DO45))/6,(SUM(DO45:DR45)-MIN(DO45:DR45)-MAX(DO45:DR45))/2))</f>
        <v/>
      </c>
      <c r="DT45" s="244" t="str">
        <f aca="false">IF(AW45=" "," ",IF(DC45=""," ",IF(DC45&lt;4,0.2,IF(DC45=4,0.27,IF(DC45&lt;10,0.33,IF(DC45=10,0.35,IF(DC45&lt;30,0.36,IF(DC45=30,0.37,IF(DC45&lt;50,0.38,IF(DC45=50,0.4,0.45))))))))))</f>
        <v> </v>
      </c>
      <c r="DU45" s="272" t="str">
        <f aca="false">IF(AW45=" "," ",IF(CC45=""," ",IF(CC45&lt;2,0.2,IF(CC45=2,0.23,IF(CC45&lt;4,0.26,IF(CC45=4,0.29,IF(CC45&lt;8,0.32,IF(CC45=8,0.35,IF(CC45&lt;15,0.38,IF(CC45=15,0.41,IF(CC45&lt;30,0.44,IF(CC45=30,0.47,0.5))))))))))))</f>
        <v> </v>
      </c>
      <c r="DV45" s="244" t="str">
        <f aca="false">IF(BR45=0,"",IF(AS45=$AX$3,DT45,DU45))</f>
        <v/>
      </c>
      <c r="DW45" s="244" t="str">
        <f aca="false">IF(BR45=0,"",IF(DC45&gt;15,15+0.5*(DC45-15),DC45))</f>
        <v/>
      </c>
      <c r="DX45" s="244" t="str">
        <f aca="false">IF(BR45=0,"",IF($S$12="SI",IF(CD45="NO",IF($AD$12&gt;(BO45+1.5*$ED$15),1,0.5),0.5),1))</f>
        <v/>
      </c>
      <c r="DY45" s="244" t="str">
        <f aca="false">IF(BR45=0,"",IF($S$12="SI",IF(CD45="NO",IF($AD$12&gt;(BO45+1.5*$EE$15),1,0.5),0.5),1))</f>
        <v/>
      </c>
      <c r="DZ45" s="244" t="str">
        <f aca="false">IF(BR45=0,"",IF($S$12="SI",IF(CD45="NO",IF($AD$12&gt;(BO45+1.5*$EF$15),1,0.5),0.5),1))</f>
        <v/>
      </c>
      <c r="EA45" s="244" t="str">
        <f aca="false">IF(BR45=0,"",IF($S$12="SI",IF(CD45="NO",IF($AD$12&gt;(BO45+1.5*$ED$15),1,0.5),IF($AD$12=BO45,1,0.5)),1))</f>
        <v/>
      </c>
      <c r="EB45" s="244" t="str">
        <f aca="false">IF(BR45=0,"",IF($S$12="SI",IF(CD45="NO",IF($AD$12&gt;(BO45+1.5*$EE$15),1,0.5),IF($AD$12=BO45,1,0.5)),1))</f>
        <v/>
      </c>
      <c r="EC45" s="244" t="str">
        <f aca="false">IF(BR45=0,"",IF($S$12="SI",IF(CD45="NO",IF($AD$12&gt;(BO45+1.5*$EF$15),1,0.5),IF($AD$12=BO45,1,0.5)),1))</f>
        <v/>
      </c>
      <c r="ED45" s="244" t="str">
        <f aca="false">IF(BR45=0,"",(DW45*($ED$15/10)*(DX45+EA45*(BO45/$ED$15))*1)/3)</f>
        <v/>
      </c>
      <c r="EE45" s="244" t="str">
        <f aca="false">IF(BR45=0,"",(DW45*($EE$15/10)*(DY45+EB45*(BO45/$EE$15))*1)/3)</f>
        <v/>
      </c>
      <c r="EF45" s="244" t="str">
        <f aca="false">IF(BR45=0,"",(DW45*($EF$15/10)*(DZ45+EC45*(BO45/$EF$15))*1)/3)</f>
        <v/>
      </c>
      <c r="EG45" s="273" t="str">
        <f aca="false">IF(BR45=0,"",IF(CD45="SI",0.5,1))</f>
        <v/>
      </c>
      <c r="EH45" s="244" t="str">
        <f aca="false">IF(BR45=0,"",IF((1+0.33*(BO45/$ED$15))&lt;=1.33,(1+0.33*(BO45/$ED$15)),1.33))</f>
        <v/>
      </c>
      <c r="EI45" s="244" t="str">
        <f aca="false">IF(BR45=0,"",IF((1+0.33*(BO45/$EE$15))&lt;=1.33,(1+0.33*(BO45/$EE$15)),1.33))</f>
        <v/>
      </c>
      <c r="EJ45" s="244" t="str">
        <f aca="false">IF(BR45=0,"",IF((1+0.33*(BO45/$EF$15))&lt;=1.33,(1+0.33*(BO45/$EF$15)),1.33))</f>
        <v/>
      </c>
      <c r="EK45" s="244" t="str">
        <f aca="false">IF(BR45=0,"",IF($ED$15&lt;=1.2,((20*DC45*EG45*EH45)/3)*0.010197,((12.5*DC45*((($ED$15+0.3)^2)/$ED$15)*EG45*EH45)/3)*0.010197))</f>
        <v/>
      </c>
      <c r="EL45" s="244" t="str">
        <f aca="false">IF(BR45=0,"",IF($EE$15&lt;=1.2,((20*DC45*EG45*EI45)/3)*0.010197,((12.5*DC45*((($EE$15+0.3)^2)/$EE$15)*EG45*EI45)/3)*0.010197))</f>
        <v/>
      </c>
      <c r="EM45" s="244" t="str">
        <f aca="false">IF(BR45=0,"",IF($EF$15&lt;=1.2,((20*DC45*EG45*EJ45)/3)*0.010197,((12.5*DC45*((($EF$15+0.3)^2)/$EF$15)*EG45*EJ45)/3)*0.010197))</f>
        <v/>
      </c>
      <c r="EN45" s="248" t="str">
        <f aca="false">IF(BR45=0,"",SQRT(12*CC45)+25)</f>
        <v/>
      </c>
      <c r="EO45" s="248" t="str">
        <f aca="false">IF(BR45=0,"",28.5+0.25*CC45)</f>
        <v/>
      </c>
      <c r="EP45" s="248" t="str">
        <f aca="false">IF(BR45=0,"",SQRT(20*CC45)+15)</f>
        <v/>
      </c>
      <c r="EQ45" s="248" t="str">
        <f aca="false">IF(BR45=0,"",23.7+0.57*CC45-0.0006*CC45*CC45)</f>
        <v/>
      </c>
      <c r="ER45" s="248" t="str">
        <f aca="false">IF(BR45=0,"",15+SQRT(12.5*DC45))</f>
        <v/>
      </c>
      <c r="ES45" s="248" t="str">
        <f aca="false">IF(BR45=0,"",3.5*SQRT(CC45)+20)</f>
        <v/>
      </c>
      <c r="ET45" s="248" t="str">
        <f aca="false">IF(BR45=0,"",27.1+0.3*DC45-0.00054*DC45*DC45)</f>
        <v/>
      </c>
      <c r="EU45" s="248" t="str">
        <f aca="false">IF(BR45=0,"",SQRT(20*CC45)+20)</f>
        <v/>
      </c>
      <c r="EV45" s="248" t="str">
        <f aca="false">IF(BR45=0,"",12.79+SQRT(25.86*CC45))</f>
        <v/>
      </c>
      <c r="EW45" s="248" t="str">
        <f aca="false">IF(BR45=0,"",DEGREES(_xlfn.ACOT((CC45/(12.2+20.3*CR45))^0.34)))</f>
        <v/>
      </c>
      <c r="EX45" s="248" t="str">
        <f aca="false">IF(BR45=0,"",24+(5.77*LN(0.17*DC45)))</f>
        <v/>
      </c>
      <c r="EY45" s="248" t="str">
        <f aca="false">IF(BR45=0,"",(SUM(EN45:EX45)-MIN(EN45:EX45)-MAX(EN45:EX45))/9)</f>
        <v/>
      </c>
      <c r="EZ45" s="248" t="str">
        <f aca="false">IF(BR45=0,"", -0.0000000034*CC45^6 + 0.0000008305*CC45^5 - 0.0000741842*CC45^4 + 0.0030204278*CC45^3 - 0.0541594733*CC45^2 + 0.8083147848*CC45 - 0.6182191243)</f>
        <v/>
      </c>
      <c r="FA45" s="249" t="str">
        <f aca="false">IF(BR45=0,"",(0.134811827956989*CC45 - 0.0383064516129019)/2)</f>
        <v/>
      </c>
      <c r="FB45" s="249" t="str">
        <f aca="false">IF(BR45=0,"",CC45*0.065)</f>
        <v/>
      </c>
      <c r="FC45" s="249" t="str">
        <f aca="false">IF(BR45=0,"",(CC45*0.12*0.48)*SQRT((1+SIN(EZ45*((2*PI())/360))/(1-SIN(EZ45*((2*PI())/360))))))</f>
        <v/>
      </c>
      <c r="FD45" s="249" t="str">
        <f aca="false">IF(BR45=0,"",(CC45/8)/2)</f>
        <v/>
      </c>
      <c r="FE45" s="249" t="str">
        <f aca="false">IF(BR45=0,"",(SUM(FA45:FD45)-MIN(FA45:FD45)-MAX(FA45:FD45))/2)</f>
        <v/>
      </c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</row>
    <row r="46" customFormat="false" ht="9.75" hidden="false" customHeight="true" outlineLevel="0" collapsed="false">
      <c r="A46" s="197" t="n">
        <f aca="false">ROUND(A45+0.1,1)</f>
        <v>2.9</v>
      </c>
      <c r="B46" s="250"/>
      <c r="C46" s="251"/>
      <c r="D46" s="251"/>
      <c r="E46" s="199"/>
      <c r="F46" s="200"/>
      <c r="G46" s="254"/>
      <c r="H46" s="284"/>
      <c r="I46" s="285"/>
      <c r="J46" s="257"/>
      <c r="K46" s="258"/>
      <c r="L46" s="259"/>
      <c r="M46" s="276"/>
      <c r="N46" s="277"/>
      <c r="O46" s="277"/>
      <c r="P46" s="277"/>
      <c r="Q46" s="293"/>
      <c r="R46" s="294"/>
      <c r="S46" s="294"/>
      <c r="T46" s="295"/>
      <c r="U46" s="295"/>
      <c r="V46" s="296"/>
      <c r="W46" s="296"/>
      <c r="X46" s="296"/>
      <c r="Y46" s="296"/>
      <c r="Z46" s="296"/>
      <c r="AA46" s="296"/>
      <c r="AB46" s="297"/>
      <c r="AC46" s="298"/>
      <c r="AD46" s="299"/>
      <c r="AE46" s="298"/>
      <c r="AF46" s="300"/>
      <c r="AG46" s="267"/>
      <c r="AH46" s="267"/>
      <c r="AI46" s="241"/>
      <c r="AJ46" s="241"/>
      <c r="AK46" s="266"/>
      <c r="AL46" s="266"/>
      <c r="AM46" s="268"/>
      <c r="AN46" s="250"/>
      <c r="AO46" s="251"/>
      <c r="AP46" s="251"/>
      <c r="AQ46" s="199"/>
      <c r="AR46" s="200"/>
      <c r="AS46" s="269" t="s">
        <v>13</v>
      </c>
      <c r="AT46" s="221"/>
      <c r="AU46" s="269"/>
      <c r="AV46" s="269"/>
      <c r="AW46" s="270" t="n">
        <f aca="false">+K46+L46</f>
        <v>0</v>
      </c>
      <c r="AX46" s="270" t="str">
        <f aca="false">IF(AS46="&gt;50","CONSISTENCIA",IF(AS46="&lt;50","COMPACIDAD"," "))</f>
        <v>COMPACIDAD</v>
      </c>
      <c r="AY46" s="225" t="str">
        <f aca="false">IF(AS46="&gt;50",AZ46,IF(AS46="&lt;50",BA46," "))</f>
        <v> </v>
      </c>
      <c r="AZ46" s="224" t="str">
        <f aca="false">IF(AW46=" "," ",IF(CC46=""," ",IF(CC46&lt;2,"MUY BLANDA",IF(CC46=2,"MUY BLANDA A BLANDA",IF(CC46&lt;4,"BLANDA",IF(CC46=4,"BLANDA A MEDIA",IF(CC46&lt;8,"MEDIA",IF(CC46=8,"MEDIA A FIRME",IF(CC46&lt;15,"FIRME",IF(CC46=15,"FIRME A MUY FIRME",IF(CC46&lt;30,"MUY FIRME",IF(CC46=30,"MUY FIRME A DURA","DURA"))))))))))))</f>
        <v> </v>
      </c>
      <c r="BA46" s="225" t="str">
        <f aca="false">IF(AW46=" "," ",IF(DC46=""," ",IF(DC46&lt;4,"MUY SUELTA",IF(DC46=4,"MUY SUELTA A SUELTA",IF(DC46&lt;10,"SUELTA",IF(DC46=10,"SUELTA A MEDIA",IF(DC46&lt;30,"MEDIA",IF(DC46=30,"MEDIA A DENSO",IF(DC46&lt;50,"DENSO",IF(DC46=50,"DENSO MUY DENSO","MUY DENSO"))))))))))</f>
        <v> </v>
      </c>
      <c r="BB46" s="290" t="str">
        <f aca="false">IF(BR47=0,"",CQ47*0.0101972)</f>
        <v/>
      </c>
      <c r="BC46" s="227" t="n">
        <f aca="false">+BC45+0.1</f>
        <v>2.9</v>
      </c>
      <c r="BD46" s="227" t="str">
        <f aca="false">IF(BC46&lt;=$AN$10,BC46,"")</f>
        <v/>
      </c>
      <c r="BE46" s="228" t="n">
        <f aca="false">ISNUMBER(BD46)</f>
        <v>0</v>
      </c>
      <c r="BF46" s="229" t="str">
        <f aca="false">MID(M46,1,1)</f>
        <v/>
      </c>
      <c r="BG46" s="230" t="str">
        <f aca="false">IF(BF46="S","",IF(BF46="G","",MID(M46,2,1)))</f>
        <v/>
      </c>
      <c r="BH46" s="231" t="str">
        <f aca="false">CONCATENATE(BF46,BG46)</f>
        <v/>
      </c>
      <c r="BI46" s="6" t="str">
        <f aca="false">IF(BE46=FALSE(),"",IF(BH46="",BI45,BH46))</f>
        <v/>
      </c>
      <c r="BJ46" s="74" t="str">
        <f aca="false">IF(OR(BI46="S",BI46="G"),BI46,"X")</f>
        <v>X</v>
      </c>
      <c r="BK46" s="74" t="s">
        <v>206</v>
      </c>
      <c r="BL46" s="301" t="e">
        <f aca="false">INDEX(sim_0,MATCH($BJ$46,granular,0))</f>
        <v>#NAME?</v>
      </c>
      <c r="BM46" s="301"/>
      <c r="BN46" s="6"/>
      <c r="BO46" s="191" t="n">
        <f aca="false">BO45+0.1</f>
        <v>2.9</v>
      </c>
      <c r="BP46" s="233" t="e">
        <f aca="false">IF(AW46=0,NA(),IF(AS46=$AX$3,ROUND(DC46,0),NA()))</f>
        <v>#N/A</v>
      </c>
      <c r="BQ46" s="31" t="e">
        <f aca="false">IF(AW46=0,NA(),IF(AS46=$AX$4,ROUND(CC46,0),NA()))</f>
        <v>#N/A</v>
      </c>
      <c r="BR46" s="234" t="n">
        <f aca="false">+AW46</f>
        <v>0</v>
      </c>
      <c r="BS46" s="235" t="str">
        <f aca="false">IF(BR46=0,"", -0.00000000016128755327*CC46^6 + 0.00000006709386362421*CC46^5 - 0.0000106217678052217*CC46^4 + 0.00081068114193385*CC46^3 - 0.0314027378159951*CC46^2 + 0.649796593937842*CC46 + 13.7888866455022)</f>
        <v/>
      </c>
      <c r="BT46" s="235" t="str">
        <f aca="false">IF(BR46=0,"",-0.00000000014625939695*CC46^6 + 0.00000004971732060241*CC46^5 - 0.000006683744342031*CC46^4 + 0.0004563177378098*CC46^3 - 0.0171727530635803*CC46^2 + 0.444529932876435*CC46 + 15.6692518940565)</f>
        <v/>
      </c>
      <c r="BU46" s="236" t="str">
        <f aca="false">IF(BR46=0,"", -0.0000000008152265738*BR46^6 + 0.00000022764320256987*BR46^5 - 0.0000248205675927705*BR46^4 + 0.00133186623684865*BR46^3 - 0.0368442570441677*BR46^2 + 0.580111565569094*BR46 + 14.0417598296107)</f>
        <v/>
      </c>
      <c r="BV46" s="236" t="str">
        <f aca="false">IF(BR46=0,"", -0.00000000004321395721*BR46^6 + 0.00000002531844275498*BR46^5 - 0.00000369428022780862*BR46^4 + 0.00020283665900125*BR46^3 - 0.00462426256803268*BR46^2 + 0.139572935065453*BR46 + 15.4475338156923)</f>
        <v/>
      </c>
      <c r="BW46" s="236" t="str">
        <f aca="false">IF(BR46=0,"",-0.00000000033126390082*BR46^6 + 0.00000010463660614506*BR46^5 - 0.0000129629592998707*BR46^4 + 0.000803946335250767*BR46^3 - 0.0270257140395994*BR46^2 + 0.562590210721552*BR46+ 12.1254107606419)</f>
        <v/>
      </c>
      <c r="BX46" s="236" t="str">
        <f aca="false">IF(BR46=0,"",-0.00000000002593504955*BR46^6 + 0.00000002430495156704*BR46^5 - 0.00000386103271086364*BR46^4 + 0.000214416118986322*BR46^3 - 0.0047271462612021*BR46^2 + 0.156696175741135*BR46 + 15.4598891949502)</f>
        <v/>
      </c>
      <c r="BY46" s="234" t="str">
        <f aca="false">IF(BR46=0,"",$BS$2)</f>
        <v/>
      </c>
      <c r="BZ46" s="234" t="str">
        <f aca="false">IF(BR46=0,"",$BS$3)</f>
        <v/>
      </c>
      <c r="CA46" s="234" t="str">
        <f aca="false">IF(BR46=0,"",$BS$4)</f>
        <v/>
      </c>
      <c r="CB46" s="235" t="str">
        <f aca="false">IF(BR46=0,"",IF(AND(BO46&gt;=0,BO46&lt;4),0.75,IF(AND(BO46&gt;=4,BO46&lt;6),0.85,IF(AND(BO46&gt;=6,BO46&lt;=10),0.95,1))))</f>
        <v/>
      </c>
      <c r="CC46" s="234" t="str">
        <f aca="false">IF(BR46=0,"",BR46*BY46*BZ46*CA46*CB46/60)</f>
        <v/>
      </c>
      <c r="CD46" s="238" t="str">
        <f aca="false">IF(BR46=0,"",IF($S$12="NO","NO",IF($AD$12&lt;=BO46,"SI","NO")))</f>
        <v/>
      </c>
      <c r="CE46" s="235" t="n">
        <f aca="false">IF(BR46=0,0,AB46)</f>
        <v>0</v>
      </c>
      <c r="CF46" s="235" t="n">
        <f aca="false">IF(CE46&gt;0,BO46,0)</f>
        <v>0</v>
      </c>
      <c r="CG46" s="239" t="n">
        <f aca="false">IF(CF46=0,CF46+CG45,CF46)</f>
        <v>0</v>
      </c>
      <c r="CH46" s="239" t="n">
        <f aca="false">IF(CG46=CG45,CH45,ABS(CG46-CG45))</f>
        <v>0</v>
      </c>
      <c r="CI46" s="239" t="n">
        <f aca="false">+CE46*CH46</f>
        <v>0</v>
      </c>
      <c r="CJ46" s="239" t="n">
        <f aca="false">IF(CI46=0,CI46+CJ45,CI46)</f>
        <v>0</v>
      </c>
      <c r="CK46" s="239" t="n">
        <f aca="false">IF(CJ46=CJ45,CK45,ABS(CJ46+CK45))</f>
        <v>0</v>
      </c>
      <c r="CL46" s="241" t="n">
        <f aca="false">IF(CE46=0,0,CK46)</f>
        <v>0</v>
      </c>
      <c r="CM46" s="239" t="n">
        <f aca="false">IF(CE46=0,0,CH46*9.81)</f>
        <v>0</v>
      </c>
      <c r="CN46" s="239" t="n">
        <f aca="false">IF(CM46=0,CM46+CN45,CM46)</f>
        <v>0</v>
      </c>
      <c r="CO46" s="239" t="n">
        <f aca="false">IF(CN46=CN45,CO45,ABS(CN46+CO45))</f>
        <v>0</v>
      </c>
      <c r="CP46" s="241" t="n">
        <f aca="false">IF(CD46="NO",0,IF(CE46=0,0,CO46))</f>
        <v>0</v>
      </c>
      <c r="CQ46" s="244" t="str">
        <f aca="false">IF(BR46=0,"",CL46-CP46)</f>
        <v/>
      </c>
      <c r="CR46" s="244" t="str">
        <f aca="false">IF(BR46=0,"",CQ46/101.3)</f>
        <v/>
      </c>
      <c r="CS46" s="244" t="str">
        <f aca="false">IF(BR46=0,"",LOG(10/CR46))</f>
        <v/>
      </c>
      <c r="CT46" s="243" t="str">
        <f aca="false">IF(BR46=0,"",IF(SQRT(101.3/CQ46)&lt;=1.7,SQRT(101.3/CQ46),2.2/(1.2+(CQ46/101.3))))</f>
        <v/>
      </c>
      <c r="CU46" s="244" t="str">
        <f aca="false">IF(BR46=0,"",1.7/(0.7+CR46))</f>
        <v/>
      </c>
      <c r="CV46" s="244" t="str">
        <f aca="false">IF(BR46=0,"",IF(CR46&gt;=0.25,0.77*LOG(20/CR46),""))</f>
        <v/>
      </c>
      <c r="CW46" s="244" t="str">
        <f aca="false">IF(BR46=0,"",32.5/(10.2+20.3*CR46))</f>
        <v/>
      </c>
      <c r="CX46" s="244" t="str">
        <f aca="false">IF(BR46=0,"",1-1.25*LOG(CR46))</f>
        <v/>
      </c>
      <c r="CY46" s="244" t="str">
        <f aca="false">IF(BR46=0,"",IF(CR46&lt;1,1-1.41*LOG(CR46),1+0.92*LOG(CR46)))</f>
        <v/>
      </c>
      <c r="CZ46" s="244" t="str">
        <f aca="false">IF(BR46=0,"",2/(1+CR46))</f>
        <v/>
      </c>
      <c r="DA46" s="244" t="str">
        <f aca="false">IF(BR46=0,"",IF(CR46&lt;=0.75,4/(1+4*CR46),4/(3.25+CR46)))</f>
        <v/>
      </c>
      <c r="DB46" s="244" t="str">
        <f aca="false">IF(BR46=0,"",CT46)</f>
        <v/>
      </c>
      <c r="DC46" s="244" t="str">
        <f aca="false">IF(BR46=0,"",DB46*CC46)</f>
        <v/>
      </c>
      <c r="DD46" s="244"/>
      <c r="DE46" s="244" t="str">
        <f aca="false">IF(BR46=0,"",0.193*(CC46/(CQ46*0.001))^0.689)</f>
        <v/>
      </c>
      <c r="DF46" s="244" t="str">
        <f aca="false">IF(BR46=0,"",IF(AS46=$AX$4,(0.1348118*CC46 - 0.0383065)*98.0665,""))</f>
        <v/>
      </c>
      <c r="DG46" s="244" t="str">
        <f aca="false">IF(BR46=0,"",IF(AS46=$AX$4,DF46/2,""))</f>
        <v/>
      </c>
      <c r="DH46" s="244" t="str">
        <f aca="false">IF(BR46=0,"",IF(DC46&lt;=15,12*(DC46+6),40+12*(DC46-6)))</f>
        <v/>
      </c>
      <c r="DI46" s="244" t="str">
        <f aca="false">IF(BR46=0,"",IF(CD46="SI",5*(DC46+15),((3.3*(DC46+15))+(4*(DC46+12)))/2))</f>
        <v/>
      </c>
      <c r="DJ46" s="244" t="str">
        <f aca="false">IF(BR46=0,"",8*DC46)</f>
        <v/>
      </c>
      <c r="DK46" s="244" t="str">
        <f aca="false">IF(BR46=0,"",215+(10.6*DC46))</f>
        <v/>
      </c>
      <c r="DL46" s="244" t="str">
        <f aca="false">IF(BR46=0,"",10*(7.5+(0.5*DC46)))</f>
        <v/>
      </c>
      <c r="DM46" s="244" t="str">
        <f aca="false">IF(BR46=0,"",8*DC46)</f>
        <v/>
      </c>
      <c r="DN46" s="244" t="str">
        <f aca="false">IF(AW46=" "," ",IF(DC46=""," ",IF(DC46&lt;4,10*10.2,IF(DC46=4,12*10.2,IF(DC46&lt;10,17.5*10.5,IF(DC46=10,15*10.2,IF(DC46&lt;30,22.5*10.2,IF(DC46=30,35*10.2,IF(DC46&lt;50,40*10.2,IF(DC46=50,50*10.2,55*10.2))))))))))</f>
        <v> </v>
      </c>
      <c r="DO46" s="244" t="str">
        <f aca="false">IF(BR46=0,"",7*SQRT(DC46)*10.1972)</f>
        <v/>
      </c>
      <c r="DP46" s="244" t="str">
        <f aca="false">IF(BR46=0,"",IF(AS46=$AX$4,5*CC46,""))</f>
        <v/>
      </c>
      <c r="DQ46" s="244" t="str">
        <f aca="false">IF(AW46=" "," ",IF(DC46=""," ",IF(DC46&lt;2,4*10.2,IF(DC46=2,6*10.2,IF(DC46&lt;4,12*10.2,IF(DC46=4,20*10.2,IF(DC46&lt;8,30*10.2,IF(DC46=8,35*10.2,IF(DC46&lt;15,40*10.2,IF(DC46=15,42*10.2,IF(DC46&lt;30,45*10.2,IF(DC46=30,50*10.2,70*10.2))))))))))))</f>
        <v> </v>
      </c>
      <c r="DR46" s="244" t="str">
        <f aca="false">IF(BR46=0,"",IF(AS46=$AX$4,220*DP46*0.0101972,""))</f>
        <v/>
      </c>
      <c r="DS46" s="271" t="str">
        <f aca="false">IF(BR46=0,"",IF(AS46=$AX$7,(SUM(DH46:DO46)-MIN(DH46:DO46)-MAX(DH46:DO46))/6,(SUM(DO46:DR46)-MIN(DO46:DR46)-MAX(DO46:DR46))/2))</f>
        <v/>
      </c>
      <c r="DT46" s="244" t="str">
        <f aca="false">IF(AW46=" "," ",IF(DC46=""," ",IF(DC46&lt;4,0.2,IF(DC46=4,0.27,IF(DC46&lt;10,0.33,IF(DC46=10,0.35,IF(DC46&lt;30,0.36,IF(DC46=30,0.37,IF(DC46&lt;50,0.38,IF(DC46=50,0.4,0.45))))))))))</f>
        <v> </v>
      </c>
      <c r="DU46" s="272" t="str">
        <f aca="false">IF(AW46=" "," ",IF(CC46=""," ",IF(CC46&lt;2,0.2,IF(CC46=2,0.23,IF(CC46&lt;4,0.26,IF(CC46=4,0.29,IF(CC46&lt;8,0.32,IF(CC46=8,0.35,IF(CC46&lt;15,0.38,IF(CC46=15,0.41,IF(CC46&lt;30,0.44,IF(CC46=30,0.47,0.5))))))))))))</f>
        <v> </v>
      </c>
      <c r="DV46" s="244" t="str">
        <f aca="false">IF(BR46=0,"",IF(AS46=$AX$3,DT46,DU46))</f>
        <v/>
      </c>
      <c r="DW46" s="244" t="str">
        <f aca="false">IF(BR46=0,"",IF(DC46&gt;15,15+0.5*(DC46-15),DC46))</f>
        <v/>
      </c>
      <c r="DX46" s="244" t="str">
        <f aca="false">IF(BR46=0,"",IF($S$12="SI",IF(CD46="NO",IF($AD$12&gt;(BO46+1.5*$ED$15),1,0.5),0.5),1))</f>
        <v/>
      </c>
      <c r="DY46" s="244" t="str">
        <f aca="false">IF(BR46=0,"",IF($S$12="SI",IF(CD46="NO",IF($AD$12&gt;(BO46+1.5*$EE$15),1,0.5),0.5),1))</f>
        <v/>
      </c>
      <c r="DZ46" s="244" t="str">
        <f aca="false">IF(BR46=0,"",IF($S$12="SI",IF(CD46="NO",IF($AD$12&gt;(BO46+1.5*$EF$15),1,0.5),0.5),1))</f>
        <v/>
      </c>
      <c r="EA46" s="244" t="str">
        <f aca="false">IF(BR46=0,"",IF($S$12="SI",IF(CD46="NO",IF($AD$12&gt;(BO46+1.5*$ED$15),1,0.5),IF($AD$12=BO46,1,0.5)),1))</f>
        <v/>
      </c>
      <c r="EB46" s="244" t="str">
        <f aca="false">IF(BR46=0,"",IF($S$12="SI",IF(CD46="NO",IF($AD$12&gt;(BO46+1.5*$EE$15),1,0.5),IF($AD$12=BO46,1,0.5)),1))</f>
        <v/>
      </c>
      <c r="EC46" s="244" t="str">
        <f aca="false">IF(BR46=0,"",IF($S$12="SI",IF(CD46="NO",IF($AD$12&gt;(BO46+1.5*$EF$15),1,0.5),IF($AD$12=BO46,1,0.5)),1))</f>
        <v/>
      </c>
      <c r="ED46" s="244" t="str">
        <f aca="false">IF(BR46=0,"",(DW46*($ED$15/10)*(DX46+EA46*(BO46/$ED$15))*1)/3)</f>
        <v/>
      </c>
      <c r="EE46" s="244" t="str">
        <f aca="false">IF(BR46=0,"",(DW46*($EE$15/10)*(DY46+EB46*(BO46/$EE$15))*1)/3)</f>
        <v/>
      </c>
      <c r="EF46" s="244" t="str">
        <f aca="false">IF(BR46=0,"",(DW46*($EF$15/10)*(DZ46+EC46*(BO46/$EF$15))*1)/3)</f>
        <v/>
      </c>
      <c r="EG46" s="273" t="str">
        <f aca="false">IF(BR46=0,"",IF(CD46="SI",0.5,1))</f>
        <v/>
      </c>
      <c r="EH46" s="244" t="str">
        <f aca="false">IF(BR46=0,"",IF((1+0.33*(BO46/$ED$15))&lt;=1.33,(1+0.33*(BO46/$ED$15)),1.33))</f>
        <v/>
      </c>
      <c r="EI46" s="244" t="str">
        <f aca="false">IF(BR46=0,"",IF((1+0.33*(BO46/$EE$15))&lt;=1.33,(1+0.33*(BO46/$EE$15)),1.33))</f>
        <v/>
      </c>
      <c r="EJ46" s="244" t="str">
        <f aca="false">IF(BR46=0,"",IF((1+0.33*(BO46/$EF$15))&lt;=1.33,(1+0.33*(BO46/$EF$15)),1.33))</f>
        <v/>
      </c>
      <c r="EK46" s="244" t="str">
        <f aca="false">IF(BR46=0,"",IF($ED$15&lt;=1.2,((20*DC46*EG46*EH46)/3)*0.010197,((12.5*DC46*((($ED$15+0.3)^2)/$ED$15)*EG46*EH46)/3)*0.010197))</f>
        <v/>
      </c>
      <c r="EL46" s="244" t="str">
        <f aca="false">IF(BR46=0,"",IF($EE$15&lt;=1.2,((20*DC46*EG46*EI46)/3)*0.010197,((12.5*DC46*((($EE$15+0.3)^2)/$EE$15)*EG46*EI46)/3)*0.010197))</f>
        <v/>
      </c>
      <c r="EM46" s="244" t="str">
        <f aca="false">IF(BR46=0,"",IF($EF$15&lt;=1.2,((20*DC46*EG46*EJ46)/3)*0.010197,((12.5*DC46*((($EF$15+0.3)^2)/$EF$15)*EG46*EJ46)/3)*0.010197))</f>
        <v/>
      </c>
      <c r="EN46" s="248" t="str">
        <f aca="false">IF(BR46=0,"",SQRT(12*CC46)+25)</f>
        <v/>
      </c>
      <c r="EO46" s="248" t="str">
        <f aca="false">IF(BR46=0,"",28.5+0.25*CC46)</f>
        <v/>
      </c>
      <c r="EP46" s="248" t="str">
        <f aca="false">IF(BR46=0,"",SQRT(20*CC46)+15)</f>
        <v/>
      </c>
      <c r="EQ46" s="248" t="str">
        <f aca="false">IF(BR46=0,"",23.7+0.57*CC46-0.0006*CC46*CC46)</f>
        <v/>
      </c>
      <c r="ER46" s="248" t="str">
        <f aca="false">IF(BR46=0,"",15+SQRT(12.5*DC46))</f>
        <v/>
      </c>
      <c r="ES46" s="248" t="str">
        <f aca="false">IF(BR46=0,"",3.5*SQRT(CC46)+20)</f>
        <v/>
      </c>
      <c r="ET46" s="248" t="str">
        <f aca="false">IF(BR46=0,"",27.1+0.3*DC46-0.00054*DC46*DC46)</f>
        <v/>
      </c>
      <c r="EU46" s="248" t="str">
        <f aca="false">IF(BR46=0,"",SQRT(20*CC46)+20)</f>
        <v/>
      </c>
      <c r="EV46" s="248" t="str">
        <f aca="false">IF(BR46=0,"",12.79+SQRT(25.86*CC46))</f>
        <v/>
      </c>
      <c r="EW46" s="248" t="str">
        <f aca="false">IF(BR46=0,"",DEGREES(_xlfn.ACOT((CC46/(12.2+20.3*CR46))^0.34)))</f>
        <v/>
      </c>
      <c r="EX46" s="248" t="str">
        <f aca="false">IF(BR46=0,"",24+(5.77*LN(0.17*DC46)))</f>
        <v/>
      </c>
      <c r="EY46" s="248" t="str">
        <f aca="false">IF(BR46=0,"",(SUM(EN46:EX46)-MIN(EN46:EX46)-MAX(EN46:EX46))/9)</f>
        <v/>
      </c>
      <c r="EZ46" s="248" t="str">
        <f aca="false">IF(BR46=0,"", -0.0000000034*CC46^6 + 0.0000008305*CC46^5 - 0.0000741842*CC46^4 + 0.0030204278*CC46^3 - 0.0541594733*CC46^2 + 0.8083147848*CC46 - 0.6182191243)</f>
        <v/>
      </c>
      <c r="FA46" s="249" t="str">
        <f aca="false">IF(BR46=0,"",(0.134811827956989*CC46 - 0.0383064516129019)/2)</f>
        <v/>
      </c>
      <c r="FB46" s="249" t="str">
        <f aca="false">IF(BR46=0,"",CC46*0.065)</f>
        <v/>
      </c>
      <c r="FC46" s="249" t="str">
        <f aca="false">IF(BR46=0,"",(CC46*0.12*0.48)*SQRT((1+SIN(EZ46*((2*PI())/360))/(1-SIN(EZ46*((2*PI())/360))))))</f>
        <v/>
      </c>
      <c r="FD46" s="249" t="str">
        <f aca="false">IF(BR46=0,"",(CC46/8)/2)</f>
        <v/>
      </c>
      <c r="FE46" s="249" t="str">
        <f aca="false">IF(BR46=0,"",(SUM(FA46:FD46)-MIN(FA46:FD46)-MAX(FA46:FD46))/2)</f>
        <v/>
      </c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</row>
    <row r="47" customFormat="false" ht="9.75" hidden="false" customHeight="true" outlineLevel="0" collapsed="false">
      <c r="A47" s="197" t="n">
        <f aca="false">ROUND(A46+0.1,1)</f>
        <v>3</v>
      </c>
      <c r="B47" s="281" t="n">
        <f aca="false">+A47</f>
        <v>3</v>
      </c>
      <c r="C47" s="172"/>
      <c r="D47" s="282"/>
      <c r="E47" s="252"/>
      <c r="F47" s="253"/>
      <c r="G47" s="254"/>
      <c r="H47" s="284"/>
      <c r="I47" s="285"/>
      <c r="J47" s="257"/>
      <c r="K47" s="258"/>
      <c r="L47" s="259"/>
      <c r="M47" s="276"/>
      <c r="N47" s="277"/>
      <c r="O47" s="277"/>
      <c r="P47" s="277"/>
      <c r="Q47" s="293"/>
      <c r="R47" s="294"/>
      <c r="S47" s="294"/>
      <c r="T47" s="295"/>
      <c r="U47" s="295"/>
      <c r="V47" s="296"/>
      <c r="W47" s="296"/>
      <c r="X47" s="296"/>
      <c r="Y47" s="296"/>
      <c r="Z47" s="296"/>
      <c r="AA47" s="296"/>
      <c r="AB47" s="297"/>
      <c r="AC47" s="298"/>
      <c r="AD47" s="299"/>
      <c r="AE47" s="298"/>
      <c r="AF47" s="300"/>
      <c r="AG47" s="267"/>
      <c r="AH47" s="267"/>
      <c r="AI47" s="241"/>
      <c r="AJ47" s="241"/>
      <c r="AK47" s="266"/>
      <c r="AL47" s="266"/>
      <c r="AM47" s="268"/>
      <c r="AN47" s="281" t="n">
        <f aca="false">+AN45+0.2</f>
        <v>3</v>
      </c>
      <c r="AO47" s="172"/>
      <c r="AP47" s="282"/>
      <c r="AQ47" s="252"/>
      <c r="AR47" s="253"/>
      <c r="AS47" s="269" t="s">
        <v>13</v>
      </c>
      <c r="AT47" s="221"/>
      <c r="AU47" s="269"/>
      <c r="AV47" s="269"/>
      <c r="AW47" s="270" t="n">
        <f aca="false">+K47+L47</f>
        <v>0</v>
      </c>
      <c r="AX47" s="270" t="str">
        <f aca="false">IF(AS47="&gt;50","CONSISTENCIA",IF(AS47="&lt;50","COMPACIDAD"," "))</f>
        <v>COMPACIDAD</v>
      </c>
      <c r="AY47" s="225" t="str">
        <f aca="false">IF(AS47="&gt;50",AZ47,IF(AS47="&lt;50",BA47," "))</f>
        <v> </v>
      </c>
      <c r="AZ47" s="224" t="str">
        <f aca="false">IF(AW47=" "," ",IF(CC47=""," ",IF(CC47&lt;2,"MUY BLANDA",IF(CC47=2,"MUY BLANDA A BLANDA",IF(CC47&lt;4,"BLANDA",IF(CC47=4,"BLANDA A MEDIA",IF(CC47&lt;8,"MEDIA",IF(CC47=8,"MEDIA A FIRME",IF(CC47&lt;15,"FIRME",IF(CC47=15,"FIRME A MUY FIRME",IF(CC47&lt;30,"MUY FIRME",IF(CC47=30,"MUY FIRME A DURA","DURA"))))))))))))</f>
        <v> </v>
      </c>
      <c r="BA47" s="225" t="str">
        <f aca="false">IF(AW47=" "," ",IF(DC47=""," ",IF(DC47&lt;4,"MUY SUELTA",IF(DC47=4,"MUY SUELTA A SUELTA",IF(DC47&lt;10,"SUELTA",IF(DC47=10,"SUELTA A MEDIA",IF(DC47&lt;30,"MEDIA",IF(DC47=30,"MEDIA A DENSO",IF(DC47&lt;50,"DENSO",IF(DC47=50,"DENSO MUY DENSO","MUY DENSO"))))))))))</f>
        <v> </v>
      </c>
      <c r="BB47" s="190" t="str">
        <f aca="false">IF(BR48=0,"",CQ48*0.0101972)</f>
        <v/>
      </c>
      <c r="BC47" s="227" t="n">
        <f aca="false">+BC46+0.1</f>
        <v>3</v>
      </c>
      <c r="BD47" s="227" t="str">
        <f aca="false">IF(BC47&lt;=$AN$10,BC47,"")</f>
        <v/>
      </c>
      <c r="BE47" s="228" t="n">
        <f aca="false">ISNUMBER(BD47)</f>
        <v>0</v>
      </c>
      <c r="BF47" s="229" t="str">
        <f aca="false">MID(M47,1,1)</f>
        <v/>
      </c>
      <c r="BG47" s="230" t="str">
        <f aca="false">IF(BF47="S","",IF(BF47="G","",MID(M47,2,1)))</f>
        <v/>
      </c>
      <c r="BH47" s="231" t="str">
        <f aca="false">CONCATENATE(BF47,BG47)</f>
        <v/>
      </c>
      <c r="BI47" s="6" t="str">
        <f aca="false">IF(BE47=FALSE(),"",IF(BH47="",BI46,BH47))</f>
        <v/>
      </c>
      <c r="BJ47" s="74" t="str">
        <f aca="false">IF(OR(BI47="S",BI47="G"),BI47,"X")</f>
        <v>X</v>
      </c>
      <c r="BK47" s="74" t="s">
        <v>207</v>
      </c>
      <c r="BL47" s="301" t="e">
        <f aca="false">INDEX(sim_0,MATCH($BJ$47,granular,0))</f>
        <v>#NAME?</v>
      </c>
      <c r="BM47" s="301"/>
      <c r="BN47" s="6"/>
      <c r="BO47" s="191" t="n">
        <f aca="false">BO46+0.1</f>
        <v>3</v>
      </c>
      <c r="BP47" s="233" t="e">
        <f aca="false">IF(AW47=0,NA(),IF(AS47=$AX$3,ROUND(DC47,0),NA()))</f>
        <v>#N/A</v>
      </c>
      <c r="BQ47" s="31" t="e">
        <f aca="false">IF(AW47=0,NA(),IF(AS47=$AX$4,ROUND(CC47,0),NA()))</f>
        <v>#N/A</v>
      </c>
      <c r="BR47" s="234" t="n">
        <f aca="false">+AW47</f>
        <v>0</v>
      </c>
      <c r="BS47" s="235" t="str">
        <f aca="false">IF(BR47=0,"", -0.00000000016128755327*CC47^6 + 0.00000006709386362421*CC47^5 - 0.0000106217678052217*CC47^4 + 0.00081068114193385*CC47^3 - 0.0314027378159951*CC47^2 + 0.649796593937842*CC47 + 13.7888866455022)</f>
        <v/>
      </c>
      <c r="BT47" s="235" t="str">
        <f aca="false">IF(BR47=0,"",-0.00000000014625939695*CC47^6 + 0.00000004971732060241*CC47^5 - 0.000006683744342031*CC47^4 + 0.0004563177378098*CC47^3 - 0.0171727530635803*CC47^2 + 0.444529932876435*CC47 + 15.6692518940565)</f>
        <v/>
      </c>
      <c r="BU47" s="236" t="str">
        <f aca="false">IF(BR47=0,"", -0.0000000008152265738*BR47^6 + 0.00000022764320256987*BR47^5 - 0.0000248205675927705*BR47^4 + 0.00133186623684865*BR47^3 - 0.0368442570441677*BR47^2 + 0.580111565569094*BR47 + 14.0417598296107)</f>
        <v/>
      </c>
      <c r="BV47" s="236" t="str">
        <f aca="false">IF(BR47=0,"", -0.00000000004321395721*BR47^6 + 0.00000002531844275498*BR47^5 - 0.00000369428022780862*BR47^4 + 0.00020283665900125*BR47^3 - 0.00462426256803268*BR47^2 + 0.139572935065453*BR47 + 15.4475338156923)</f>
        <v/>
      </c>
      <c r="BW47" s="236" t="str">
        <f aca="false">IF(BR47=0,"",-0.00000000033126390082*BR47^6 + 0.00000010463660614506*BR47^5 - 0.0000129629592998707*BR47^4 + 0.000803946335250767*BR47^3 - 0.0270257140395994*BR47^2 + 0.562590210721552*BR47+ 12.1254107606419)</f>
        <v/>
      </c>
      <c r="BX47" s="236" t="str">
        <f aca="false">IF(BR47=0,"",-0.00000000002593504955*BR47^6 + 0.00000002430495156704*BR47^5 - 0.00000386103271086364*BR47^4 + 0.000214416118986322*BR47^3 - 0.0047271462612021*BR47^2 + 0.156696175741135*BR47 + 15.4598891949502)</f>
        <v/>
      </c>
      <c r="BY47" s="234" t="str">
        <f aca="false">IF(BR47=0,"",$BS$2)</f>
        <v/>
      </c>
      <c r="BZ47" s="234" t="str">
        <f aca="false">IF(BR47=0,"",$BS$3)</f>
        <v/>
      </c>
      <c r="CA47" s="234" t="str">
        <f aca="false">IF(BR47=0,"",$BS$4)</f>
        <v/>
      </c>
      <c r="CB47" s="235" t="str">
        <f aca="false">IF(BR47=0,"",IF(AND(BO47&gt;=0,BO47&lt;4),0.75,IF(AND(BO47&gt;=4,BO47&lt;6),0.85,IF(AND(BO47&gt;=6,BO47&lt;=10),0.95,1))))</f>
        <v/>
      </c>
      <c r="CC47" s="234" t="str">
        <f aca="false">IF(BR47=0,"",BR47*BY47*BZ47*CA47*CB47/60)</f>
        <v/>
      </c>
      <c r="CD47" s="238" t="str">
        <f aca="false">IF(BR47=0,"",IF($S$12="NO","NO",IF($AD$12&lt;=BO47,"SI","NO")))</f>
        <v/>
      </c>
      <c r="CE47" s="235" t="n">
        <f aca="false">IF(BR47=0,0,AB47)</f>
        <v>0</v>
      </c>
      <c r="CF47" s="235" t="n">
        <f aca="false">IF(CE47&gt;0,BO47,0)</f>
        <v>0</v>
      </c>
      <c r="CG47" s="239" t="n">
        <f aca="false">IF(CF47=0,CF47+CG46,CF47)</f>
        <v>0</v>
      </c>
      <c r="CH47" s="239" t="n">
        <f aca="false">IF(CG47=CG46,CH46,ABS(CG47-CG46))</f>
        <v>0</v>
      </c>
      <c r="CI47" s="239" t="n">
        <f aca="false">+CE47*CH47</f>
        <v>0</v>
      </c>
      <c r="CJ47" s="239" t="n">
        <f aca="false">IF(CI47=0,CI47+CJ46,CI47)</f>
        <v>0</v>
      </c>
      <c r="CK47" s="239" t="n">
        <f aca="false">IF(CJ47=CJ46,CK46,ABS(CJ47+CK46))</f>
        <v>0</v>
      </c>
      <c r="CL47" s="241" t="n">
        <f aca="false">IF(CE47=0,0,CK47)</f>
        <v>0</v>
      </c>
      <c r="CM47" s="239" t="n">
        <f aca="false">IF(CE47=0,0,CH47*9.81)</f>
        <v>0</v>
      </c>
      <c r="CN47" s="239" t="n">
        <f aca="false">IF(CM47=0,CM47+CN46,CM47)</f>
        <v>0</v>
      </c>
      <c r="CO47" s="239" t="n">
        <f aca="false">IF(CN47=CN46,CO46,ABS(CN47+CO46))</f>
        <v>0</v>
      </c>
      <c r="CP47" s="241" t="n">
        <f aca="false">IF(CD47="NO",0,IF(CE47=0,0,CO47))</f>
        <v>0</v>
      </c>
      <c r="CQ47" s="244" t="str">
        <f aca="false">IF(BR47=0,"",CL47-CP47)</f>
        <v/>
      </c>
      <c r="CR47" s="244" t="str">
        <f aca="false">IF(BR47=0,"",CQ47/101.3)</f>
        <v/>
      </c>
      <c r="CS47" s="244" t="str">
        <f aca="false">IF(BR47=0,"",LOG(10/CR47))</f>
        <v/>
      </c>
      <c r="CT47" s="243" t="str">
        <f aca="false">IF(BR47=0,"",IF(SQRT(101.3/CQ47)&lt;=1.7,SQRT(101.3/CQ47),2.2/(1.2+(CQ47/101.3))))</f>
        <v/>
      </c>
      <c r="CU47" s="244" t="str">
        <f aca="false">IF(BR47=0,"",1.7/(0.7+CR47))</f>
        <v/>
      </c>
      <c r="CV47" s="244" t="str">
        <f aca="false">IF(BR47=0,"",IF(CR47&gt;=0.25,0.77*LOG(20/CR47),""))</f>
        <v/>
      </c>
      <c r="CW47" s="244" t="str">
        <f aca="false">IF(BR47=0,"",32.5/(10.2+20.3*CR47))</f>
        <v/>
      </c>
      <c r="CX47" s="244" t="str">
        <f aca="false">IF(BR47=0,"",1-1.25*LOG(CR47))</f>
        <v/>
      </c>
      <c r="CY47" s="244" t="str">
        <f aca="false">IF(BR47=0,"",IF(CR47&lt;1,1-1.41*LOG(CR47),1+0.92*LOG(CR47)))</f>
        <v/>
      </c>
      <c r="CZ47" s="244" t="str">
        <f aca="false">IF(BR47=0,"",2/(1+CR47))</f>
        <v/>
      </c>
      <c r="DA47" s="244" t="str">
        <f aca="false">IF(BR47=0,"",IF(CR47&lt;=0.75,4/(1+4*CR47),4/(3.25+CR47)))</f>
        <v/>
      </c>
      <c r="DB47" s="244" t="str">
        <f aca="false">IF(BR47=0,"",CT47)</f>
        <v/>
      </c>
      <c r="DC47" s="244" t="str">
        <f aca="false">IF(BR47=0,"",DB47*CC47)</f>
        <v/>
      </c>
      <c r="DD47" s="244"/>
      <c r="DE47" s="244" t="str">
        <f aca="false">IF(BR47=0,"",0.193*(CC47/(CQ47*0.001))^0.689)</f>
        <v/>
      </c>
      <c r="DF47" s="244" t="str">
        <f aca="false">IF(BR47=0,"",IF(AS47=$AX$4,(0.1348118*CC47 - 0.0383065)*98.0665,""))</f>
        <v/>
      </c>
      <c r="DG47" s="244" t="str">
        <f aca="false">IF(BR47=0,"",IF(AS47=$AX$4,DF47/2,""))</f>
        <v/>
      </c>
      <c r="DH47" s="244" t="str">
        <f aca="false">IF(BR47=0,"",IF(DC47&lt;=15,12*(DC47+6),40+12*(DC47-6)))</f>
        <v/>
      </c>
      <c r="DI47" s="244" t="str">
        <f aca="false">IF(BR47=0,"",IF(CD47="SI",5*(DC47+15),((3.3*(DC47+15))+(4*(DC47+12)))/2))</f>
        <v/>
      </c>
      <c r="DJ47" s="244" t="str">
        <f aca="false">IF(BR47=0,"",8*DC47)</f>
        <v/>
      </c>
      <c r="DK47" s="244" t="str">
        <f aca="false">IF(BR47=0,"",215+(10.6*DC47))</f>
        <v/>
      </c>
      <c r="DL47" s="244" t="str">
        <f aca="false">IF(BR47=0,"",10*(7.5+(0.5*DC47)))</f>
        <v/>
      </c>
      <c r="DM47" s="244" t="str">
        <f aca="false">IF(BR47=0,"",8*DC47)</f>
        <v/>
      </c>
      <c r="DN47" s="244" t="str">
        <f aca="false">IF(AW47=" "," ",IF(DC47=""," ",IF(DC47&lt;4,10*10.2,IF(DC47=4,12*10.2,IF(DC47&lt;10,17.5*10.5,IF(DC47=10,15*10.2,IF(DC47&lt;30,22.5*10.2,IF(DC47=30,35*10.2,IF(DC47&lt;50,40*10.2,IF(DC47=50,50*10.2,55*10.2))))))))))</f>
        <v> </v>
      </c>
      <c r="DO47" s="244" t="str">
        <f aca="false">IF(BR47=0,"",7*SQRT(DC47)*10.1972)</f>
        <v/>
      </c>
      <c r="DP47" s="244" t="str">
        <f aca="false">IF(BR47=0,"",IF(AS47=$AX$4,5*CC47,""))</f>
        <v/>
      </c>
      <c r="DQ47" s="244" t="str">
        <f aca="false">IF(AW47=" "," ",IF(DC47=""," ",IF(DC47&lt;2,4*10.2,IF(DC47=2,6*10.2,IF(DC47&lt;4,12*10.2,IF(DC47=4,20*10.2,IF(DC47&lt;8,30*10.2,IF(DC47=8,35*10.2,IF(DC47&lt;15,40*10.2,IF(DC47=15,42*10.2,IF(DC47&lt;30,45*10.2,IF(DC47=30,50*10.2,70*10.2))))))))))))</f>
        <v> </v>
      </c>
      <c r="DR47" s="244" t="str">
        <f aca="false">IF(BR47=0,"",IF(AS47=$AX$4,220*DP47*0.0101972,""))</f>
        <v/>
      </c>
      <c r="DS47" s="271" t="str">
        <f aca="false">IF(BR47=0,"",IF(AS47=$AX$7,(SUM(DH47:DO47)-MIN(DH47:DO47)-MAX(DH47:DO47))/6,(SUM(DO47:DR47)-MIN(DO47:DR47)-MAX(DO47:DR47))/2))</f>
        <v/>
      </c>
      <c r="DT47" s="244" t="str">
        <f aca="false">IF(AW47=" "," ",IF(DC47=""," ",IF(DC47&lt;4,0.2,IF(DC47=4,0.27,IF(DC47&lt;10,0.33,IF(DC47=10,0.35,IF(DC47&lt;30,0.36,IF(DC47=30,0.37,IF(DC47&lt;50,0.38,IF(DC47=50,0.4,0.45))))))))))</f>
        <v> </v>
      </c>
      <c r="DU47" s="272" t="str">
        <f aca="false">IF(AW47=" "," ",IF(CC47=""," ",IF(CC47&lt;2,0.2,IF(CC47=2,0.23,IF(CC47&lt;4,0.26,IF(CC47=4,0.29,IF(CC47&lt;8,0.32,IF(CC47=8,0.35,IF(CC47&lt;15,0.38,IF(CC47=15,0.41,IF(CC47&lt;30,0.44,IF(CC47=30,0.47,0.5))))))))))))</f>
        <v> </v>
      </c>
      <c r="DV47" s="244" t="str">
        <f aca="false">IF(BR47=0,"",IF(AS47=$AX$3,DT47,DU47))</f>
        <v/>
      </c>
      <c r="DW47" s="244" t="str">
        <f aca="false">IF(BR47=0,"",IF(DC47&gt;15,15+0.5*(DC47-15),DC47))</f>
        <v/>
      </c>
      <c r="DX47" s="244" t="str">
        <f aca="false">IF(BR47=0,"",IF($S$12="SI",IF(CD47="NO",IF($AD$12&gt;(BO47+1.5*$ED$15),1,0.5),0.5),1))</f>
        <v/>
      </c>
      <c r="DY47" s="244" t="str">
        <f aca="false">IF(BR47=0,"",IF($S$12="SI",IF(CD47="NO",IF($AD$12&gt;(BO47+1.5*$EE$15),1,0.5),0.5),1))</f>
        <v/>
      </c>
      <c r="DZ47" s="244" t="str">
        <f aca="false">IF(BR47=0,"",IF($S$12="SI",IF(CD47="NO",IF($AD$12&gt;(BO47+1.5*$EF$15),1,0.5),0.5),1))</f>
        <v/>
      </c>
      <c r="EA47" s="244" t="str">
        <f aca="false">IF(BR47=0,"",IF($S$12="SI",IF(CD47="NO",IF($AD$12&gt;(BO47+1.5*$ED$15),1,0.5),IF($AD$12=BO47,1,0.5)),1))</f>
        <v/>
      </c>
      <c r="EB47" s="244" t="str">
        <f aca="false">IF(BR47=0,"",IF($S$12="SI",IF(CD47="NO",IF($AD$12&gt;(BO47+1.5*$EE$15),1,0.5),IF($AD$12=BO47,1,0.5)),1))</f>
        <v/>
      </c>
      <c r="EC47" s="244" t="str">
        <f aca="false">IF(BR47=0,"",IF($S$12="SI",IF(CD47="NO",IF($AD$12&gt;(BO47+1.5*$EF$15),1,0.5),IF($AD$12=BO47,1,0.5)),1))</f>
        <v/>
      </c>
      <c r="ED47" s="244" t="str">
        <f aca="false">IF(BR47=0,"",(DW47*($ED$15/10)*(DX47+EA47*(BO47/$ED$15))*1)/3)</f>
        <v/>
      </c>
      <c r="EE47" s="244" t="str">
        <f aca="false">IF(BR47=0,"",(DW47*($EE$15/10)*(DY47+EB47*(BO47/$EE$15))*1)/3)</f>
        <v/>
      </c>
      <c r="EF47" s="244" t="str">
        <f aca="false">IF(BR47=0,"",(DW47*($EF$15/10)*(DZ47+EC47*(BO47/$EF$15))*1)/3)</f>
        <v/>
      </c>
      <c r="EG47" s="273" t="str">
        <f aca="false">IF(BR47=0,"",IF(CD47="SI",0.5,1))</f>
        <v/>
      </c>
      <c r="EH47" s="244" t="str">
        <f aca="false">IF(BR47=0,"",IF((1+0.33*(BO47/$ED$15))&lt;=1.33,(1+0.33*(BO47/$ED$15)),1.33))</f>
        <v/>
      </c>
      <c r="EI47" s="244" t="str">
        <f aca="false">IF(BR47=0,"",IF((1+0.33*(BO47/$EE$15))&lt;=1.33,(1+0.33*(BO47/$EE$15)),1.33))</f>
        <v/>
      </c>
      <c r="EJ47" s="244" t="str">
        <f aca="false">IF(BR47=0,"",IF((1+0.33*(BO47/$EF$15))&lt;=1.33,(1+0.33*(BO47/$EF$15)),1.33))</f>
        <v/>
      </c>
      <c r="EK47" s="244" t="str">
        <f aca="false">IF(BR47=0,"",IF($ED$15&lt;=1.2,((20*DC47*EG47*EH47)/3)*0.010197,((12.5*DC47*((($ED$15+0.3)^2)/$ED$15)*EG47*EH47)/3)*0.010197))</f>
        <v/>
      </c>
      <c r="EL47" s="244" t="str">
        <f aca="false">IF(BR47=0,"",IF($EE$15&lt;=1.2,((20*DC47*EG47*EI47)/3)*0.010197,((12.5*DC47*((($EE$15+0.3)^2)/$EE$15)*EG47*EI47)/3)*0.010197))</f>
        <v/>
      </c>
      <c r="EM47" s="244" t="str">
        <f aca="false">IF(BR47=0,"",IF($EF$15&lt;=1.2,((20*DC47*EG47*EJ47)/3)*0.010197,((12.5*DC47*((($EF$15+0.3)^2)/$EF$15)*EG47*EJ47)/3)*0.010197))</f>
        <v/>
      </c>
      <c r="EN47" s="248" t="str">
        <f aca="false">IF(BR47=0,"",SQRT(12*CC47)+25)</f>
        <v/>
      </c>
      <c r="EO47" s="248" t="str">
        <f aca="false">IF(BR47=0,"",28.5+0.25*CC47)</f>
        <v/>
      </c>
      <c r="EP47" s="248" t="str">
        <f aca="false">IF(BR47=0,"",SQRT(20*CC47)+15)</f>
        <v/>
      </c>
      <c r="EQ47" s="248" t="str">
        <f aca="false">IF(BR47=0,"",23.7+0.57*CC47-0.0006*CC47*CC47)</f>
        <v/>
      </c>
      <c r="ER47" s="248" t="str">
        <f aca="false">IF(BR47=0,"",15+SQRT(12.5*DC47))</f>
        <v/>
      </c>
      <c r="ES47" s="248" t="str">
        <f aca="false">IF(BR47=0,"",3.5*SQRT(CC47)+20)</f>
        <v/>
      </c>
      <c r="ET47" s="248" t="str">
        <f aca="false">IF(BR47=0,"",27.1+0.3*DC47-0.00054*DC47*DC47)</f>
        <v/>
      </c>
      <c r="EU47" s="248" t="str">
        <f aca="false">IF(BR47=0,"",SQRT(20*CC47)+20)</f>
        <v/>
      </c>
      <c r="EV47" s="248" t="str">
        <f aca="false">IF(BR47=0,"",12.79+SQRT(25.86*CC47))</f>
        <v/>
      </c>
      <c r="EW47" s="248" t="str">
        <f aca="false">IF(BR47=0,"",DEGREES(_xlfn.ACOT((CC47/(12.2+20.3*CR47))^0.34)))</f>
        <v/>
      </c>
      <c r="EX47" s="248" t="str">
        <f aca="false">IF(BR47=0,"",24+(5.77*LN(0.17*DC47)))</f>
        <v/>
      </c>
      <c r="EY47" s="248" t="str">
        <f aca="false">IF(BR47=0,"",(SUM(EN47:EX47)-MIN(EN47:EX47)-MAX(EN47:EX47))/9)</f>
        <v/>
      </c>
      <c r="EZ47" s="248" t="str">
        <f aca="false">IF(BR47=0,"", -0.0000000034*CC47^6 + 0.0000008305*CC47^5 - 0.0000741842*CC47^4 + 0.0030204278*CC47^3 - 0.0541594733*CC47^2 + 0.8083147848*CC47 - 0.6182191243)</f>
        <v/>
      </c>
      <c r="FA47" s="249" t="str">
        <f aca="false">IF(BR47=0,"",(0.134811827956989*CC47 - 0.0383064516129019)/2)</f>
        <v/>
      </c>
      <c r="FB47" s="249" t="str">
        <f aca="false">IF(BR47=0,"",CC47*0.065)</f>
        <v/>
      </c>
      <c r="FC47" s="249" t="str">
        <f aca="false">IF(BR47=0,"",(CC47*0.12*0.48)*SQRT((1+SIN(EZ47*((2*PI())/360))/(1-SIN(EZ47*((2*PI())/360))))))</f>
        <v/>
      </c>
      <c r="FD47" s="249" t="str">
        <f aca="false">IF(BR47=0,"",(CC47/8)/2)</f>
        <v/>
      </c>
      <c r="FE47" s="249" t="str">
        <f aca="false">IF(BR47=0,"",(SUM(FA47:FD47)-MIN(FA47:FD47)-MAX(FA47:FD47))/2)</f>
        <v/>
      </c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</row>
    <row r="48" customFormat="false" ht="9.75" hidden="false" customHeight="true" outlineLevel="0" collapsed="false">
      <c r="A48" s="197" t="n">
        <f aca="false">ROUND(A47+0.1,1)</f>
        <v>3.1</v>
      </c>
      <c r="B48" s="281"/>
      <c r="C48" s="251"/>
      <c r="D48" s="283"/>
      <c r="E48" s="199"/>
      <c r="F48" s="200"/>
      <c r="G48" s="254"/>
      <c r="H48" s="255"/>
      <c r="I48" s="256"/>
      <c r="J48" s="257"/>
      <c r="K48" s="258"/>
      <c r="L48" s="259"/>
      <c r="M48" s="276"/>
      <c r="N48" s="277"/>
      <c r="O48" s="277"/>
      <c r="P48" s="277"/>
      <c r="Q48" s="293"/>
      <c r="R48" s="294"/>
      <c r="S48" s="294"/>
      <c r="T48" s="295"/>
      <c r="U48" s="295"/>
      <c r="V48" s="296"/>
      <c r="W48" s="296"/>
      <c r="X48" s="296"/>
      <c r="Y48" s="296"/>
      <c r="Z48" s="296"/>
      <c r="AA48" s="296"/>
      <c r="AB48" s="297"/>
      <c r="AC48" s="298"/>
      <c r="AD48" s="299"/>
      <c r="AE48" s="298"/>
      <c r="AF48" s="300"/>
      <c r="AG48" s="267"/>
      <c r="AH48" s="267"/>
      <c r="AI48" s="241"/>
      <c r="AJ48" s="241"/>
      <c r="AK48" s="266"/>
      <c r="AL48" s="266"/>
      <c r="AM48" s="268"/>
      <c r="AN48" s="281"/>
      <c r="AO48" s="251"/>
      <c r="AP48" s="283"/>
      <c r="AQ48" s="199"/>
      <c r="AR48" s="200"/>
      <c r="AS48" s="269" t="s">
        <v>13</v>
      </c>
      <c r="AT48" s="221"/>
      <c r="AU48" s="269"/>
      <c r="AV48" s="269"/>
      <c r="AW48" s="270" t="n">
        <f aca="false">+K48+L48</f>
        <v>0</v>
      </c>
      <c r="AX48" s="270" t="str">
        <f aca="false">IF(AS48="&gt;50","CONSISTENCIA",IF(AS48="&lt;50","COMPACIDAD"," "))</f>
        <v>COMPACIDAD</v>
      </c>
      <c r="AY48" s="225" t="str">
        <f aca="false">IF(AS48="&gt;50",AZ48,IF(AS48="&lt;50",BA48," "))</f>
        <v> </v>
      </c>
      <c r="AZ48" s="224" t="str">
        <f aca="false">IF(AW48=" "," ",IF(CC48=""," ",IF(CC48&lt;2,"MUY BLANDA",IF(CC48=2,"MUY BLANDA A BLANDA",IF(CC48&lt;4,"BLANDA",IF(CC48=4,"BLANDA A MEDIA",IF(CC48&lt;8,"MEDIA",IF(CC48=8,"MEDIA A FIRME",IF(CC48&lt;15,"FIRME",IF(CC48=15,"FIRME A MUY FIRME",IF(CC48&lt;30,"MUY FIRME",IF(CC48=30,"MUY FIRME A DURA","DURA"))))))))))))</f>
        <v> </v>
      </c>
      <c r="BA48" s="225" t="str">
        <f aca="false">IF(AW48=" "," ",IF(DC48=""," ",IF(DC48&lt;4,"MUY SUELTA",IF(DC48=4,"MUY SUELTA A SUELTA",IF(DC48&lt;10,"SUELTA",IF(DC48=10,"SUELTA A MEDIA",IF(DC48&lt;30,"MEDIA",IF(DC48=30,"MEDIA A DENSO",IF(DC48&lt;50,"DENSO",IF(DC48=50,"DENSO MUY DENSO","MUY DENSO"))))))))))</f>
        <v> </v>
      </c>
      <c r="BB48" s="226" t="str">
        <f aca="false">IF(BR49=0,"",CQ49*0.0101972)</f>
        <v/>
      </c>
      <c r="BC48" s="227" t="n">
        <f aca="false">+BC47+0.1</f>
        <v>3.1</v>
      </c>
      <c r="BD48" s="227" t="str">
        <f aca="false">IF(BC48&lt;=$AN$10,BC48,"")</f>
        <v/>
      </c>
      <c r="BE48" s="228" t="n">
        <f aca="false">ISNUMBER(BD48)</f>
        <v>0</v>
      </c>
      <c r="BF48" s="229" t="str">
        <f aca="false">MID(M48,1,1)</f>
        <v/>
      </c>
      <c r="BG48" s="230" t="str">
        <f aca="false">IF(BF48="S","",IF(BF48="G","",MID(M48,2,1)))</f>
        <v/>
      </c>
      <c r="BH48" s="231" t="str">
        <f aca="false">CONCATENATE(BF48,BG48)</f>
        <v/>
      </c>
      <c r="BI48" s="6" t="str">
        <f aca="false">IF(BE48=FALSE(),"",IF(BH48="",BI47,BH48))</f>
        <v/>
      </c>
      <c r="BJ48" s="74" t="str">
        <f aca="false">IF(OR(BI48="S",BI48="G"),BI48,"X")</f>
        <v>X</v>
      </c>
      <c r="BK48" s="74" t="s">
        <v>208</v>
      </c>
      <c r="BL48" s="302" t="e">
        <f aca="false">INDEX(sim_0,MATCH($BJ$48,granular,0))</f>
        <v>#NAME?</v>
      </c>
      <c r="BM48" s="302"/>
      <c r="BN48" s="6"/>
      <c r="BO48" s="191" t="n">
        <f aca="false">BO47+0.1</f>
        <v>3.1</v>
      </c>
      <c r="BP48" s="233" t="e">
        <f aca="false">IF(AW48=0,NA(),IF(AS48=$AX$3,ROUND(DC48,0),NA()))</f>
        <v>#N/A</v>
      </c>
      <c r="BQ48" s="31" t="e">
        <f aca="false">IF(AW48=0,NA(),IF(AS48=$AX$4,ROUND(CC48,0),NA()))</f>
        <v>#N/A</v>
      </c>
      <c r="BR48" s="234" t="n">
        <f aca="false">+AW48</f>
        <v>0</v>
      </c>
      <c r="BS48" s="235" t="str">
        <f aca="false">IF(BR48=0,"", -0.00000000016128755327*CC48^6 + 0.00000006709386362421*CC48^5 - 0.0000106217678052217*CC48^4 + 0.00081068114193385*CC48^3 - 0.0314027378159951*CC48^2 + 0.649796593937842*CC48 + 13.7888866455022)</f>
        <v/>
      </c>
      <c r="BT48" s="235" t="str">
        <f aca="false">IF(BR48=0,"",-0.00000000014625939695*CC48^6 + 0.00000004971732060241*CC48^5 - 0.000006683744342031*CC48^4 + 0.0004563177378098*CC48^3 - 0.0171727530635803*CC48^2 + 0.444529932876435*CC48 + 15.6692518940565)</f>
        <v/>
      </c>
      <c r="BU48" s="236" t="str">
        <f aca="false">IF(BR48=0,"", -0.0000000008152265738*BR48^6 + 0.00000022764320256987*BR48^5 - 0.0000248205675927705*BR48^4 + 0.00133186623684865*BR48^3 - 0.0368442570441677*BR48^2 + 0.580111565569094*BR48 + 14.0417598296107)</f>
        <v/>
      </c>
      <c r="BV48" s="236" t="str">
        <f aca="false">IF(BR48=0,"", -0.00000000004321395721*BR48^6 + 0.00000002531844275498*BR48^5 - 0.00000369428022780862*BR48^4 + 0.00020283665900125*BR48^3 - 0.00462426256803268*BR48^2 + 0.139572935065453*BR48 + 15.4475338156923)</f>
        <v/>
      </c>
      <c r="BW48" s="236" t="str">
        <f aca="false">IF(BR48=0,"",-0.00000000033126390082*BR48^6 + 0.00000010463660614506*BR48^5 - 0.0000129629592998707*BR48^4 + 0.000803946335250767*BR48^3 - 0.0270257140395994*BR48^2 + 0.562590210721552*BR48+ 12.1254107606419)</f>
        <v/>
      </c>
      <c r="BX48" s="236" t="str">
        <f aca="false">IF(BR48=0,"",-0.00000000002593504955*BR48^6 + 0.00000002430495156704*BR48^5 - 0.00000386103271086364*BR48^4 + 0.000214416118986322*BR48^3 - 0.0047271462612021*BR48^2 + 0.156696175741135*BR48 + 15.4598891949502)</f>
        <v/>
      </c>
      <c r="BY48" s="234" t="str">
        <f aca="false">IF(BR48=0,"",$BS$2)</f>
        <v/>
      </c>
      <c r="BZ48" s="234" t="str">
        <f aca="false">IF(BR48=0,"",$BS$3)</f>
        <v/>
      </c>
      <c r="CA48" s="234" t="str">
        <f aca="false">IF(BR48=0,"",$BS$4)</f>
        <v/>
      </c>
      <c r="CB48" s="235" t="str">
        <f aca="false">IF(BR48=0,"",IF(AND(BO48&gt;=0,BO48&lt;4),0.75,IF(AND(BO48&gt;=4,BO48&lt;6),0.85,IF(AND(BO48&gt;=6,BO48&lt;=10),0.95,1))))</f>
        <v/>
      </c>
      <c r="CC48" s="234" t="str">
        <f aca="false">IF(BR48=0,"",BR48*BY48*BZ48*CA48*CB48/60)</f>
        <v/>
      </c>
      <c r="CD48" s="238" t="str">
        <f aca="false">IF(BR48=0,"",IF($S$12="NO","NO",IF($AD$12&lt;=BO48,"SI","NO")))</f>
        <v/>
      </c>
      <c r="CE48" s="235" t="n">
        <f aca="false">IF(BR48=0,0,AB48)</f>
        <v>0</v>
      </c>
      <c r="CF48" s="235" t="n">
        <f aca="false">IF(CE48&gt;0,BO48,0)</f>
        <v>0</v>
      </c>
      <c r="CG48" s="239" t="n">
        <f aca="false">IF(CF48=0,CF48+CG47,CF48)</f>
        <v>0</v>
      </c>
      <c r="CH48" s="239" t="n">
        <f aca="false">IF(CG48=CG47,CH47,ABS(CG48-CG47))</f>
        <v>0</v>
      </c>
      <c r="CI48" s="239" t="n">
        <f aca="false">+CE48*CH48</f>
        <v>0</v>
      </c>
      <c r="CJ48" s="239" t="n">
        <f aca="false">IF(CI48=0,CI48+CJ47,CI48)</f>
        <v>0</v>
      </c>
      <c r="CK48" s="239" t="n">
        <f aca="false">IF(CJ48=CJ47,CK47,ABS(CJ48+CK47))</f>
        <v>0</v>
      </c>
      <c r="CL48" s="241" t="n">
        <f aca="false">IF(CE48=0,0,CK48)</f>
        <v>0</v>
      </c>
      <c r="CM48" s="239" t="n">
        <f aca="false">IF(CE48=0,0,CH48*9.81)</f>
        <v>0</v>
      </c>
      <c r="CN48" s="239" t="n">
        <f aca="false">IF(CM48=0,CM48+CN47,CM48)</f>
        <v>0</v>
      </c>
      <c r="CO48" s="239" t="n">
        <f aca="false">IF(CN48=CN47,CO47,ABS(CN48+CO47))</f>
        <v>0</v>
      </c>
      <c r="CP48" s="241" t="n">
        <f aca="false">IF(CD48="NO",0,IF(CE48=0,0,CO48))</f>
        <v>0</v>
      </c>
      <c r="CQ48" s="244" t="str">
        <f aca="false">IF(BR48=0,"",CL48-CP48)</f>
        <v/>
      </c>
      <c r="CR48" s="244" t="str">
        <f aca="false">IF(BR48=0,"",CQ48/101.3)</f>
        <v/>
      </c>
      <c r="CS48" s="244" t="str">
        <f aca="false">IF(BR48=0,"",LOG(10/CR48))</f>
        <v/>
      </c>
      <c r="CT48" s="243" t="str">
        <f aca="false">IF(BR48=0,"",IF(SQRT(101.3/CQ48)&lt;=1.7,SQRT(101.3/CQ48),2.2/(1.2+(CQ48/101.3))))</f>
        <v/>
      </c>
      <c r="CU48" s="244" t="str">
        <f aca="false">IF(BR48=0,"",1.7/(0.7+CR48))</f>
        <v/>
      </c>
      <c r="CV48" s="244" t="str">
        <f aca="false">IF(BR48=0,"",IF(CR48&gt;=0.25,0.77*LOG(20/CR48),""))</f>
        <v/>
      </c>
      <c r="CW48" s="244" t="str">
        <f aca="false">IF(BR48=0,"",32.5/(10.2+20.3*CR48))</f>
        <v/>
      </c>
      <c r="CX48" s="244" t="str">
        <f aca="false">IF(BR48=0,"",1-1.25*LOG(CR48))</f>
        <v/>
      </c>
      <c r="CY48" s="244" t="str">
        <f aca="false">IF(BR48=0,"",IF(CR48&lt;1,1-1.41*LOG(CR48),1+0.92*LOG(CR48)))</f>
        <v/>
      </c>
      <c r="CZ48" s="244" t="str">
        <f aca="false">IF(BR48=0,"",2/(1+CR48))</f>
        <v/>
      </c>
      <c r="DA48" s="244" t="str">
        <f aca="false">IF(BR48=0,"",IF(CR48&lt;=0.75,4/(1+4*CR48),4/(3.25+CR48)))</f>
        <v/>
      </c>
      <c r="DB48" s="244" t="str">
        <f aca="false">IF(BR48=0,"",CT48)</f>
        <v/>
      </c>
      <c r="DC48" s="244" t="str">
        <f aca="false">IF(BR48=0,"",DB48*CC48)</f>
        <v/>
      </c>
      <c r="DD48" s="244"/>
      <c r="DE48" s="244" t="str">
        <f aca="false">IF(BR48=0,"",0.193*(CC48/(CQ48*0.001))^0.689)</f>
        <v/>
      </c>
      <c r="DF48" s="244" t="str">
        <f aca="false">IF(BR48=0,"",IF(AS48=$AX$4,(0.1348118*CC48 - 0.0383065)*98.0665,""))</f>
        <v/>
      </c>
      <c r="DG48" s="244" t="str">
        <f aca="false">IF(BR48=0,"",IF(AS48=$AX$4,DF48/2,""))</f>
        <v/>
      </c>
      <c r="DH48" s="244" t="str">
        <f aca="false">IF(BR48=0,"",IF(DC48&lt;=15,12*(DC48+6),40+12*(DC48-6)))</f>
        <v/>
      </c>
      <c r="DI48" s="244" t="str">
        <f aca="false">IF(BR48=0,"",IF(CD48="SI",5*(DC48+15),((3.3*(DC48+15))+(4*(DC48+12)))/2))</f>
        <v/>
      </c>
      <c r="DJ48" s="244" t="str">
        <f aca="false">IF(BR48=0,"",8*DC48)</f>
        <v/>
      </c>
      <c r="DK48" s="244" t="str">
        <f aca="false">IF(BR48=0,"",215+(10.6*DC48))</f>
        <v/>
      </c>
      <c r="DL48" s="244" t="str">
        <f aca="false">IF(BR48=0,"",10*(7.5+(0.5*DC48)))</f>
        <v/>
      </c>
      <c r="DM48" s="244" t="str">
        <f aca="false">IF(BR48=0,"",8*DC48)</f>
        <v/>
      </c>
      <c r="DN48" s="244" t="str">
        <f aca="false">IF(AW48=" "," ",IF(DC48=""," ",IF(DC48&lt;4,10*10.2,IF(DC48=4,12*10.2,IF(DC48&lt;10,17.5*10.5,IF(DC48=10,15*10.2,IF(DC48&lt;30,22.5*10.2,IF(DC48=30,35*10.2,IF(DC48&lt;50,40*10.2,IF(DC48=50,50*10.2,55*10.2))))))))))</f>
        <v> </v>
      </c>
      <c r="DO48" s="244" t="str">
        <f aca="false">IF(BR48=0,"",7*SQRT(DC48)*10.1972)</f>
        <v/>
      </c>
      <c r="DP48" s="244" t="str">
        <f aca="false">IF(BR48=0,"",IF(AS48=$AX$4,5*CC48,""))</f>
        <v/>
      </c>
      <c r="DQ48" s="244" t="str">
        <f aca="false">IF(AW48=" "," ",IF(DC48=""," ",IF(DC48&lt;2,4*10.2,IF(DC48=2,6*10.2,IF(DC48&lt;4,12*10.2,IF(DC48=4,20*10.2,IF(DC48&lt;8,30*10.2,IF(DC48=8,35*10.2,IF(DC48&lt;15,40*10.2,IF(DC48=15,42*10.2,IF(DC48&lt;30,45*10.2,IF(DC48=30,50*10.2,70*10.2))))))))))))</f>
        <v> </v>
      </c>
      <c r="DR48" s="244" t="str">
        <f aca="false">IF(BR48=0,"",IF(AS48=$AX$4,220*DP48*0.0101972,""))</f>
        <v/>
      </c>
      <c r="DS48" s="271" t="str">
        <f aca="false">IF(BR48=0,"",IF(AS48=$AX$7,(SUM(DH48:DO48)-MIN(DH48:DO48)-MAX(DH48:DO48))/6,(SUM(DO48:DR48)-MIN(DO48:DR48)-MAX(DO48:DR48))/2))</f>
        <v/>
      </c>
      <c r="DT48" s="244" t="str">
        <f aca="false">IF(AW48=" "," ",IF(DC48=""," ",IF(DC48&lt;4,0.2,IF(DC48=4,0.27,IF(DC48&lt;10,0.33,IF(DC48=10,0.35,IF(DC48&lt;30,0.36,IF(DC48=30,0.37,IF(DC48&lt;50,0.38,IF(DC48=50,0.4,0.45))))))))))</f>
        <v> </v>
      </c>
      <c r="DU48" s="272" t="str">
        <f aca="false">IF(AW48=" "," ",IF(CC48=""," ",IF(CC48&lt;2,0.2,IF(CC48=2,0.23,IF(CC48&lt;4,0.26,IF(CC48=4,0.29,IF(CC48&lt;8,0.32,IF(CC48=8,0.35,IF(CC48&lt;15,0.38,IF(CC48=15,0.41,IF(CC48&lt;30,0.44,IF(CC48=30,0.47,0.5))))))))))))</f>
        <v> </v>
      </c>
      <c r="DV48" s="244" t="str">
        <f aca="false">IF(BR48=0,"",IF(AS48=$AX$3,DT48,DU48))</f>
        <v/>
      </c>
      <c r="DW48" s="244" t="str">
        <f aca="false">IF(BR48=0,"",IF(DC48&gt;15,15+0.5*(DC48-15),DC48))</f>
        <v/>
      </c>
      <c r="DX48" s="244" t="str">
        <f aca="false">IF(BR48=0,"",IF($S$12="SI",IF(CD48="NO",IF($AD$12&gt;(BO48+1.5*$ED$15),1,0.5),0.5),1))</f>
        <v/>
      </c>
      <c r="DY48" s="244" t="str">
        <f aca="false">IF(BR48=0,"",IF($S$12="SI",IF(CD48="NO",IF($AD$12&gt;(BO48+1.5*$EE$15),1,0.5),0.5),1))</f>
        <v/>
      </c>
      <c r="DZ48" s="244" t="str">
        <f aca="false">IF(BR48=0,"",IF($S$12="SI",IF(CD48="NO",IF($AD$12&gt;(BO48+1.5*$EF$15),1,0.5),0.5),1))</f>
        <v/>
      </c>
      <c r="EA48" s="244" t="str">
        <f aca="false">IF(BR48=0,"",IF($S$12="SI",IF(CD48="NO",IF($AD$12&gt;(BO48+1.5*$ED$15),1,0.5),IF($AD$12=BO48,1,0.5)),1))</f>
        <v/>
      </c>
      <c r="EB48" s="244" t="str">
        <f aca="false">IF(BR48=0,"",IF($S$12="SI",IF(CD48="NO",IF($AD$12&gt;(BO48+1.5*$EE$15),1,0.5),IF($AD$12=BO48,1,0.5)),1))</f>
        <v/>
      </c>
      <c r="EC48" s="244" t="str">
        <f aca="false">IF(BR48=0,"",IF($S$12="SI",IF(CD48="NO",IF($AD$12&gt;(BO48+1.5*$EF$15),1,0.5),IF($AD$12=BO48,1,0.5)),1))</f>
        <v/>
      </c>
      <c r="ED48" s="244" t="str">
        <f aca="false">IF(BR48=0,"",(DW48*($ED$15/10)*(DX48+EA48*(BO48/$ED$15))*1)/3)</f>
        <v/>
      </c>
      <c r="EE48" s="244" t="str">
        <f aca="false">IF(BR48=0,"",(DW48*($EE$15/10)*(DY48+EB48*(BO48/$EE$15))*1)/3)</f>
        <v/>
      </c>
      <c r="EF48" s="244" t="str">
        <f aca="false">IF(BR48=0,"",(DW48*($EF$15/10)*(DZ48+EC48*(BO48/$EF$15))*1)/3)</f>
        <v/>
      </c>
      <c r="EG48" s="273" t="str">
        <f aca="false">IF(BR48=0,"",IF(CD48="SI",0.5,1))</f>
        <v/>
      </c>
      <c r="EH48" s="244" t="str">
        <f aca="false">IF(BR48=0,"",IF((1+0.33*(BO48/$ED$15))&lt;=1.33,(1+0.33*(BO48/$ED$15)),1.33))</f>
        <v/>
      </c>
      <c r="EI48" s="244" t="str">
        <f aca="false">IF(BR48=0,"",IF((1+0.33*(BO48/$EE$15))&lt;=1.33,(1+0.33*(BO48/$EE$15)),1.33))</f>
        <v/>
      </c>
      <c r="EJ48" s="244" t="str">
        <f aca="false">IF(BR48=0,"",IF((1+0.33*(BO48/$EF$15))&lt;=1.33,(1+0.33*(BO48/$EF$15)),1.33))</f>
        <v/>
      </c>
      <c r="EK48" s="244" t="str">
        <f aca="false">IF(BR48=0,"",IF($ED$15&lt;=1.2,((20*DC48*EG48*EH48)/3)*0.010197,((12.5*DC48*((($ED$15+0.3)^2)/$ED$15)*EG48*EH48)/3)*0.010197))</f>
        <v/>
      </c>
      <c r="EL48" s="244" t="str">
        <f aca="false">IF(BR48=0,"",IF($EE$15&lt;=1.2,((20*DC48*EG48*EI48)/3)*0.010197,((12.5*DC48*((($EE$15+0.3)^2)/$EE$15)*EG48*EI48)/3)*0.010197))</f>
        <v/>
      </c>
      <c r="EM48" s="244" t="str">
        <f aca="false">IF(BR48=0,"",IF($EF$15&lt;=1.2,((20*DC48*EG48*EJ48)/3)*0.010197,((12.5*DC48*((($EF$15+0.3)^2)/$EF$15)*EG48*EJ48)/3)*0.010197))</f>
        <v/>
      </c>
      <c r="EN48" s="248" t="str">
        <f aca="false">IF(BR48=0,"",SQRT(12*CC48)+25)</f>
        <v/>
      </c>
      <c r="EO48" s="248" t="str">
        <f aca="false">IF(BR48=0,"",28.5+0.25*CC48)</f>
        <v/>
      </c>
      <c r="EP48" s="248" t="str">
        <f aca="false">IF(BR48=0,"",SQRT(20*CC48)+15)</f>
        <v/>
      </c>
      <c r="EQ48" s="248" t="str">
        <f aca="false">IF(BR48=0,"",23.7+0.57*CC48-0.0006*CC48*CC48)</f>
        <v/>
      </c>
      <c r="ER48" s="248" t="str">
        <f aca="false">IF(BR48=0,"",15+SQRT(12.5*DC48))</f>
        <v/>
      </c>
      <c r="ES48" s="248" t="str">
        <f aca="false">IF(BR48=0,"",3.5*SQRT(CC48)+20)</f>
        <v/>
      </c>
      <c r="ET48" s="248" t="str">
        <f aca="false">IF(BR48=0,"",27.1+0.3*DC48-0.00054*DC48*DC48)</f>
        <v/>
      </c>
      <c r="EU48" s="248" t="str">
        <f aca="false">IF(BR48=0,"",SQRT(20*CC48)+20)</f>
        <v/>
      </c>
      <c r="EV48" s="248" t="str">
        <f aca="false">IF(BR48=0,"",12.79+SQRT(25.86*CC48))</f>
        <v/>
      </c>
      <c r="EW48" s="248" t="str">
        <f aca="false">IF(BR48=0,"",DEGREES(_xlfn.ACOT((CC48/(12.2+20.3*CR48))^0.34)))</f>
        <v/>
      </c>
      <c r="EX48" s="248" t="str">
        <f aca="false">IF(BR48=0,"",24+(5.77*LN(0.17*DC48)))</f>
        <v/>
      </c>
      <c r="EY48" s="248" t="str">
        <f aca="false">IF(BR48=0,"",(SUM(EN48:EX48)-MIN(EN48:EX48)-MAX(EN48:EX48))/9)</f>
        <v/>
      </c>
      <c r="EZ48" s="248" t="str">
        <f aca="false">IF(BR48=0,"", -0.0000000034*CC48^6 + 0.0000008305*CC48^5 - 0.0000741842*CC48^4 + 0.0030204278*CC48^3 - 0.0541594733*CC48^2 + 0.8083147848*CC48 - 0.6182191243)</f>
        <v/>
      </c>
      <c r="FA48" s="249" t="str">
        <f aca="false">IF(BR48=0,"",(0.134811827956989*CC48 - 0.0383064516129019)/2)</f>
        <v/>
      </c>
      <c r="FB48" s="249" t="str">
        <f aca="false">IF(BR48=0,"",CC48*0.065)</f>
        <v/>
      </c>
      <c r="FC48" s="249" t="str">
        <f aca="false">IF(BR48=0,"",(CC48*0.12*0.48)*SQRT((1+SIN(EZ48*((2*PI())/360))/(1-SIN(EZ48*((2*PI())/360))))))</f>
        <v/>
      </c>
      <c r="FD48" s="249" t="str">
        <f aca="false">IF(BR48=0,"",(CC48/8)/2)</f>
        <v/>
      </c>
      <c r="FE48" s="249" t="str">
        <f aca="false">IF(BR48=0,"",(SUM(FA48:FD48)-MIN(FA48:FD48)-MAX(FA48:FD48))/2)</f>
        <v/>
      </c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</row>
    <row r="49" customFormat="false" ht="9.75" hidden="false" customHeight="true" outlineLevel="0" collapsed="false">
      <c r="A49" s="197" t="n">
        <f aca="false">ROUND(A48+0.1,1)</f>
        <v>3.2</v>
      </c>
      <c r="B49" s="250" t="n">
        <f aca="false">+A49</f>
        <v>3.2</v>
      </c>
      <c r="C49" s="251"/>
      <c r="D49" s="251"/>
      <c r="E49" s="252"/>
      <c r="F49" s="253"/>
      <c r="G49" s="254"/>
      <c r="H49" s="255"/>
      <c r="I49" s="256"/>
      <c r="J49" s="257"/>
      <c r="K49" s="258"/>
      <c r="L49" s="259"/>
      <c r="M49" s="276"/>
      <c r="N49" s="277"/>
      <c r="O49" s="277"/>
      <c r="P49" s="277"/>
      <c r="Q49" s="293"/>
      <c r="R49" s="294"/>
      <c r="S49" s="294"/>
      <c r="T49" s="295"/>
      <c r="U49" s="295"/>
      <c r="V49" s="296"/>
      <c r="W49" s="296"/>
      <c r="X49" s="296"/>
      <c r="Y49" s="296"/>
      <c r="Z49" s="296"/>
      <c r="AA49" s="296"/>
      <c r="AB49" s="297"/>
      <c r="AC49" s="298"/>
      <c r="AD49" s="299"/>
      <c r="AE49" s="298"/>
      <c r="AF49" s="300"/>
      <c r="AG49" s="267"/>
      <c r="AH49" s="267"/>
      <c r="AI49" s="241"/>
      <c r="AJ49" s="241"/>
      <c r="AK49" s="266"/>
      <c r="AL49" s="266"/>
      <c r="AM49" s="268"/>
      <c r="AN49" s="250" t="n">
        <f aca="false">+AN47+0.2</f>
        <v>3.2</v>
      </c>
      <c r="AO49" s="251"/>
      <c r="AP49" s="251"/>
      <c r="AQ49" s="252"/>
      <c r="AR49" s="253"/>
      <c r="AS49" s="269" t="s">
        <v>13</v>
      </c>
      <c r="AT49" s="221"/>
      <c r="AU49" s="269"/>
      <c r="AV49" s="269"/>
      <c r="AW49" s="270" t="n">
        <f aca="false">+K49+L49</f>
        <v>0</v>
      </c>
      <c r="AX49" s="270" t="str">
        <f aca="false">IF(AS49="&gt;50","CONSISTENCIA",IF(AS49="&lt;50","COMPACIDAD"," "))</f>
        <v>COMPACIDAD</v>
      </c>
      <c r="AY49" s="225" t="str">
        <f aca="false">IF(AS49="&gt;50",AZ49,IF(AS49="&lt;50",BA49," "))</f>
        <v> </v>
      </c>
      <c r="AZ49" s="224" t="str">
        <f aca="false">IF(AW49=" "," ",IF(CC49=""," ",IF(CC49&lt;2,"MUY BLANDA",IF(CC49=2,"MUY BLANDA A BLANDA",IF(CC49&lt;4,"BLANDA",IF(CC49=4,"BLANDA A MEDIA",IF(CC49&lt;8,"MEDIA",IF(CC49=8,"MEDIA A FIRME",IF(CC49&lt;15,"FIRME",IF(CC49=15,"FIRME A MUY FIRME",IF(CC49&lt;30,"MUY FIRME",IF(CC49=30,"MUY FIRME A DURA","DURA"))))))))))))</f>
        <v> </v>
      </c>
      <c r="BA49" s="225" t="str">
        <f aca="false">IF(AW49=" "," ",IF(DC49=""," ",IF(DC49&lt;4,"MUY SUELTA",IF(DC49=4,"MUY SUELTA A SUELTA",IF(DC49&lt;10,"SUELTA",IF(DC49=10,"SUELTA A MEDIA",IF(DC49&lt;30,"MEDIA",IF(DC49=30,"MEDIA A DENSO",IF(DC49&lt;50,"DENSO",IF(DC49=50,"DENSO MUY DENSO","MUY DENSO"))))))))))</f>
        <v> </v>
      </c>
      <c r="BB49" s="226" t="str">
        <f aca="false">IF(BR50=0,"",CQ50*0.0101972)</f>
        <v/>
      </c>
      <c r="BC49" s="227" t="n">
        <f aca="false">+BC48+0.1</f>
        <v>3.2</v>
      </c>
      <c r="BD49" s="227" t="str">
        <f aca="false">IF(BC49&lt;=$AN$10,BC49,"")</f>
        <v/>
      </c>
      <c r="BE49" s="228" t="n">
        <f aca="false">ISNUMBER(BD49)</f>
        <v>0</v>
      </c>
      <c r="BF49" s="229" t="str">
        <f aca="false">MID(M49,1,1)</f>
        <v/>
      </c>
      <c r="BG49" s="230" t="str">
        <f aca="false">IF(BF49="S","",IF(BF49="G","",MID(M49,2,1)))</f>
        <v/>
      </c>
      <c r="BH49" s="231" t="str">
        <f aca="false">CONCATENATE(BF49,BG49)</f>
        <v/>
      </c>
      <c r="BI49" s="6" t="str">
        <f aca="false">IF(BE49=FALSE(),"",IF(BH49="",BI48,BH49))</f>
        <v/>
      </c>
      <c r="BJ49" s="74" t="str">
        <f aca="false">IF(OR(BI49="S",BI49="G"),BI49,"X")</f>
        <v>X</v>
      </c>
      <c r="BK49" s="74" t="s">
        <v>209</v>
      </c>
      <c r="BL49" s="302" t="e">
        <f aca="false">INDEX(sim_0,MATCH($BJ$49,granular,0))</f>
        <v>#NAME?</v>
      </c>
      <c r="BM49" s="302"/>
      <c r="BN49" s="6"/>
      <c r="BO49" s="191" t="n">
        <f aca="false">BO48+0.1</f>
        <v>3.2</v>
      </c>
      <c r="BP49" s="233" t="e">
        <f aca="false">IF(AW49=0,NA(),IF(AS49=$AX$3,ROUND(DC49,0),NA()))</f>
        <v>#N/A</v>
      </c>
      <c r="BQ49" s="31" t="e">
        <f aca="false">IF(AW49=0,NA(),IF(AS49=$AX$4,ROUND(CC49,0),NA()))</f>
        <v>#N/A</v>
      </c>
      <c r="BR49" s="234" t="n">
        <f aca="false">+AW49</f>
        <v>0</v>
      </c>
      <c r="BS49" s="235" t="str">
        <f aca="false">IF(BR49=0,"", -0.00000000016128755327*CC49^6 + 0.00000006709386362421*CC49^5 - 0.0000106217678052217*CC49^4 + 0.00081068114193385*CC49^3 - 0.0314027378159951*CC49^2 + 0.649796593937842*CC49 + 13.7888866455022)</f>
        <v/>
      </c>
      <c r="BT49" s="235" t="str">
        <f aca="false">IF(BR49=0,"",-0.00000000014625939695*CC49^6 + 0.00000004971732060241*CC49^5 - 0.000006683744342031*CC49^4 + 0.0004563177378098*CC49^3 - 0.0171727530635803*CC49^2 + 0.444529932876435*CC49 + 15.6692518940565)</f>
        <v/>
      </c>
      <c r="BU49" s="236" t="str">
        <f aca="false">IF(BR49=0,"", -0.0000000008152265738*BR49^6 + 0.00000022764320256987*BR49^5 - 0.0000248205675927705*BR49^4 + 0.00133186623684865*BR49^3 - 0.0368442570441677*BR49^2 + 0.580111565569094*BR49 + 14.0417598296107)</f>
        <v/>
      </c>
      <c r="BV49" s="236" t="str">
        <f aca="false">IF(BR49=0,"", -0.00000000004321395721*BR49^6 + 0.00000002531844275498*BR49^5 - 0.00000369428022780862*BR49^4 + 0.00020283665900125*BR49^3 - 0.00462426256803268*BR49^2 + 0.139572935065453*BR49 + 15.4475338156923)</f>
        <v/>
      </c>
      <c r="BW49" s="236" t="str">
        <f aca="false">IF(BR49=0,"",-0.00000000033126390082*BR49^6 + 0.00000010463660614506*BR49^5 - 0.0000129629592998707*BR49^4 + 0.000803946335250767*BR49^3 - 0.0270257140395994*BR49^2 + 0.562590210721552*BR49+ 12.1254107606419)</f>
        <v/>
      </c>
      <c r="BX49" s="236" t="str">
        <f aca="false">IF(BR49=0,"",-0.00000000002593504955*BR49^6 + 0.00000002430495156704*BR49^5 - 0.00000386103271086364*BR49^4 + 0.000214416118986322*BR49^3 - 0.0047271462612021*BR49^2 + 0.156696175741135*BR49 + 15.4598891949502)</f>
        <v/>
      </c>
      <c r="BY49" s="234" t="str">
        <f aca="false">IF(BR49=0,"",$BS$2)</f>
        <v/>
      </c>
      <c r="BZ49" s="234" t="str">
        <f aca="false">IF(BR49=0,"",$BS$3)</f>
        <v/>
      </c>
      <c r="CA49" s="234" t="str">
        <f aca="false">IF(BR49=0,"",$BS$4)</f>
        <v/>
      </c>
      <c r="CB49" s="235" t="str">
        <f aca="false">IF(BR49=0,"",IF(AND(BO49&gt;=0,BO49&lt;4),0.75,IF(AND(BO49&gt;=4,BO49&lt;6),0.85,IF(AND(BO49&gt;=6,BO49&lt;=10),0.95,1))))</f>
        <v/>
      </c>
      <c r="CC49" s="234" t="str">
        <f aca="false">IF(BR49=0,"",BR49*BY49*BZ49*CA49*CB49/60)</f>
        <v/>
      </c>
      <c r="CD49" s="238" t="str">
        <f aca="false">IF(BR49=0,"",IF($S$12="NO","NO",IF($AD$12&lt;=BO49,"SI","NO")))</f>
        <v/>
      </c>
      <c r="CE49" s="235" t="n">
        <f aca="false">IF(BR49=0,0,AB49)</f>
        <v>0</v>
      </c>
      <c r="CF49" s="235" t="n">
        <f aca="false">IF(CE49&gt;0,BO49,0)</f>
        <v>0</v>
      </c>
      <c r="CG49" s="239" t="n">
        <f aca="false">IF(CF49=0,CF49+CG48,CF49)</f>
        <v>0</v>
      </c>
      <c r="CH49" s="239" t="n">
        <f aca="false">IF(CG49=CG48,CH48,ABS(CG49-CG48))</f>
        <v>0</v>
      </c>
      <c r="CI49" s="239" t="n">
        <f aca="false">+CE49*CH49</f>
        <v>0</v>
      </c>
      <c r="CJ49" s="239" t="n">
        <f aca="false">IF(CI49=0,CI49+CJ48,CI49)</f>
        <v>0</v>
      </c>
      <c r="CK49" s="239" t="n">
        <f aca="false">IF(CJ49=CJ48,CK48,ABS(CJ49+CK48))</f>
        <v>0</v>
      </c>
      <c r="CL49" s="241" t="n">
        <f aca="false">IF(CE49=0,0,CK49)</f>
        <v>0</v>
      </c>
      <c r="CM49" s="239" t="n">
        <f aca="false">IF(CE49=0,0,CH49*9.81)</f>
        <v>0</v>
      </c>
      <c r="CN49" s="239" t="n">
        <f aca="false">IF(CM49=0,CM49+CN48,CM49)</f>
        <v>0</v>
      </c>
      <c r="CO49" s="239" t="n">
        <f aca="false">IF(CN49=CN48,CO48,ABS(CN49+CO48))</f>
        <v>0</v>
      </c>
      <c r="CP49" s="241" t="n">
        <f aca="false">IF(CD49="NO",0,IF(CE49=0,0,CO49))</f>
        <v>0</v>
      </c>
      <c r="CQ49" s="244" t="str">
        <f aca="false">IF(BR49=0,"",CL49-CP49)</f>
        <v/>
      </c>
      <c r="CR49" s="244" t="str">
        <f aca="false">IF(BR49=0,"",CQ49/101.3)</f>
        <v/>
      </c>
      <c r="CS49" s="244" t="str">
        <f aca="false">IF(BR49=0,"",LOG(10/CR49))</f>
        <v/>
      </c>
      <c r="CT49" s="243" t="str">
        <f aca="false">IF(BR49=0,"",IF(SQRT(101.3/CQ49)&lt;=1.7,SQRT(101.3/CQ49),2.2/(1.2+(CQ49/101.3))))</f>
        <v/>
      </c>
      <c r="CU49" s="244" t="str">
        <f aca="false">IF(BR49=0,"",1.7/(0.7+CR49))</f>
        <v/>
      </c>
      <c r="CV49" s="244" t="str">
        <f aca="false">IF(BR49=0,"",IF(CR49&gt;=0.25,0.77*LOG(20/CR49),""))</f>
        <v/>
      </c>
      <c r="CW49" s="244" t="str">
        <f aca="false">IF(BR49=0,"",32.5/(10.2+20.3*CR49))</f>
        <v/>
      </c>
      <c r="CX49" s="244" t="str">
        <f aca="false">IF(BR49=0,"",1-1.25*LOG(CR49))</f>
        <v/>
      </c>
      <c r="CY49" s="244" t="str">
        <f aca="false">IF(BR49=0,"",IF(CR49&lt;1,1-1.41*LOG(CR49),1+0.92*LOG(CR49)))</f>
        <v/>
      </c>
      <c r="CZ49" s="244" t="str">
        <f aca="false">IF(BR49=0,"",2/(1+CR49))</f>
        <v/>
      </c>
      <c r="DA49" s="244" t="str">
        <f aca="false">IF(BR49=0,"",IF(CR49&lt;=0.75,4/(1+4*CR49),4/(3.25+CR49)))</f>
        <v/>
      </c>
      <c r="DB49" s="244" t="str">
        <f aca="false">IF(BR49=0,"",CT49)</f>
        <v/>
      </c>
      <c r="DC49" s="244" t="str">
        <f aca="false">IF(BR49=0,"",DB49*CC49)</f>
        <v/>
      </c>
      <c r="DD49" s="244"/>
      <c r="DE49" s="244" t="str">
        <f aca="false">IF(BR49=0,"",0.193*(CC49/(CQ49*0.001))^0.689)</f>
        <v/>
      </c>
      <c r="DF49" s="244" t="str">
        <f aca="false">IF(BR49=0,"",IF(AS49=$AX$4,(0.1348118*CC49 - 0.0383065)*98.0665,""))</f>
        <v/>
      </c>
      <c r="DG49" s="244" t="str">
        <f aca="false">IF(BR49=0,"",IF(AS49=$AX$4,DF49/2,""))</f>
        <v/>
      </c>
      <c r="DH49" s="244" t="str">
        <f aca="false">IF(BR49=0,"",IF(DC49&lt;=15,12*(DC49+6),40+12*(DC49-6)))</f>
        <v/>
      </c>
      <c r="DI49" s="244" t="str">
        <f aca="false">IF(BR49=0,"",IF(CD49="SI",5*(DC49+15),((3.3*(DC49+15))+(4*(DC49+12)))/2))</f>
        <v/>
      </c>
      <c r="DJ49" s="244" t="str">
        <f aca="false">IF(BR49=0,"",8*DC49)</f>
        <v/>
      </c>
      <c r="DK49" s="244" t="str">
        <f aca="false">IF(BR49=0,"",215+(10.6*DC49))</f>
        <v/>
      </c>
      <c r="DL49" s="244" t="str">
        <f aca="false">IF(BR49=0,"",10*(7.5+(0.5*DC49)))</f>
        <v/>
      </c>
      <c r="DM49" s="244" t="str">
        <f aca="false">IF(BR49=0,"",8*DC49)</f>
        <v/>
      </c>
      <c r="DN49" s="244" t="str">
        <f aca="false">IF(AW49=" "," ",IF(DC49=""," ",IF(DC49&lt;4,10*10.2,IF(DC49=4,12*10.2,IF(DC49&lt;10,17.5*10.5,IF(DC49=10,15*10.2,IF(DC49&lt;30,22.5*10.2,IF(DC49=30,35*10.2,IF(DC49&lt;50,40*10.2,IF(DC49=50,50*10.2,55*10.2))))))))))</f>
        <v> </v>
      </c>
      <c r="DO49" s="244" t="str">
        <f aca="false">IF(BR49=0,"",7*SQRT(DC49)*10.1972)</f>
        <v/>
      </c>
      <c r="DP49" s="244" t="str">
        <f aca="false">IF(BR49=0,"",IF(AS49=$AX$4,5*CC49,""))</f>
        <v/>
      </c>
      <c r="DQ49" s="244" t="str">
        <f aca="false">IF(AW49=" "," ",IF(DC49=""," ",IF(DC49&lt;2,4*10.2,IF(DC49=2,6*10.2,IF(DC49&lt;4,12*10.2,IF(DC49=4,20*10.2,IF(DC49&lt;8,30*10.2,IF(DC49=8,35*10.2,IF(DC49&lt;15,40*10.2,IF(DC49=15,42*10.2,IF(DC49&lt;30,45*10.2,IF(DC49=30,50*10.2,70*10.2))))))))))))</f>
        <v> </v>
      </c>
      <c r="DR49" s="244" t="str">
        <f aca="false">IF(BR49=0,"",IF(AS49=$AX$4,220*DP49*0.0101972,""))</f>
        <v/>
      </c>
      <c r="DS49" s="271" t="str">
        <f aca="false">IF(BR49=0,"",IF(AS49=$AX$7,(SUM(DH49:DO49)-MIN(DH49:DO49)-MAX(DH49:DO49))/6,(SUM(DO49:DR49)-MIN(DO49:DR49)-MAX(DO49:DR49))/2))</f>
        <v/>
      </c>
      <c r="DT49" s="244" t="str">
        <f aca="false">IF(AW49=" "," ",IF(DC49=""," ",IF(DC49&lt;4,0.2,IF(DC49=4,0.27,IF(DC49&lt;10,0.33,IF(DC49=10,0.35,IF(DC49&lt;30,0.36,IF(DC49=30,0.37,IF(DC49&lt;50,0.38,IF(DC49=50,0.4,0.45))))))))))</f>
        <v> </v>
      </c>
      <c r="DU49" s="272" t="str">
        <f aca="false">IF(AW49=" "," ",IF(CC49=""," ",IF(CC49&lt;2,0.2,IF(CC49=2,0.23,IF(CC49&lt;4,0.26,IF(CC49=4,0.29,IF(CC49&lt;8,0.32,IF(CC49=8,0.35,IF(CC49&lt;15,0.38,IF(CC49=15,0.41,IF(CC49&lt;30,0.44,IF(CC49=30,0.47,0.5))))))))))))</f>
        <v> </v>
      </c>
      <c r="DV49" s="244" t="str">
        <f aca="false">IF(BR49=0,"",IF(AS49=$AX$3,DT49,DU49))</f>
        <v/>
      </c>
      <c r="DW49" s="244" t="str">
        <f aca="false">IF(BR49=0,"",IF(DC49&gt;15,15+0.5*(DC49-15),DC49))</f>
        <v/>
      </c>
      <c r="DX49" s="244" t="str">
        <f aca="false">IF(BR49=0,"",IF($S$12="SI",IF(CD49="NO",IF($AD$12&gt;(BO49+1.5*$ED$15),1,0.5),0.5),1))</f>
        <v/>
      </c>
      <c r="DY49" s="244" t="str">
        <f aca="false">IF(BR49=0,"",IF($S$12="SI",IF(CD49="NO",IF($AD$12&gt;(BO49+1.5*$EE$15),1,0.5),0.5),1))</f>
        <v/>
      </c>
      <c r="DZ49" s="244" t="str">
        <f aca="false">IF(BR49=0,"",IF($S$12="SI",IF(CD49="NO",IF($AD$12&gt;(BO49+1.5*$EF$15),1,0.5),0.5),1))</f>
        <v/>
      </c>
      <c r="EA49" s="244" t="str">
        <f aca="false">IF(BR49=0,"",IF($S$12="SI",IF(CD49="NO",IF($AD$12&gt;(BO49+1.5*$ED$15),1,0.5),IF($AD$12=BO49,1,0.5)),1))</f>
        <v/>
      </c>
      <c r="EB49" s="244" t="str">
        <f aca="false">IF(BR49=0,"",IF($S$12="SI",IF(CD49="NO",IF($AD$12&gt;(BO49+1.5*$EE$15),1,0.5),IF($AD$12=BO49,1,0.5)),1))</f>
        <v/>
      </c>
      <c r="EC49" s="244" t="str">
        <f aca="false">IF(BR49=0,"",IF($S$12="SI",IF(CD49="NO",IF($AD$12&gt;(BO49+1.5*$EF$15),1,0.5),IF($AD$12=BO49,1,0.5)),1))</f>
        <v/>
      </c>
      <c r="ED49" s="244" t="str">
        <f aca="false">IF(BR49=0,"",(DW49*($ED$15/10)*(DX49+EA49*(BO49/$ED$15))*1)/3)</f>
        <v/>
      </c>
      <c r="EE49" s="244" t="str">
        <f aca="false">IF(BR49=0,"",(DW49*($EE$15/10)*(DY49+EB49*(BO49/$EE$15))*1)/3)</f>
        <v/>
      </c>
      <c r="EF49" s="244" t="str">
        <f aca="false">IF(BR49=0,"",(DW49*($EF$15/10)*(DZ49+EC49*(BO49/$EF$15))*1)/3)</f>
        <v/>
      </c>
      <c r="EG49" s="273" t="str">
        <f aca="false">IF(BR49=0,"",IF(CD49="SI",0.5,1))</f>
        <v/>
      </c>
      <c r="EH49" s="244" t="str">
        <f aca="false">IF(BR49=0,"",IF((1+0.33*(BO49/$ED$15))&lt;=1.33,(1+0.33*(BO49/$ED$15)),1.33))</f>
        <v/>
      </c>
      <c r="EI49" s="244" t="str">
        <f aca="false">IF(BR49=0,"",IF((1+0.33*(BO49/$EE$15))&lt;=1.33,(1+0.33*(BO49/$EE$15)),1.33))</f>
        <v/>
      </c>
      <c r="EJ49" s="244" t="str">
        <f aca="false">IF(BR49=0,"",IF((1+0.33*(BO49/$EF$15))&lt;=1.33,(1+0.33*(BO49/$EF$15)),1.33))</f>
        <v/>
      </c>
      <c r="EK49" s="244" t="str">
        <f aca="false">IF(BR49=0,"",IF($ED$15&lt;=1.2,((20*DC49*EG49*EH49)/3)*0.010197,((12.5*DC49*((($ED$15+0.3)^2)/$ED$15)*EG49*EH49)/3)*0.010197))</f>
        <v/>
      </c>
      <c r="EL49" s="244" t="str">
        <f aca="false">IF(BR49=0,"",IF($EE$15&lt;=1.2,((20*DC49*EG49*EI49)/3)*0.010197,((12.5*DC49*((($EE$15+0.3)^2)/$EE$15)*EG49*EI49)/3)*0.010197))</f>
        <v/>
      </c>
      <c r="EM49" s="244" t="str">
        <f aca="false">IF(BR49=0,"",IF($EF$15&lt;=1.2,((20*DC49*EG49*EJ49)/3)*0.010197,((12.5*DC49*((($EF$15+0.3)^2)/$EF$15)*EG49*EJ49)/3)*0.010197))</f>
        <v/>
      </c>
      <c r="EN49" s="248" t="str">
        <f aca="false">IF(BR49=0,"",SQRT(12*CC49)+25)</f>
        <v/>
      </c>
      <c r="EO49" s="248" t="str">
        <f aca="false">IF(BR49=0,"",28.5+0.25*CC49)</f>
        <v/>
      </c>
      <c r="EP49" s="248" t="str">
        <f aca="false">IF(BR49=0,"",SQRT(20*CC49)+15)</f>
        <v/>
      </c>
      <c r="EQ49" s="248" t="str">
        <f aca="false">IF(BR49=0,"",23.7+0.57*CC49-0.0006*CC49*CC49)</f>
        <v/>
      </c>
      <c r="ER49" s="248" t="str">
        <f aca="false">IF(BR49=0,"",15+SQRT(12.5*DC49))</f>
        <v/>
      </c>
      <c r="ES49" s="248" t="str">
        <f aca="false">IF(BR49=0,"",3.5*SQRT(CC49)+20)</f>
        <v/>
      </c>
      <c r="ET49" s="248" t="str">
        <f aca="false">IF(BR49=0,"",27.1+0.3*DC49-0.00054*DC49*DC49)</f>
        <v/>
      </c>
      <c r="EU49" s="248" t="str">
        <f aca="false">IF(BR49=0,"",SQRT(20*CC49)+20)</f>
        <v/>
      </c>
      <c r="EV49" s="248" t="str">
        <f aca="false">IF(BR49=0,"",12.79+SQRT(25.86*CC49))</f>
        <v/>
      </c>
      <c r="EW49" s="248" t="str">
        <f aca="false">IF(BR49=0,"",DEGREES(_xlfn.ACOT((CC49/(12.2+20.3*CR49))^0.34)))</f>
        <v/>
      </c>
      <c r="EX49" s="248" t="str">
        <f aca="false">IF(BR49=0,"",24+(5.77*LN(0.17*DC49)))</f>
        <v/>
      </c>
      <c r="EY49" s="248" t="str">
        <f aca="false">IF(BR49=0,"",(SUM(EN49:EX49)-MIN(EN49:EX49)-MAX(EN49:EX49))/9)</f>
        <v/>
      </c>
      <c r="EZ49" s="248" t="str">
        <f aca="false">IF(BR49=0,"", -0.0000000034*CC49^6 + 0.0000008305*CC49^5 - 0.0000741842*CC49^4 + 0.0030204278*CC49^3 - 0.0541594733*CC49^2 + 0.8083147848*CC49 - 0.6182191243)</f>
        <v/>
      </c>
      <c r="FA49" s="249" t="str">
        <f aca="false">IF(BR49=0,"",(0.134811827956989*CC49 - 0.0383064516129019)/2)</f>
        <v/>
      </c>
      <c r="FB49" s="249" t="str">
        <f aca="false">IF(BR49=0,"",CC49*0.065)</f>
        <v/>
      </c>
      <c r="FC49" s="249" t="str">
        <f aca="false">IF(BR49=0,"",(CC49*0.12*0.48)*SQRT((1+SIN(EZ49*((2*PI())/360))/(1-SIN(EZ49*((2*PI())/360))))))</f>
        <v/>
      </c>
      <c r="FD49" s="249" t="str">
        <f aca="false">IF(BR49=0,"",(CC49/8)/2)</f>
        <v/>
      </c>
      <c r="FE49" s="249" t="str">
        <f aca="false">IF(BR49=0,"",(SUM(FA49:FD49)-MIN(FA49:FD49)-MAX(FA49:FD49))/2)</f>
        <v/>
      </c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</row>
    <row r="50" customFormat="false" ht="9.75" hidden="false" customHeight="true" outlineLevel="0" collapsed="false">
      <c r="A50" s="197" t="n">
        <f aca="false">ROUND(A49+0.1,1)</f>
        <v>3.3</v>
      </c>
      <c r="B50" s="250"/>
      <c r="C50" s="251"/>
      <c r="D50" s="251"/>
      <c r="E50" s="199"/>
      <c r="F50" s="200"/>
      <c r="G50" s="279"/>
      <c r="H50" s="280"/>
      <c r="I50" s="280"/>
      <c r="J50" s="257"/>
      <c r="K50" s="258"/>
      <c r="L50" s="259"/>
      <c r="M50" s="276"/>
      <c r="N50" s="277"/>
      <c r="O50" s="277"/>
      <c r="P50" s="277"/>
      <c r="Q50" s="293"/>
      <c r="R50" s="294"/>
      <c r="S50" s="294"/>
      <c r="T50" s="295"/>
      <c r="U50" s="295"/>
      <c r="V50" s="296"/>
      <c r="W50" s="296"/>
      <c r="X50" s="296"/>
      <c r="Y50" s="296"/>
      <c r="Z50" s="296"/>
      <c r="AA50" s="296"/>
      <c r="AB50" s="297"/>
      <c r="AC50" s="298"/>
      <c r="AD50" s="299"/>
      <c r="AE50" s="298"/>
      <c r="AF50" s="300"/>
      <c r="AG50" s="267"/>
      <c r="AH50" s="267"/>
      <c r="AI50" s="241"/>
      <c r="AJ50" s="241"/>
      <c r="AK50" s="266"/>
      <c r="AL50" s="266"/>
      <c r="AM50" s="268"/>
      <c r="AN50" s="250"/>
      <c r="AO50" s="251"/>
      <c r="AP50" s="251"/>
      <c r="AQ50" s="199"/>
      <c r="AR50" s="200"/>
      <c r="AS50" s="269" t="s">
        <v>13</v>
      </c>
      <c r="AT50" s="221"/>
      <c r="AU50" s="269"/>
      <c r="AV50" s="269"/>
      <c r="AW50" s="270" t="n">
        <f aca="false">+K50+L50</f>
        <v>0</v>
      </c>
      <c r="AX50" s="270" t="str">
        <f aca="false">IF(AS50="&gt;50","CONSISTENCIA",IF(AS50="&lt;50","COMPACIDAD"," "))</f>
        <v>COMPACIDAD</v>
      </c>
      <c r="AY50" s="225" t="str">
        <f aca="false">IF(AS50="&gt;50",AZ50,IF(AS50="&lt;50",BA50," "))</f>
        <v> </v>
      </c>
      <c r="AZ50" s="224" t="str">
        <f aca="false">IF(AW50=" "," ",IF(CC50=""," ",IF(CC50&lt;2,"MUY BLANDA",IF(CC50=2,"MUY BLANDA A BLANDA",IF(CC50&lt;4,"BLANDA",IF(CC50=4,"BLANDA A MEDIA",IF(CC50&lt;8,"MEDIA",IF(CC50=8,"MEDIA A FIRME",IF(CC50&lt;15,"FIRME",IF(CC50=15,"FIRME A MUY FIRME",IF(CC50&lt;30,"MUY FIRME",IF(CC50=30,"MUY FIRME A DURA","DURA"))))))))))))</f>
        <v> </v>
      </c>
      <c r="BA50" s="225" t="str">
        <f aca="false">IF(AW50=" "," ",IF(DC50=""," ",IF(DC50&lt;4,"MUY SUELTA",IF(DC50=4,"MUY SUELTA A SUELTA",IF(DC50&lt;10,"SUELTA",IF(DC50=10,"SUELTA A MEDIA",IF(DC50&lt;30,"MEDIA",IF(DC50=30,"MEDIA A DENSO",IF(DC50&lt;50,"DENSO",IF(DC50=50,"DENSO MUY DENSO","MUY DENSO"))))))))))</f>
        <v> </v>
      </c>
      <c r="BB50" s="226" t="str">
        <f aca="false">IF(BR51=0,"",CQ51*0.0101972)</f>
        <v/>
      </c>
      <c r="BC50" s="227" t="n">
        <f aca="false">+BC49+0.1</f>
        <v>3.3</v>
      </c>
      <c r="BD50" s="227" t="str">
        <f aca="false">IF(BC50&lt;=$AN$10,BC50,"")</f>
        <v/>
      </c>
      <c r="BE50" s="228" t="n">
        <f aca="false">ISNUMBER(BD50)</f>
        <v>0</v>
      </c>
      <c r="BF50" s="229" t="str">
        <f aca="false">MID(M50,1,1)</f>
        <v/>
      </c>
      <c r="BG50" s="230" t="str">
        <f aca="false">IF(BF50="S","",IF(BF50="G","",MID(M50,2,1)))</f>
        <v/>
      </c>
      <c r="BH50" s="231" t="str">
        <f aca="false">CONCATENATE(BF50,BG50)</f>
        <v/>
      </c>
      <c r="BI50" s="6" t="str">
        <f aca="false">IF(BE50=FALSE(),"",IF(BH50="",BI49,BH50))</f>
        <v/>
      </c>
      <c r="BJ50" s="74" t="str">
        <f aca="false">IF(OR(BI50="S",BI50="G"),BI50,"X")</f>
        <v>X</v>
      </c>
      <c r="BK50" s="74" t="s">
        <v>210</v>
      </c>
      <c r="BL50" s="302" t="e">
        <f aca="false">INDEX(sim_0,MATCH($BJ$50,granular,0))</f>
        <v>#NAME?</v>
      </c>
      <c r="BM50" s="302"/>
      <c r="BN50" s="6"/>
      <c r="BO50" s="191" t="n">
        <f aca="false">BO49+0.1</f>
        <v>3.3</v>
      </c>
      <c r="BP50" s="233" t="e">
        <f aca="false">IF(AW50=0,NA(),IF(AS50=$AX$3,ROUND(DC50,0),NA()))</f>
        <v>#N/A</v>
      </c>
      <c r="BQ50" s="31" t="e">
        <f aca="false">IF(AW50=0,NA(),IF(AS50=$AX$4,ROUND(CC50,0),NA()))</f>
        <v>#N/A</v>
      </c>
      <c r="BR50" s="234" t="n">
        <f aca="false">+AW50</f>
        <v>0</v>
      </c>
      <c r="BS50" s="235" t="str">
        <f aca="false">IF(BR50=0,"", -0.00000000016128755327*CC50^6 + 0.00000006709386362421*CC50^5 - 0.0000106217678052217*CC50^4 + 0.00081068114193385*CC50^3 - 0.0314027378159951*CC50^2 + 0.649796593937842*CC50 + 13.7888866455022)</f>
        <v/>
      </c>
      <c r="BT50" s="235" t="str">
        <f aca="false">IF(BR50=0,"",-0.00000000014625939695*CC50^6 + 0.00000004971732060241*CC50^5 - 0.000006683744342031*CC50^4 + 0.0004563177378098*CC50^3 - 0.0171727530635803*CC50^2 + 0.444529932876435*CC50 + 15.6692518940565)</f>
        <v/>
      </c>
      <c r="BU50" s="236" t="str">
        <f aca="false">IF(BR50=0,"", -0.0000000008152265738*BR50^6 + 0.00000022764320256987*BR50^5 - 0.0000248205675927705*BR50^4 + 0.00133186623684865*BR50^3 - 0.0368442570441677*BR50^2 + 0.580111565569094*BR50 + 14.0417598296107)</f>
        <v/>
      </c>
      <c r="BV50" s="236" t="str">
        <f aca="false">IF(BR50=0,"", -0.00000000004321395721*BR50^6 + 0.00000002531844275498*BR50^5 - 0.00000369428022780862*BR50^4 + 0.00020283665900125*BR50^3 - 0.00462426256803268*BR50^2 + 0.139572935065453*BR50 + 15.4475338156923)</f>
        <v/>
      </c>
      <c r="BW50" s="236" t="str">
        <f aca="false">IF(BR50=0,"",-0.00000000033126390082*BR50^6 + 0.00000010463660614506*BR50^5 - 0.0000129629592998707*BR50^4 + 0.000803946335250767*BR50^3 - 0.0270257140395994*BR50^2 + 0.562590210721552*BR50+ 12.1254107606419)</f>
        <v/>
      </c>
      <c r="BX50" s="236" t="str">
        <f aca="false">IF(BR50=0,"",-0.00000000002593504955*BR50^6 + 0.00000002430495156704*BR50^5 - 0.00000386103271086364*BR50^4 + 0.000214416118986322*BR50^3 - 0.0047271462612021*BR50^2 + 0.156696175741135*BR50 + 15.4598891949502)</f>
        <v/>
      </c>
      <c r="BY50" s="234" t="str">
        <f aca="false">IF(BR50=0,"",$BS$2)</f>
        <v/>
      </c>
      <c r="BZ50" s="234" t="str">
        <f aca="false">IF(BR50=0,"",$BS$3)</f>
        <v/>
      </c>
      <c r="CA50" s="234" t="str">
        <f aca="false">IF(BR50=0,"",$BS$4)</f>
        <v/>
      </c>
      <c r="CB50" s="235" t="str">
        <f aca="false">IF(BR50=0,"",IF(AND(BO50&gt;=0,BO50&lt;4),0.75,IF(AND(BO50&gt;=4,BO50&lt;6),0.85,IF(AND(BO50&gt;=6,BO50&lt;=10),0.95,1))))</f>
        <v/>
      </c>
      <c r="CC50" s="234" t="str">
        <f aca="false">IF(BR50=0,"",BR50*BY50*BZ50*CA50*CB50/60)</f>
        <v/>
      </c>
      <c r="CD50" s="238" t="str">
        <f aca="false">IF(BR50=0,"",IF($S$12="NO","NO",IF($AD$12&lt;=BO50,"SI","NO")))</f>
        <v/>
      </c>
      <c r="CE50" s="235" t="n">
        <f aca="false">IF(BR50=0,0,AB50)</f>
        <v>0</v>
      </c>
      <c r="CF50" s="235" t="n">
        <f aca="false">IF(CE50&gt;0,BO50,0)</f>
        <v>0</v>
      </c>
      <c r="CG50" s="239" t="n">
        <f aca="false">IF(CF50=0,CF50+CG49,CF50)</f>
        <v>0</v>
      </c>
      <c r="CH50" s="239" t="n">
        <f aca="false">IF(CG50=CG49,CH49,ABS(CG50-CG49))</f>
        <v>0</v>
      </c>
      <c r="CI50" s="239" t="n">
        <f aca="false">+CE50*CH50</f>
        <v>0</v>
      </c>
      <c r="CJ50" s="239" t="n">
        <f aca="false">IF(CI50=0,CI50+CJ49,CI50)</f>
        <v>0</v>
      </c>
      <c r="CK50" s="239" t="n">
        <f aca="false">IF(CJ50=CJ49,CK49,ABS(CJ50+CK49))</f>
        <v>0</v>
      </c>
      <c r="CL50" s="241" t="n">
        <f aca="false">IF(CE50=0,0,CK50)</f>
        <v>0</v>
      </c>
      <c r="CM50" s="239" t="n">
        <f aca="false">IF(CE50=0,0,CH50*9.81)</f>
        <v>0</v>
      </c>
      <c r="CN50" s="239" t="n">
        <f aca="false">IF(CM50=0,CM50+CN49,CM50)</f>
        <v>0</v>
      </c>
      <c r="CO50" s="239" t="n">
        <f aca="false">IF(CN50=CN49,CO49,ABS(CN50+CO49))</f>
        <v>0</v>
      </c>
      <c r="CP50" s="241" t="n">
        <f aca="false">IF(CD50="NO",0,IF(CE50=0,0,CO50))</f>
        <v>0</v>
      </c>
      <c r="CQ50" s="244" t="str">
        <f aca="false">IF(BR50=0,"",CL50-CP50)</f>
        <v/>
      </c>
      <c r="CR50" s="244" t="str">
        <f aca="false">IF(BR50=0,"",CQ50/101.3)</f>
        <v/>
      </c>
      <c r="CS50" s="244" t="str">
        <f aca="false">IF(BR50=0,"",LOG(10/CR50))</f>
        <v/>
      </c>
      <c r="CT50" s="243" t="str">
        <f aca="false">IF(BR50=0,"",IF(SQRT(101.3/CQ50)&lt;=1.7,SQRT(101.3/CQ50),2.2/(1.2+(CQ50/101.3))))</f>
        <v/>
      </c>
      <c r="CU50" s="244" t="str">
        <f aca="false">IF(BR50=0,"",1.7/(0.7+CR50))</f>
        <v/>
      </c>
      <c r="CV50" s="244" t="str">
        <f aca="false">IF(BR50=0,"",IF(CR50&gt;=0.25,0.77*LOG(20/CR50),""))</f>
        <v/>
      </c>
      <c r="CW50" s="244" t="str">
        <f aca="false">IF(BR50=0,"",32.5/(10.2+20.3*CR50))</f>
        <v/>
      </c>
      <c r="CX50" s="244" t="str">
        <f aca="false">IF(BR50=0,"",1-1.25*LOG(CR50))</f>
        <v/>
      </c>
      <c r="CY50" s="244" t="str">
        <f aca="false">IF(BR50=0,"",IF(CR50&lt;1,1-1.41*LOG(CR50),1+0.92*LOG(CR50)))</f>
        <v/>
      </c>
      <c r="CZ50" s="244" t="str">
        <f aca="false">IF(BR50=0,"",2/(1+CR50))</f>
        <v/>
      </c>
      <c r="DA50" s="244" t="str">
        <f aca="false">IF(BR50=0,"",IF(CR50&lt;=0.75,4/(1+4*CR50),4/(3.25+CR50)))</f>
        <v/>
      </c>
      <c r="DB50" s="244" t="str">
        <f aca="false">IF(BR50=0,"",CT50)</f>
        <v/>
      </c>
      <c r="DC50" s="244" t="str">
        <f aca="false">IF(BR50=0,"",DB50*CC50)</f>
        <v/>
      </c>
      <c r="DD50" s="244"/>
      <c r="DE50" s="244" t="str">
        <f aca="false">IF(BR50=0,"",0.193*(CC50/(CQ50*0.001))^0.689)</f>
        <v/>
      </c>
      <c r="DF50" s="244" t="str">
        <f aca="false">IF(BR50=0,"",IF(AS50=$AX$4,(0.1348118*CC50 - 0.0383065)*98.0665,""))</f>
        <v/>
      </c>
      <c r="DG50" s="244" t="str">
        <f aca="false">IF(BR50=0,"",IF(AS50=$AX$4,DF50/2,""))</f>
        <v/>
      </c>
      <c r="DH50" s="244" t="str">
        <f aca="false">IF(BR50=0,"",IF(DC50&lt;=15,12*(DC50+6),40+12*(DC50-6)))</f>
        <v/>
      </c>
      <c r="DI50" s="244" t="str">
        <f aca="false">IF(BR50=0,"",IF(CD50="SI",5*(DC50+15),((3.3*(DC50+15))+(4*(DC50+12)))/2))</f>
        <v/>
      </c>
      <c r="DJ50" s="244" t="str">
        <f aca="false">IF(BR50=0,"",8*DC50)</f>
        <v/>
      </c>
      <c r="DK50" s="244" t="str">
        <f aca="false">IF(BR50=0,"",215+(10.6*DC50))</f>
        <v/>
      </c>
      <c r="DL50" s="244" t="str">
        <f aca="false">IF(BR50=0,"",10*(7.5+(0.5*DC50)))</f>
        <v/>
      </c>
      <c r="DM50" s="244" t="str">
        <f aca="false">IF(BR50=0,"",8*DC50)</f>
        <v/>
      </c>
      <c r="DN50" s="244" t="str">
        <f aca="false">IF(AW50=" "," ",IF(DC50=""," ",IF(DC50&lt;4,10*10.2,IF(DC50=4,12*10.2,IF(DC50&lt;10,17.5*10.5,IF(DC50=10,15*10.2,IF(DC50&lt;30,22.5*10.2,IF(DC50=30,35*10.2,IF(DC50&lt;50,40*10.2,IF(DC50=50,50*10.2,55*10.2))))))))))</f>
        <v> </v>
      </c>
      <c r="DO50" s="244" t="str">
        <f aca="false">IF(BR50=0,"",7*SQRT(DC50)*10.1972)</f>
        <v/>
      </c>
      <c r="DP50" s="244" t="str">
        <f aca="false">IF(BR50=0,"",IF(AS50=$AX$4,5*CC50,""))</f>
        <v/>
      </c>
      <c r="DQ50" s="244" t="str">
        <f aca="false">IF(AW50=" "," ",IF(DC50=""," ",IF(DC50&lt;2,4*10.2,IF(DC50=2,6*10.2,IF(DC50&lt;4,12*10.2,IF(DC50=4,20*10.2,IF(DC50&lt;8,30*10.2,IF(DC50=8,35*10.2,IF(DC50&lt;15,40*10.2,IF(DC50=15,42*10.2,IF(DC50&lt;30,45*10.2,IF(DC50=30,50*10.2,70*10.2))))))))))))</f>
        <v> </v>
      </c>
      <c r="DR50" s="244" t="str">
        <f aca="false">IF(BR50=0,"",IF(AS50=$AX$4,220*DP50*0.0101972,""))</f>
        <v/>
      </c>
      <c r="DS50" s="271" t="str">
        <f aca="false">IF(BR50=0,"",IF(AS50=$AX$7,(SUM(DH50:DO50)-MIN(DH50:DO50)-MAX(DH50:DO50))/6,(SUM(DO50:DR50)-MIN(DO50:DR50)-MAX(DO50:DR50))/2))</f>
        <v/>
      </c>
      <c r="DT50" s="244" t="str">
        <f aca="false">IF(AW50=" "," ",IF(DC50=""," ",IF(DC50&lt;4,0.2,IF(DC50=4,0.27,IF(DC50&lt;10,0.33,IF(DC50=10,0.35,IF(DC50&lt;30,0.36,IF(DC50=30,0.37,IF(DC50&lt;50,0.38,IF(DC50=50,0.4,0.45))))))))))</f>
        <v> </v>
      </c>
      <c r="DU50" s="272" t="str">
        <f aca="false">IF(AW50=" "," ",IF(CC50=""," ",IF(CC50&lt;2,0.2,IF(CC50=2,0.23,IF(CC50&lt;4,0.26,IF(CC50=4,0.29,IF(CC50&lt;8,0.32,IF(CC50=8,0.35,IF(CC50&lt;15,0.38,IF(CC50=15,0.41,IF(CC50&lt;30,0.44,IF(CC50=30,0.47,0.5))))))))))))</f>
        <v> </v>
      </c>
      <c r="DV50" s="244" t="str">
        <f aca="false">IF(BR50=0,"",IF(AS50=$AX$3,DT50,DU50))</f>
        <v/>
      </c>
      <c r="DW50" s="244" t="str">
        <f aca="false">IF(BR50=0,"",IF(DC50&gt;15,15+0.5*(DC50-15),DC50))</f>
        <v/>
      </c>
      <c r="DX50" s="244" t="str">
        <f aca="false">IF(BR50=0,"",IF($S$12="SI",IF(CD50="NO",IF($AD$12&gt;(BO50+1.5*$ED$15),1,0.5),0.5),1))</f>
        <v/>
      </c>
      <c r="DY50" s="244" t="str">
        <f aca="false">IF(BR50=0,"",IF($S$12="SI",IF(CD50="NO",IF($AD$12&gt;(BO50+1.5*$EE$15),1,0.5),0.5),1))</f>
        <v/>
      </c>
      <c r="DZ50" s="244" t="str">
        <f aca="false">IF(BR50=0,"",IF($S$12="SI",IF(CD50="NO",IF($AD$12&gt;(BO50+1.5*$EF$15),1,0.5),0.5),1))</f>
        <v/>
      </c>
      <c r="EA50" s="244" t="str">
        <f aca="false">IF(BR50=0,"",IF($S$12="SI",IF(CD50="NO",IF($AD$12&gt;(BO50+1.5*$ED$15),1,0.5),IF($AD$12=BO50,1,0.5)),1))</f>
        <v/>
      </c>
      <c r="EB50" s="244" t="str">
        <f aca="false">IF(BR50=0,"",IF($S$12="SI",IF(CD50="NO",IF($AD$12&gt;(BO50+1.5*$EE$15),1,0.5),IF($AD$12=BO50,1,0.5)),1))</f>
        <v/>
      </c>
      <c r="EC50" s="244" t="str">
        <f aca="false">IF(BR50=0,"",IF($S$12="SI",IF(CD50="NO",IF($AD$12&gt;(BO50+1.5*$EF$15),1,0.5),IF($AD$12=BO50,1,0.5)),1))</f>
        <v/>
      </c>
      <c r="ED50" s="244" t="str">
        <f aca="false">IF(BR50=0,"",(DW50*($ED$15/10)*(DX50+EA50*(BO50/$ED$15))*1)/3)</f>
        <v/>
      </c>
      <c r="EE50" s="244" t="str">
        <f aca="false">IF(BR50=0,"",(DW50*($EE$15/10)*(DY50+EB50*(BO50/$EE$15))*1)/3)</f>
        <v/>
      </c>
      <c r="EF50" s="244" t="str">
        <f aca="false">IF(BR50=0,"",(DW50*($EF$15/10)*(DZ50+EC50*(BO50/$EF$15))*1)/3)</f>
        <v/>
      </c>
      <c r="EG50" s="273" t="str">
        <f aca="false">IF(BR50=0,"",IF(CD50="SI",0.5,1))</f>
        <v/>
      </c>
      <c r="EH50" s="244" t="str">
        <f aca="false">IF(BR50=0,"",IF((1+0.33*(BO50/$ED$15))&lt;=1.33,(1+0.33*(BO50/$ED$15)),1.33))</f>
        <v/>
      </c>
      <c r="EI50" s="244" t="str">
        <f aca="false">IF(BR50=0,"",IF((1+0.33*(BO50/$EE$15))&lt;=1.33,(1+0.33*(BO50/$EE$15)),1.33))</f>
        <v/>
      </c>
      <c r="EJ50" s="244" t="str">
        <f aca="false">IF(BR50=0,"",IF((1+0.33*(BO50/$EF$15))&lt;=1.33,(1+0.33*(BO50/$EF$15)),1.33))</f>
        <v/>
      </c>
      <c r="EK50" s="244" t="str">
        <f aca="false">IF(BR50=0,"",IF($ED$15&lt;=1.2,((20*DC50*EG50*EH50)/3)*0.010197,((12.5*DC50*((($ED$15+0.3)^2)/$ED$15)*EG50*EH50)/3)*0.010197))</f>
        <v/>
      </c>
      <c r="EL50" s="244" t="str">
        <f aca="false">IF(BR50=0,"",IF($EE$15&lt;=1.2,((20*DC50*EG50*EI50)/3)*0.010197,((12.5*DC50*((($EE$15+0.3)^2)/$EE$15)*EG50*EI50)/3)*0.010197))</f>
        <v/>
      </c>
      <c r="EM50" s="244" t="str">
        <f aca="false">IF(BR50=0,"",IF($EF$15&lt;=1.2,((20*DC50*EG50*EJ50)/3)*0.010197,((12.5*DC50*((($EF$15+0.3)^2)/$EF$15)*EG50*EJ50)/3)*0.010197))</f>
        <v/>
      </c>
      <c r="EN50" s="248" t="str">
        <f aca="false">IF(BR50=0,"",SQRT(12*CC50)+25)</f>
        <v/>
      </c>
      <c r="EO50" s="248" t="str">
        <f aca="false">IF(BR50=0,"",28.5+0.25*CC50)</f>
        <v/>
      </c>
      <c r="EP50" s="248" t="str">
        <f aca="false">IF(BR50=0,"",SQRT(20*CC50)+15)</f>
        <v/>
      </c>
      <c r="EQ50" s="248" t="str">
        <f aca="false">IF(BR50=0,"",23.7+0.57*CC50-0.0006*CC50*CC50)</f>
        <v/>
      </c>
      <c r="ER50" s="248" t="str">
        <f aca="false">IF(BR50=0,"",15+SQRT(12.5*DC50))</f>
        <v/>
      </c>
      <c r="ES50" s="248" t="str">
        <f aca="false">IF(BR50=0,"",3.5*SQRT(CC50)+20)</f>
        <v/>
      </c>
      <c r="ET50" s="248" t="str">
        <f aca="false">IF(BR50=0,"",27.1+0.3*DC50-0.00054*DC50*DC50)</f>
        <v/>
      </c>
      <c r="EU50" s="248" t="str">
        <f aca="false">IF(BR50=0,"",SQRT(20*CC50)+20)</f>
        <v/>
      </c>
      <c r="EV50" s="248" t="str">
        <f aca="false">IF(BR50=0,"",12.79+SQRT(25.86*CC50))</f>
        <v/>
      </c>
      <c r="EW50" s="248" t="str">
        <f aca="false">IF(BR50=0,"",DEGREES(_xlfn.ACOT((CC50/(12.2+20.3*CR50))^0.34)))</f>
        <v/>
      </c>
      <c r="EX50" s="248" t="str">
        <f aca="false">IF(BR50=0,"",24+(5.77*LN(0.17*DC50)))</f>
        <v/>
      </c>
      <c r="EY50" s="248" t="str">
        <f aca="false">IF(BR50=0,"",(SUM(EN50:EX50)-MIN(EN50:EX50)-MAX(EN50:EX50))/9)</f>
        <v/>
      </c>
      <c r="EZ50" s="248" t="str">
        <f aca="false">IF(BR50=0,"", -0.0000000034*CC50^6 + 0.0000008305*CC50^5 - 0.0000741842*CC50^4 + 0.0030204278*CC50^3 - 0.0541594733*CC50^2 + 0.8083147848*CC50 - 0.6182191243)</f>
        <v/>
      </c>
      <c r="FA50" s="249" t="str">
        <f aca="false">IF(BR50=0,"",(0.134811827956989*CC50 - 0.0383064516129019)/2)</f>
        <v/>
      </c>
      <c r="FB50" s="249" t="str">
        <f aca="false">IF(BR50=0,"",CC50*0.065)</f>
        <v/>
      </c>
      <c r="FC50" s="249" t="str">
        <f aca="false">IF(BR50=0,"",(CC50*0.12*0.48)*SQRT((1+SIN(EZ50*((2*PI())/360))/(1-SIN(EZ50*((2*PI())/360))))))</f>
        <v/>
      </c>
      <c r="FD50" s="249" t="str">
        <f aca="false">IF(BR50=0,"",(CC50/8)/2)</f>
        <v/>
      </c>
      <c r="FE50" s="249" t="str">
        <f aca="false">IF(BR50=0,"",(SUM(FA50:FD50)-MIN(FA50:FD50)-MAX(FA50:FD50))/2)</f>
        <v/>
      </c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</row>
    <row r="51" customFormat="false" ht="9.75" hidden="false" customHeight="true" outlineLevel="0" collapsed="false">
      <c r="A51" s="197" t="n">
        <f aca="false">ROUND(A50+0.1,1)</f>
        <v>3.4</v>
      </c>
      <c r="B51" s="250" t="n">
        <f aca="false">+A51</f>
        <v>3.4</v>
      </c>
      <c r="C51" s="251"/>
      <c r="D51" s="251"/>
      <c r="E51" s="274"/>
      <c r="F51" s="253"/>
      <c r="G51" s="279"/>
      <c r="H51" s="280"/>
      <c r="I51" s="280"/>
      <c r="J51" s="257"/>
      <c r="K51" s="258"/>
      <c r="L51" s="259"/>
      <c r="M51" s="276"/>
      <c r="N51" s="277"/>
      <c r="O51" s="277"/>
      <c r="P51" s="277"/>
      <c r="Q51" s="293"/>
      <c r="R51" s="294"/>
      <c r="S51" s="294"/>
      <c r="T51" s="295"/>
      <c r="U51" s="295"/>
      <c r="V51" s="296"/>
      <c r="W51" s="296"/>
      <c r="X51" s="296"/>
      <c r="Y51" s="296"/>
      <c r="Z51" s="296"/>
      <c r="AA51" s="296"/>
      <c r="AB51" s="297"/>
      <c r="AC51" s="298"/>
      <c r="AD51" s="299"/>
      <c r="AE51" s="298"/>
      <c r="AF51" s="300"/>
      <c r="AG51" s="267"/>
      <c r="AH51" s="267"/>
      <c r="AI51" s="241"/>
      <c r="AJ51" s="241"/>
      <c r="AK51" s="266"/>
      <c r="AL51" s="266"/>
      <c r="AM51" s="268"/>
      <c r="AN51" s="250" t="n">
        <f aca="false">+AN49+0.2</f>
        <v>3.4</v>
      </c>
      <c r="AO51" s="251"/>
      <c r="AP51" s="251"/>
      <c r="AQ51" s="274"/>
      <c r="AR51" s="253"/>
      <c r="AS51" s="269" t="s">
        <v>21</v>
      </c>
      <c r="AT51" s="221"/>
      <c r="AU51" s="269"/>
      <c r="AV51" s="269"/>
      <c r="AW51" s="270" t="n">
        <f aca="false">+K51+L51</f>
        <v>0</v>
      </c>
      <c r="AX51" s="270" t="str">
        <f aca="false">IF(AS51="&gt;50","CONSISTENCIA",IF(AS51="&lt;50","COMPACIDAD"," "))</f>
        <v>CONSISTENCIA</v>
      </c>
      <c r="AY51" s="225" t="str">
        <f aca="false">IF(AS51="&gt;50",AZ51,IF(AS51="&lt;50",BA51," "))</f>
        <v> </v>
      </c>
      <c r="AZ51" s="224" t="str">
        <f aca="false">IF(AW51=" "," ",IF(CC51=""," ",IF(CC51&lt;2,"MUY BLANDA",IF(CC51=2,"MUY BLANDA A BLANDA",IF(CC51&lt;4,"BLANDA",IF(CC51=4,"BLANDA A MEDIA",IF(CC51&lt;8,"MEDIA",IF(CC51=8,"MEDIA A FIRME",IF(CC51&lt;15,"FIRME",IF(CC51=15,"FIRME A MUY FIRME",IF(CC51&lt;30,"MUY FIRME",IF(CC51=30,"MUY FIRME A DURA","DURA"))))))))))))</f>
        <v> </v>
      </c>
      <c r="BA51" s="225" t="str">
        <f aca="false">IF(AW51=" "," ",IF(DC51=""," ",IF(DC51&lt;4,"MUY SUELTA",IF(DC51=4,"MUY SUELTA A SUELTA",IF(DC51&lt;10,"SUELTA",IF(DC51=10,"SUELTA A MEDIA",IF(DC51&lt;30,"MEDIA",IF(DC51=30,"MEDIA A DENSO",IF(DC51&lt;50,"DENSO",IF(DC51=50,"DENSO MUY DENSO","MUY DENSO"))))))))))</f>
        <v> </v>
      </c>
      <c r="BB51" s="226" t="str">
        <f aca="false">IF(BR52=0,"",CQ52*0.0101972)</f>
        <v/>
      </c>
      <c r="BC51" s="227" t="n">
        <f aca="false">+BC50+0.1</f>
        <v>3.4</v>
      </c>
      <c r="BD51" s="227" t="str">
        <f aca="false">IF(BC51&lt;=$AN$10,BC51,"")</f>
        <v/>
      </c>
      <c r="BE51" s="228" t="n">
        <f aca="false">ISNUMBER(BD51)</f>
        <v>0</v>
      </c>
      <c r="BF51" s="229" t="str">
        <f aca="false">MID(M51,1,1)</f>
        <v/>
      </c>
      <c r="BG51" s="230" t="str">
        <f aca="false">IF(BF51="S","",IF(BF51="G","",MID(M51,2,1)))</f>
        <v/>
      </c>
      <c r="BH51" s="231" t="str">
        <f aca="false">CONCATENATE(BF51,BG51)</f>
        <v/>
      </c>
      <c r="BI51" s="6" t="str">
        <f aca="false">IF(BE51=FALSE(),"",IF(BH51="",BI50,BH51))</f>
        <v/>
      </c>
      <c r="BJ51" s="74" t="str">
        <f aca="false">IF(OR(BI51="S",BI51="G"),BI51,"X")</f>
        <v>X</v>
      </c>
      <c r="BK51" s="74" t="s">
        <v>211</v>
      </c>
      <c r="BL51" s="302" t="e">
        <f aca="false">INDEX(sim_0,MATCH($BJ$51,granular,0))</f>
        <v>#NAME?</v>
      </c>
      <c r="BM51" s="302"/>
      <c r="BN51" s="6"/>
      <c r="BO51" s="191" t="n">
        <f aca="false">BO50+0.1</f>
        <v>3.4</v>
      </c>
      <c r="BP51" s="233" t="e">
        <f aca="false">IF(AW51=0,NA(),IF(AS51=$AX$3,ROUND(DC51,0),NA()))</f>
        <v>#N/A</v>
      </c>
      <c r="BQ51" s="31" t="e">
        <f aca="false">IF(AW51=0,NA(),IF(AS51=$AX$4,ROUND(CC51,0),NA()))</f>
        <v>#N/A</v>
      </c>
      <c r="BR51" s="234" t="n">
        <f aca="false">+AW51</f>
        <v>0</v>
      </c>
      <c r="BS51" s="235" t="str">
        <f aca="false">IF(BR51=0,"", -0.00000000016128755327*CC51^6 + 0.00000006709386362421*CC51^5 - 0.0000106217678052217*CC51^4 + 0.00081068114193385*CC51^3 - 0.0314027378159951*CC51^2 + 0.649796593937842*CC51 + 13.7888866455022)</f>
        <v/>
      </c>
      <c r="BT51" s="235" t="str">
        <f aca="false">IF(BR51=0,"",-0.00000000014625939695*CC51^6 + 0.00000004971732060241*CC51^5 - 0.000006683744342031*CC51^4 + 0.0004563177378098*CC51^3 - 0.0171727530635803*CC51^2 + 0.444529932876435*CC51 + 15.6692518940565)</f>
        <v/>
      </c>
      <c r="BU51" s="236" t="str">
        <f aca="false">IF(BR51=0,"", -0.0000000008152265738*BR51^6 + 0.00000022764320256987*BR51^5 - 0.0000248205675927705*BR51^4 + 0.00133186623684865*BR51^3 - 0.0368442570441677*BR51^2 + 0.580111565569094*BR51 + 14.0417598296107)</f>
        <v/>
      </c>
      <c r="BV51" s="236" t="str">
        <f aca="false">IF(BR51=0,"", -0.00000000004321395721*BR51^6 + 0.00000002531844275498*BR51^5 - 0.00000369428022780862*BR51^4 + 0.00020283665900125*BR51^3 - 0.00462426256803268*BR51^2 + 0.139572935065453*BR51 + 15.4475338156923)</f>
        <v/>
      </c>
      <c r="BW51" s="236" t="str">
        <f aca="false">IF(BR51=0,"",-0.00000000033126390082*BR51^6 + 0.00000010463660614506*BR51^5 - 0.0000129629592998707*BR51^4 + 0.000803946335250767*BR51^3 - 0.0270257140395994*BR51^2 + 0.562590210721552*BR51+ 12.1254107606419)</f>
        <v/>
      </c>
      <c r="BX51" s="236" t="str">
        <f aca="false">IF(BR51=0,"",-0.00000000002593504955*BR51^6 + 0.00000002430495156704*BR51^5 - 0.00000386103271086364*BR51^4 + 0.000214416118986322*BR51^3 - 0.0047271462612021*BR51^2 + 0.156696175741135*BR51 + 15.4598891949502)</f>
        <v/>
      </c>
      <c r="BY51" s="234" t="str">
        <f aca="false">IF(BR51=0,"",$BS$2)</f>
        <v/>
      </c>
      <c r="BZ51" s="234" t="str">
        <f aca="false">IF(BR51=0,"",$BS$3)</f>
        <v/>
      </c>
      <c r="CA51" s="234" t="str">
        <f aca="false">IF(BR51=0,"",$BS$4)</f>
        <v/>
      </c>
      <c r="CB51" s="235" t="str">
        <f aca="false">IF(BR51=0,"",IF(AND(BO51&gt;=0,BO51&lt;4),0.75,IF(AND(BO51&gt;=4,BO51&lt;6),0.85,IF(AND(BO51&gt;=6,BO51&lt;=10),0.95,1))))</f>
        <v/>
      </c>
      <c r="CC51" s="234" t="str">
        <f aca="false">IF(BR51=0,"",BR51*BY51*BZ51*CA51*CB51/60)</f>
        <v/>
      </c>
      <c r="CD51" s="238" t="str">
        <f aca="false">IF(BR51=0,"",IF($S$12="NO","NO",IF($AD$12&lt;=BO51,"SI","NO")))</f>
        <v/>
      </c>
      <c r="CE51" s="235" t="n">
        <f aca="false">IF(BR51=0,0,AB51)</f>
        <v>0</v>
      </c>
      <c r="CF51" s="235" t="n">
        <f aca="false">IF(CE51&gt;0,BO51,0)</f>
        <v>0</v>
      </c>
      <c r="CG51" s="239" t="n">
        <f aca="false">IF(CF51=0,CF51+CG50,CF51)</f>
        <v>0</v>
      </c>
      <c r="CH51" s="239" t="n">
        <f aca="false">IF(CG51=CG50,CH50,ABS(CG51-CG50))</f>
        <v>0</v>
      </c>
      <c r="CI51" s="239" t="n">
        <f aca="false">+CE51*CH51</f>
        <v>0</v>
      </c>
      <c r="CJ51" s="239" t="n">
        <f aca="false">IF(CI51=0,CI51+CJ50,CI51)</f>
        <v>0</v>
      </c>
      <c r="CK51" s="239" t="n">
        <f aca="false">IF(CJ51=CJ50,CK50,ABS(CJ51+CK50))</f>
        <v>0</v>
      </c>
      <c r="CL51" s="241" t="n">
        <f aca="false">IF(CE51=0,0,CK51)</f>
        <v>0</v>
      </c>
      <c r="CM51" s="239" t="n">
        <f aca="false">IF(CE51=0,0,CH51*9.81)</f>
        <v>0</v>
      </c>
      <c r="CN51" s="239" t="n">
        <f aca="false">IF(CM51=0,CM51+CN50,CM51)</f>
        <v>0</v>
      </c>
      <c r="CO51" s="239" t="n">
        <f aca="false">IF(CN51=CN50,CO50,ABS(CN51+CO50))</f>
        <v>0</v>
      </c>
      <c r="CP51" s="241" t="n">
        <f aca="false">IF(CD51="NO",0,IF(CE51=0,0,CO51))</f>
        <v>0</v>
      </c>
      <c r="CQ51" s="244" t="str">
        <f aca="false">IF(BR51=0,"",CL51-CP51)</f>
        <v/>
      </c>
      <c r="CR51" s="244" t="str">
        <f aca="false">IF(BR51=0,"",CQ51/101.3)</f>
        <v/>
      </c>
      <c r="CS51" s="244" t="str">
        <f aca="false">IF(BR51=0,"",LOG(10/CR51))</f>
        <v/>
      </c>
      <c r="CT51" s="243" t="str">
        <f aca="false">IF(BR51=0,"",IF(SQRT(101.3/CQ51)&lt;=1.7,SQRT(101.3/CQ51),2.2/(1.2+(CQ51/101.3))))</f>
        <v/>
      </c>
      <c r="CU51" s="244" t="str">
        <f aca="false">IF(BR51=0,"",1.7/(0.7+CR51))</f>
        <v/>
      </c>
      <c r="CV51" s="244" t="str">
        <f aca="false">IF(BR51=0,"",IF(CR51&gt;=0.25,0.77*LOG(20/CR51),""))</f>
        <v/>
      </c>
      <c r="CW51" s="244" t="str">
        <f aca="false">IF(BR51=0,"",32.5/(10.2+20.3*CR51))</f>
        <v/>
      </c>
      <c r="CX51" s="244" t="str">
        <f aca="false">IF(BR51=0,"",1-1.25*LOG(CR51))</f>
        <v/>
      </c>
      <c r="CY51" s="244" t="str">
        <f aca="false">IF(BR51=0,"",IF(CR51&lt;1,1-1.41*LOG(CR51),1+0.92*LOG(CR51)))</f>
        <v/>
      </c>
      <c r="CZ51" s="244" t="str">
        <f aca="false">IF(BR51=0,"",2/(1+CR51))</f>
        <v/>
      </c>
      <c r="DA51" s="244" t="str">
        <f aca="false">IF(BR51=0,"",IF(CR51&lt;=0.75,4/(1+4*CR51),4/(3.25+CR51)))</f>
        <v/>
      </c>
      <c r="DB51" s="244" t="str">
        <f aca="false">IF(BR51=0,"",CT51)</f>
        <v/>
      </c>
      <c r="DC51" s="244" t="str">
        <f aca="false">IF(BR51=0,"",DB51*CC51)</f>
        <v/>
      </c>
      <c r="DD51" s="244"/>
      <c r="DE51" s="244" t="str">
        <f aca="false">IF(BR51=0,"",0.193*(CC51/(CQ51*0.001))^0.689)</f>
        <v/>
      </c>
      <c r="DF51" s="244" t="str">
        <f aca="false">IF(BR51=0,"",IF(AS51=$AX$4,(0.1348118*CC51 - 0.0383065)*98.0665,""))</f>
        <v/>
      </c>
      <c r="DG51" s="244" t="str">
        <f aca="false">IF(BR51=0,"",IF(AS51=$AX$4,DF51/2,""))</f>
        <v/>
      </c>
      <c r="DH51" s="244" t="str">
        <f aca="false">IF(BR51=0,"",IF(DC51&lt;=15,12*(DC51+6),40+12*(DC51-6)))</f>
        <v/>
      </c>
      <c r="DI51" s="244" t="str">
        <f aca="false">IF(BR51=0,"",IF(CD51="SI",5*(DC51+15),((3.3*(DC51+15))+(4*(DC51+12)))/2))</f>
        <v/>
      </c>
      <c r="DJ51" s="244" t="str">
        <f aca="false">IF(BR51=0,"",8*DC51)</f>
        <v/>
      </c>
      <c r="DK51" s="244" t="str">
        <f aca="false">IF(BR51=0,"",215+(10.6*DC51))</f>
        <v/>
      </c>
      <c r="DL51" s="244" t="str">
        <f aca="false">IF(BR51=0,"",10*(7.5+(0.5*DC51)))</f>
        <v/>
      </c>
      <c r="DM51" s="244" t="str">
        <f aca="false">IF(BR51=0,"",8*DC51)</f>
        <v/>
      </c>
      <c r="DN51" s="244" t="str">
        <f aca="false">IF(AW51=" "," ",IF(DC51=""," ",IF(DC51&lt;4,10*10.2,IF(DC51=4,12*10.2,IF(DC51&lt;10,17.5*10.5,IF(DC51=10,15*10.2,IF(DC51&lt;30,22.5*10.2,IF(DC51=30,35*10.2,IF(DC51&lt;50,40*10.2,IF(DC51=50,50*10.2,55*10.2))))))))))</f>
        <v> </v>
      </c>
      <c r="DO51" s="244" t="str">
        <f aca="false">IF(BR51=0,"",7*SQRT(DC51)*10.1972)</f>
        <v/>
      </c>
      <c r="DP51" s="244" t="str">
        <f aca="false">IF(BR51=0,"",IF(AS51=$AX$4,5*CC51,""))</f>
        <v/>
      </c>
      <c r="DQ51" s="244" t="str">
        <f aca="false">IF(AW51=" "," ",IF(DC51=""," ",IF(DC51&lt;2,4*10.2,IF(DC51=2,6*10.2,IF(DC51&lt;4,12*10.2,IF(DC51=4,20*10.2,IF(DC51&lt;8,30*10.2,IF(DC51=8,35*10.2,IF(DC51&lt;15,40*10.2,IF(DC51=15,42*10.2,IF(DC51&lt;30,45*10.2,IF(DC51=30,50*10.2,70*10.2))))))))))))</f>
        <v> </v>
      </c>
      <c r="DR51" s="244" t="str">
        <f aca="false">IF(BR51=0,"",IF(AS51=$AX$4,220*DP51*0.0101972,""))</f>
        <v/>
      </c>
      <c r="DS51" s="271" t="str">
        <f aca="false">IF(BR51=0,"",IF(AS51=$AX$7,(SUM(DH51:DO51)-MIN(DH51:DO51)-MAX(DH51:DO51))/6,(SUM(DO51:DR51)-MIN(DO51:DR51)-MAX(DO51:DR51))/2))</f>
        <v/>
      </c>
      <c r="DT51" s="244" t="str">
        <f aca="false">IF(AW51=" "," ",IF(DC51=""," ",IF(DC51&lt;4,0.2,IF(DC51=4,0.27,IF(DC51&lt;10,0.33,IF(DC51=10,0.35,IF(DC51&lt;30,0.36,IF(DC51=30,0.37,IF(DC51&lt;50,0.38,IF(DC51=50,0.4,0.45))))))))))</f>
        <v> </v>
      </c>
      <c r="DU51" s="272" t="str">
        <f aca="false">IF(AW51=" "," ",IF(CC51=""," ",IF(CC51&lt;2,0.2,IF(CC51=2,0.23,IF(CC51&lt;4,0.26,IF(CC51=4,0.29,IF(CC51&lt;8,0.32,IF(CC51=8,0.35,IF(CC51&lt;15,0.38,IF(CC51=15,0.41,IF(CC51&lt;30,0.44,IF(CC51=30,0.47,0.5))))))))))))</f>
        <v> </v>
      </c>
      <c r="DV51" s="244" t="str">
        <f aca="false">IF(BR51=0,"",IF(AS51=$AX$3,DT51,DU51))</f>
        <v/>
      </c>
      <c r="DW51" s="244" t="str">
        <f aca="false">IF(BR51=0,"",IF(DC51&gt;15,15+0.5*(DC51-15),DC51))</f>
        <v/>
      </c>
      <c r="DX51" s="244" t="str">
        <f aca="false">IF(BR51=0,"",IF($S$12="SI",IF(CD51="NO",IF($AD$12&gt;(BO51+1.5*$ED$15),1,0.5),0.5),1))</f>
        <v/>
      </c>
      <c r="DY51" s="244" t="str">
        <f aca="false">IF(BR51=0,"",IF($S$12="SI",IF(CD51="NO",IF($AD$12&gt;(BO51+1.5*$EE$15),1,0.5),0.5),1))</f>
        <v/>
      </c>
      <c r="DZ51" s="244" t="str">
        <f aca="false">IF(BR51=0,"",IF($S$12="SI",IF(CD51="NO",IF($AD$12&gt;(BO51+1.5*$EF$15),1,0.5),0.5),1))</f>
        <v/>
      </c>
      <c r="EA51" s="244" t="str">
        <f aca="false">IF(BR51=0,"",IF($S$12="SI",IF(CD51="NO",IF($AD$12&gt;(BO51+1.5*$ED$15),1,0.5),IF($AD$12=BO51,1,0.5)),1))</f>
        <v/>
      </c>
      <c r="EB51" s="244" t="str">
        <f aca="false">IF(BR51=0,"",IF($S$12="SI",IF(CD51="NO",IF($AD$12&gt;(BO51+1.5*$EE$15),1,0.5),IF($AD$12=BO51,1,0.5)),1))</f>
        <v/>
      </c>
      <c r="EC51" s="244" t="str">
        <f aca="false">IF(BR51=0,"",IF($S$12="SI",IF(CD51="NO",IF($AD$12&gt;(BO51+1.5*$EF$15),1,0.5),IF($AD$12=BO51,1,0.5)),1))</f>
        <v/>
      </c>
      <c r="ED51" s="244" t="str">
        <f aca="false">IF(BR51=0,"",(DW51*($ED$15/10)*(DX51+EA51*(BO51/$ED$15))*1)/3)</f>
        <v/>
      </c>
      <c r="EE51" s="244" t="str">
        <f aca="false">IF(BR51=0,"",(DW51*($EE$15/10)*(DY51+EB51*(BO51/$EE$15))*1)/3)</f>
        <v/>
      </c>
      <c r="EF51" s="244" t="str">
        <f aca="false">IF(BR51=0,"",(DW51*($EF$15/10)*(DZ51+EC51*(BO51/$EF$15))*1)/3)</f>
        <v/>
      </c>
      <c r="EG51" s="273" t="str">
        <f aca="false">IF(BR51=0,"",IF(CD51="SI",0.5,1))</f>
        <v/>
      </c>
      <c r="EH51" s="244" t="str">
        <f aca="false">IF(BR51=0,"",IF((1+0.33*(BO51/$ED$15))&lt;=1.33,(1+0.33*(BO51/$ED$15)),1.33))</f>
        <v/>
      </c>
      <c r="EI51" s="244" t="str">
        <f aca="false">IF(BR51=0,"",IF((1+0.33*(BO51/$EE$15))&lt;=1.33,(1+0.33*(BO51/$EE$15)),1.33))</f>
        <v/>
      </c>
      <c r="EJ51" s="244" t="str">
        <f aca="false">IF(BR51=0,"",IF((1+0.33*(BO51/$EF$15))&lt;=1.33,(1+0.33*(BO51/$EF$15)),1.33))</f>
        <v/>
      </c>
      <c r="EK51" s="244" t="str">
        <f aca="false">IF(BR51=0,"",IF($ED$15&lt;=1.2,((20*DC51*EG51*EH51)/3)*0.010197,((12.5*DC51*((($ED$15+0.3)^2)/$ED$15)*EG51*EH51)/3)*0.010197))</f>
        <v/>
      </c>
      <c r="EL51" s="244" t="str">
        <f aca="false">IF(BR51=0,"",IF($EE$15&lt;=1.2,((20*DC51*EG51*EI51)/3)*0.010197,((12.5*DC51*((($EE$15+0.3)^2)/$EE$15)*EG51*EI51)/3)*0.010197))</f>
        <v/>
      </c>
      <c r="EM51" s="244" t="str">
        <f aca="false">IF(BR51=0,"",IF($EF$15&lt;=1.2,((20*DC51*EG51*EJ51)/3)*0.010197,((12.5*DC51*((($EF$15+0.3)^2)/$EF$15)*EG51*EJ51)/3)*0.010197))</f>
        <v/>
      </c>
      <c r="EN51" s="248" t="str">
        <f aca="false">IF(BR51=0,"",SQRT(12*CC51)+25)</f>
        <v/>
      </c>
      <c r="EO51" s="248" t="str">
        <f aca="false">IF(BR51=0,"",28.5+0.25*CC51)</f>
        <v/>
      </c>
      <c r="EP51" s="248" t="str">
        <f aca="false">IF(BR51=0,"",SQRT(20*CC51)+15)</f>
        <v/>
      </c>
      <c r="EQ51" s="248" t="str">
        <f aca="false">IF(BR51=0,"",23.7+0.57*CC51-0.0006*CC51*CC51)</f>
        <v/>
      </c>
      <c r="ER51" s="248" t="str">
        <f aca="false">IF(BR51=0,"",15+SQRT(12.5*DC51))</f>
        <v/>
      </c>
      <c r="ES51" s="248" t="str">
        <f aca="false">IF(BR51=0,"",3.5*SQRT(CC51)+20)</f>
        <v/>
      </c>
      <c r="ET51" s="248" t="str">
        <f aca="false">IF(BR51=0,"",27.1+0.3*DC51-0.00054*DC51*DC51)</f>
        <v/>
      </c>
      <c r="EU51" s="248" t="str">
        <f aca="false">IF(BR51=0,"",SQRT(20*CC51)+20)</f>
        <v/>
      </c>
      <c r="EV51" s="248" t="str">
        <f aca="false">IF(BR51=0,"",12.79+SQRT(25.86*CC51))</f>
        <v/>
      </c>
      <c r="EW51" s="248" t="str">
        <f aca="false">IF(BR51=0,"",DEGREES(_xlfn.ACOT((CC51/(12.2+20.3*CR51))^0.34)))</f>
        <v/>
      </c>
      <c r="EX51" s="248" t="str">
        <f aca="false">IF(BR51=0,"",24+(5.77*LN(0.17*DC51)))</f>
        <v/>
      </c>
      <c r="EY51" s="248" t="str">
        <f aca="false">IF(BR51=0,"",(SUM(EN51:EX51)-MIN(EN51:EX51)-MAX(EN51:EX51))/9)</f>
        <v/>
      </c>
      <c r="EZ51" s="248" t="str">
        <f aca="false">IF(BR51=0,"", -0.0000000034*CC51^6 + 0.0000008305*CC51^5 - 0.0000741842*CC51^4 + 0.0030204278*CC51^3 - 0.0541594733*CC51^2 + 0.8083147848*CC51 - 0.6182191243)</f>
        <v/>
      </c>
      <c r="FA51" s="249" t="str">
        <f aca="false">IF(BR51=0,"",(0.134811827956989*CC51 - 0.0383064516129019)/2)</f>
        <v/>
      </c>
      <c r="FB51" s="249" t="str">
        <f aca="false">IF(BR51=0,"",CC51*0.065)</f>
        <v/>
      </c>
      <c r="FC51" s="249" t="str">
        <f aca="false">IF(BR51=0,"",(CC51*0.12*0.48)*SQRT((1+SIN(EZ51*((2*PI())/360))/(1-SIN(EZ51*((2*PI())/360))))))</f>
        <v/>
      </c>
      <c r="FD51" s="249" t="str">
        <f aca="false">IF(BR51=0,"",(CC51/8)/2)</f>
        <v/>
      </c>
      <c r="FE51" s="249" t="str">
        <f aca="false">IF(BR51=0,"",(SUM(FA51:FD51)-MIN(FA51:FD51)-MAX(FA51:FD51))/2)</f>
        <v/>
      </c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</row>
    <row r="52" customFormat="false" ht="9.75" hidden="false" customHeight="true" outlineLevel="0" collapsed="false">
      <c r="A52" s="197" t="n">
        <f aca="false">ROUND(A51+0.1,1)</f>
        <v>3.5</v>
      </c>
      <c r="B52" s="250"/>
      <c r="C52" s="251"/>
      <c r="D52" s="251"/>
      <c r="E52" s="199"/>
      <c r="F52" s="200"/>
      <c r="G52" s="254"/>
      <c r="H52" s="284"/>
      <c r="I52" s="285"/>
      <c r="J52" s="257"/>
      <c r="K52" s="258"/>
      <c r="L52" s="259"/>
      <c r="M52" s="276"/>
      <c r="N52" s="277"/>
      <c r="O52" s="277"/>
      <c r="P52" s="277"/>
      <c r="Q52" s="293"/>
      <c r="R52" s="294"/>
      <c r="S52" s="294"/>
      <c r="T52" s="295"/>
      <c r="U52" s="295"/>
      <c r="V52" s="296"/>
      <c r="W52" s="296"/>
      <c r="X52" s="296"/>
      <c r="Y52" s="296"/>
      <c r="Z52" s="296"/>
      <c r="AA52" s="296"/>
      <c r="AB52" s="297"/>
      <c r="AC52" s="298"/>
      <c r="AD52" s="299"/>
      <c r="AE52" s="298"/>
      <c r="AF52" s="300"/>
      <c r="AG52" s="267"/>
      <c r="AH52" s="267"/>
      <c r="AI52" s="241"/>
      <c r="AJ52" s="241"/>
      <c r="AK52" s="266"/>
      <c r="AL52" s="266"/>
      <c r="AM52" s="268"/>
      <c r="AN52" s="250"/>
      <c r="AO52" s="251"/>
      <c r="AP52" s="251"/>
      <c r="AQ52" s="199"/>
      <c r="AR52" s="200"/>
      <c r="AS52" s="269" t="s">
        <v>13</v>
      </c>
      <c r="AT52" s="221" t="s">
        <v>54</v>
      </c>
      <c r="AU52" s="269"/>
      <c r="AV52" s="269"/>
      <c r="AW52" s="270" t="n">
        <f aca="false">+K52+L52</f>
        <v>0</v>
      </c>
      <c r="AX52" s="270" t="str">
        <f aca="false">IF(AS52="&gt;50","CONSISTENCIA",IF(AS52="&lt;50","COMPACIDAD"," "))</f>
        <v>COMPACIDAD</v>
      </c>
      <c r="AY52" s="225" t="str">
        <f aca="false">IF(AS52="&gt;50",AZ52,IF(AS52="&lt;50",BA52," "))</f>
        <v> </v>
      </c>
      <c r="AZ52" s="224" t="str">
        <f aca="false">IF(AW52=" "," ",IF(CC52=""," ",IF(CC52&lt;2,"MUY BLANDA",IF(CC52=2,"MUY BLANDA A BLANDA",IF(CC52&lt;4,"BLANDA",IF(CC52=4,"BLANDA A MEDIA",IF(CC52&lt;8,"MEDIA",IF(CC52=8,"MEDIA A FIRME",IF(CC52&lt;15,"FIRME",IF(CC52=15,"FIRME A MUY FIRME",IF(CC52&lt;30,"MUY FIRME",IF(CC52=30,"MUY FIRME A DURA","DURA"))))))))))))</f>
        <v> </v>
      </c>
      <c r="BA52" s="225" t="str">
        <f aca="false">IF(AW52=" "," ",IF(DC52=""," ",IF(DC52&lt;4,"MUY SUELTA",IF(DC52=4,"MUY SUELTA A SUELTA",IF(DC52&lt;10,"SUELTA",IF(DC52=10,"SUELTA A MEDIA",IF(DC52&lt;30,"MEDIA",IF(DC52=30,"MEDIA A DENSO",IF(DC52&lt;50,"DENSO",IF(DC52=50,"DENSO MUY DENSO","MUY DENSO"))))))))))</f>
        <v> </v>
      </c>
      <c r="BB52" s="226" t="str">
        <f aca="false">IF(BR53=0,"",CQ53*0.0101972)</f>
        <v/>
      </c>
      <c r="BC52" s="227" t="n">
        <f aca="false">+BC51+0.1</f>
        <v>3.5</v>
      </c>
      <c r="BD52" s="227" t="str">
        <f aca="false">IF(BC52&lt;=$AN$10,BC52,"")</f>
        <v/>
      </c>
      <c r="BE52" s="228" t="n">
        <f aca="false">ISNUMBER(BD52)</f>
        <v>0</v>
      </c>
      <c r="BF52" s="229" t="str">
        <f aca="false">MID(M52,1,1)</f>
        <v/>
      </c>
      <c r="BG52" s="230" t="str">
        <f aca="false">IF(BF52="S","",IF(BF52="G","",MID(M52,2,1)))</f>
        <v/>
      </c>
      <c r="BH52" s="231" t="str">
        <f aca="false">CONCATENATE(BF52,BG52)</f>
        <v/>
      </c>
      <c r="BI52" s="6" t="str">
        <f aca="false">IF(BE52=FALSE(),"",IF(BH52="",BI51,BH52))</f>
        <v/>
      </c>
      <c r="BJ52" s="74" t="str">
        <f aca="false">IF(OR(BI52="S",BI52="G"),BI52,"X")</f>
        <v>X</v>
      </c>
      <c r="BK52" s="74" t="s">
        <v>212</v>
      </c>
      <c r="BL52" s="302" t="e">
        <f aca="false">INDEX(sim_0,MATCH($BJ$52,granular,0))</f>
        <v>#NAME?</v>
      </c>
      <c r="BM52" s="302"/>
      <c r="BN52" s="6"/>
      <c r="BO52" s="191" t="n">
        <f aca="false">BO51+0.1</f>
        <v>3.5</v>
      </c>
      <c r="BP52" s="233" t="e">
        <f aca="false">IF(AW52=0,NA(),IF(AS52=$AX$3,ROUND(DC52,0),NA()))</f>
        <v>#N/A</v>
      </c>
      <c r="BQ52" s="31" t="e">
        <f aca="false">IF(AW52=0,NA(),IF(AS52=$AX$4,ROUND(CC52,0),NA()))</f>
        <v>#N/A</v>
      </c>
      <c r="BR52" s="234" t="n">
        <f aca="false">+AW52</f>
        <v>0</v>
      </c>
      <c r="BS52" s="235" t="str">
        <f aca="false">IF(BR52=0,"", -0.00000000016128755327*CC52^6 + 0.00000006709386362421*CC52^5 - 0.0000106217678052217*CC52^4 + 0.00081068114193385*CC52^3 - 0.0314027378159951*CC52^2 + 0.649796593937842*CC52 + 13.7888866455022)</f>
        <v/>
      </c>
      <c r="BT52" s="235" t="str">
        <f aca="false">IF(BR52=0,"",-0.00000000014625939695*CC52^6 + 0.00000004971732060241*CC52^5 - 0.000006683744342031*CC52^4 + 0.0004563177378098*CC52^3 - 0.0171727530635803*CC52^2 + 0.444529932876435*CC52 + 15.6692518940565)</f>
        <v/>
      </c>
      <c r="BU52" s="236" t="str">
        <f aca="false">IF(BR52=0,"", -0.0000000008152265738*BR52^6 + 0.00000022764320256987*BR52^5 - 0.0000248205675927705*BR52^4 + 0.00133186623684865*BR52^3 - 0.0368442570441677*BR52^2 + 0.580111565569094*BR52 + 14.0417598296107)</f>
        <v/>
      </c>
      <c r="BV52" s="236" t="str">
        <f aca="false">IF(BR52=0,"", -0.00000000004321395721*BR52^6 + 0.00000002531844275498*BR52^5 - 0.00000369428022780862*BR52^4 + 0.00020283665900125*BR52^3 - 0.00462426256803268*BR52^2 + 0.139572935065453*BR52 + 15.4475338156923)</f>
        <v/>
      </c>
      <c r="BW52" s="236" t="str">
        <f aca="false">IF(BR52=0,"",-0.00000000033126390082*BR52^6 + 0.00000010463660614506*BR52^5 - 0.0000129629592998707*BR52^4 + 0.000803946335250767*BR52^3 - 0.0270257140395994*BR52^2 + 0.562590210721552*BR52+ 12.1254107606419)</f>
        <v/>
      </c>
      <c r="BX52" s="236" t="str">
        <f aca="false">IF(BR52=0,"",-0.00000000002593504955*BR52^6 + 0.00000002430495156704*BR52^5 - 0.00000386103271086364*BR52^4 + 0.000214416118986322*BR52^3 - 0.0047271462612021*BR52^2 + 0.156696175741135*BR52 + 15.4598891949502)</f>
        <v/>
      </c>
      <c r="BY52" s="234" t="str">
        <f aca="false">IF(BR52=0,"",$BS$2)</f>
        <v/>
      </c>
      <c r="BZ52" s="234" t="str">
        <f aca="false">IF(BR52=0,"",$BS$3)</f>
        <v/>
      </c>
      <c r="CA52" s="234" t="str">
        <f aca="false">IF(BR52=0,"",$BS$4)</f>
        <v/>
      </c>
      <c r="CB52" s="235" t="str">
        <f aca="false">IF(BR52=0,"",IF(AND(BO52&gt;=0,BO52&lt;4),0.75,IF(AND(BO52&gt;=4,BO52&lt;6),0.85,IF(AND(BO52&gt;=6,BO52&lt;=10),0.95,1))))</f>
        <v/>
      </c>
      <c r="CC52" s="234" t="str">
        <f aca="false">IF(BR52=0,"",BR52*BY52*BZ52*CA52*CB52/60)</f>
        <v/>
      </c>
      <c r="CD52" s="238" t="str">
        <f aca="false">IF(BR52=0,"",IF($S$12="NO","NO",IF($AD$12&lt;=BO52,"SI","NO")))</f>
        <v/>
      </c>
      <c r="CE52" s="235" t="n">
        <f aca="false">IF(BR52=0,0,AB52)</f>
        <v>0</v>
      </c>
      <c r="CF52" s="235" t="n">
        <f aca="false">IF(CE52&gt;0,BO52,0)</f>
        <v>0</v>
      </c>
      <c r="CG52" s="239" t="n">
        <f aca="false">IF(CF52=0,CF52+CG51,CF52)</f>
        <v>0</v>
      </c>
      <c r="CH52" s="239" t="n">
        <f aca="false">IF(CG52=CG51,CH51,ABS(CG52-CG51))</f>
        <v>0</v>
      </c>
      <c r="CI52" s="239" t="n">
        <f aca="false">+CE52*CH52</f>
        <v>0</v>
      </c>
      <c r="CJ52" s="239" t="n">
        <f aca="false">IF(CI52=0,CI52+CJ51,CI52)</f>
        <v>0</v>
      </c>
      <c r="CK52" s="239" t="n">
        <f aca="false">IF(CJ52=CJ51,CK51,ABS(CJ52+CK51))</f>
        <v>0</v>
      </c>
      <c r="CL52" s="241" t="n">
        <f aca="false">IF(CE52=0,0,CK52)</f>
        <v>0</v>
      </c>
      <c r="CM52" s="239" t="n">
        <f aca="false">IF(CE52=0,0,CH52*9.81)</f>
        <v>0</v>
      </c>
      <c r="CN52" s="239" t="n">
        <f aca="false">IF(CM52=0,CM52+CN51,CM52)</f>
        <v>0</v>
      </c>
      <c r="CO52" s="239" t="n">
        <f aca="false">IF(CN52=CN51,CO51,ABS(CN52+CO51))</f>
        <v>0</v>
      </c>
      <c r="CP52" s="241" t="n">
        <f aca="false">IF(CD52="NO",0,IF(CE52=0,0,CO52))</f>
        <v>0</v>
      </c>
      <c r="CQ52" s="244" t="str">
        <f aca="false">IF(BR52=0,"",CL52-CP52)</f>
        <v/>
      </c>
      <c r="CR52" s="244" t="str">
        <f aca="false">IF(BR52=0,"",CQ52/101.3)</f>
        <v/>
      </c>
      <c r="CS52" s="244" t="str">
        <f aca="false">IF(BR52=0,"",LOG(10/CR52))</f>
        <v/>
      </c>
      <c r="CT52" s="243" t="str">
        <f aca="false">IF(BR52=0,"",IF(SQRT(101.3/CQ52)&lt;=1.7,SQRT(101.3/CQ52),2.2/(1.2+(CQ52/101.3))))</f>
        <v/>
      </c>
      <c r="CU52" s="244" t="str">
        <f aca="false">IF(BR52=0,"",1.7/(0.7+CR52))</f>
        <v/>
      </c>
      <c r="CV52" s="244" t="str">
        <f aca="false">IF(BR52=0,"",IF(CR52&gt;=0.25,0.77*LOG(20/CR52),""))</f>
        <v/>
      </c>
      <c r="CW52" s="244" t="str">
        <f aca="false">IF(BR52=0,"",32.5/(10.2+20.3*CR52))</f>
        <v/>
      </c>
      <c r="CX52" s="244" t="str">
        <f aca="false">IF(BR52=0,"",1-1.25*LOG(CR52))</f>
        <v/>
      </c>
      <c r="CY52" s="244" t="str">
        <f aca="false">IF(BR52=0,"",IF(CR52&lt;1,1-1.41*LOG(CR52),1+0.92*LOG(CR52)))</f>
        <v/>
      </c>
      <c r="CZ52" s="244" t="str">
        <f aca="false">IF(BR52=0,"",2/(1+CR52))</f>
        <v/>
      </c>
      <c r="DA52" s="244" t="str">
        <f aca="false">IF(BR52=0,"",IF(CR52&lt;=0.75,4/(1+4*CR52),4/(3.25+CR52)))</f>
        <v/>
      </c>
      <c r="DB52" s="244" t="str">
        <f aca="false">IF(BR52=0,"",CT52)</f>
        <v/>
      </c>
      <c r="DC52" s="244" t="str">
        <f aca="false">IF(BR52=0,"",DB52*CC52)</f>
        <v/>
      </c>
      <c r="DD52" s="244"/>
      <c r="DE52" s="244" t="str">
        <f aca="false">IF(BR52=0,"",0.193*(CC52/(CQ52*0.001))^0.689)</f>
        <v/>
      </c>
      <c r="DF52" s="244" t="str">
        <f aca="false">IF(BR52=0,"",IF(AS52=$AX$4,(0.1348118*CC52 - 0.0383065)*98.0665,""))</f>
        <v/>
      </c>
      <c r="DG52" s="244" t="str">
        <f aca="false">IF(BR52=0,"",IF(AS52=$AX$4,DF52/2,""))</f>
        <v/>
      </c>
      <c r="DH52" s="244" t="str">
        <f aca="false">IF(BR52=0,"",IF(DC52&lt;=15,12*(DC52+6),40+12*(DC52-6)))</f>
        <v/>
      </c>
      <c r="DI52" s="244" t="str">
        <f aca="false">IF(BR52=0,"",IF(CD52="SI",5*(DC52+15),((3.3*(DC52+15))+(4*(DC52+12)))/2))</f>
        <v/>
      </c>
      <c r="DJ52" s="244" t="str">
        <f aca="false">IF(BR52=0,"",8*DC52)</f>
        <v/>
      </c>
      <c r="DK52" s="244" t="str">
        <f aca="false">IF(BR52=0,"",215+(10.6*DC52))</f>
        <v/>
      </c>
      <c r="DL52" s="244" t="str">
        <f aca="false">IF(BR52=0,"",10*(7.5+(0.5*DC52)))</f>
        <v/>
      </c>
      <c r="DM52" s="244" t="str">
        <f aca="false">IF(BR52=0,"",8*DC52)</f>
        <v/>
      </c>
      <c r="DN52" s="244" t="str">
        <f aca="false">IF(AW52=" "," ",IF(DC52=""," ",IF(DC52&lt;4,10*10.2,IF(DC52=4,12*10.2,IF(DC52&lt;10,17.5*10.5,IF(DC52=10,15*10.2,IF(DC52&lt;30,22.5*10.2,IF(DC52=30,35*10.2,IF(DC52&lt;50,40*10.2,IF(DC52=50,50*10.2,55*10.2))))))))))</f>
        <v> </v>
      </c>
      <c r="DO52" s="244" t="str">
        <f aca="false">IF(BR52=0,"",7*SQRT(DC52)*10.1972)</f>
        <v/>
      </c>
      <c r="DP52" s="244" t="str">
        <f aca="false">IF(BR52=0,"",IF(AS52=$AX$4,5*CC52,""))</f>
        <v/>
      </c>
      <c r="DQ52" s="244" t="str">
        <f aca="false">IF(AW52=" "," ",IF(DC52=""," ",IF(DC52&lt;2,4*10.2,IF(DC52=2,6*10.2,IF(DC52&lt;4,12*10.2,IF(DC52=4,20*10.2,IF(DC52&lt;8,30*10.2,IF(DC52=8,35*10.2,IF(DC52&lt;15,40*10.2,IF(DC52=15,42*10.2,IF(DC52&lt;30,45*10.2,IF(DC52=30,50*10.2,70*10.2))))))))))))</f>
        <v> </v>
      </c>
      <c r="DR52" s="244" t="str">
        <f aca="false">IF(BR52=0,"",IF(AS52=$AX$4,220*DP52*0.0101972,""))</f>
        <v/>
      </c>
      <c r="DS52" s="271" t="str">
        <f aca="false">IF(BR52=0,"",IF(AS52=$AX$7,(SUM(DH52:DO52)-MIN(DH52:DO52)-MAX(DH52:DO52))/6,(SUM(DO52:DR52)-MIN(DO52:DR52)-MAX(DO52:DR52))/2))</f>
        <v/>
      </c>
      <c r="DT52" s="244" t="str">
        <f aca="false">IF(AW52=" "," ",IF(DC52=""," ",IF(DC52&lt;4,0.2,IF(DC52=4,0.27,IF(DC52&lt;10,0.33,IF(DC52=10,0.35,IF(DC52&lt;30,0.36,IF(DC52=30,0.37,IF(DC52&lt;50,0.38,IF(DC52=50,0.4,0.45))))))))))</f>
        <v> </v>
      </c>
      <c r="DU52" s="272" t="str">
        <f aca="false">IF(AW52=" "," ",IF(CC52=""," ",IF(CC52&lt;2,0.2,IF(CC52=2,0.23,IF(CC52&lt;4,0.26,IF(CC52=4,0.29,IF(CC52&lt;8,0.32,IF(CC52=8,0.35,IF(CC52&lt;15,0.38,IF(CC52=15,0.41,IF(CC52&lt;30,0.44,IF(CC52=30,0.47,0.5))))))))))))</f>
        <v> </v>
      </c>
      <c r="DV52" s="244" t="str">
        <f aca="false">IF(BR52=0,"",IF(AS52=$AX$3,DT52,DU52))</f>
        <v/>
      </c>
      <c r="DW52" s="244" t="str">
        <f aca="false">IF(BR52=0,"",IF(DC52&gt;15,15+0.5*(DC52-15),DC52))</f>
        <v/>
      </c>
      <c r="DX52" s="244" t="str">
        <f aca="false">IF(BR52=0,"",IF($S$12="SI",IF(CD52="NO",IF($AD$12&gt;(BO52+1.5*$ED$15),1,0.5),0.5),1))</f>
        <v/>
      </c>
      <c r="DY52" s="244" t="str">
        <f aca="false">IF(BR52=0,"",IF($S$12="SI",IF(CD52="NO",IF($AD$12&gt;(BO52+1.5*$EE$15),1,0.5),0.5),1))</f>
        <v/>
      </c>
      <c r="DZ52" s="244" t="str">
        <f aca="false">IF(BR52=0,"",IF($S$12="SI",IF(CD52="NO",IF($AD$12&gt;(BO52+1.5*$EF$15),1,0.5),0.5),1))</f>
        <v/>
      </c>
      <c r="EA52" s="244" t="str">
        <f aca="false">IF(BR52=0,"",IF($S$12="SI",IF(CD52="NO",IF($AD$12&gt;(BO52+1.5*$ED$15),1,0.5),IF($AD$12=BO52,1,0.5)),1))</f>
        <v/>
      </c>
      <c r="EB52" s="244" t="str">
        <f aca="false">IF(BR52=0,"",IF($S$12="SI",IF(CD52="NO",IF($AD$12&gt;(BO52+1.5*$EE$15),1,0.5),IF($AD$12=BO52,1,0.5)),1))</f>
        <v/>
      </c>
      <c r="EC52" s="244" t="str">
        <f aca="false">IF(BR52=0,"",IF($S$12="SI",IF(CD52="NO",IF($AD$12&gt;(BO52+1.5*$EF$15),1,0.5),IF($AD$12=BO52,1,0.5)),1))</f>
        <v/>
      </c>
      <c r="ED52" s="244" t="str">
        <f aca="false">IF(BR52=0,"",(DW52*($ED$15/10)*(DX52+EA52*(BO52/$ED$15))*1)/3)</f>
        <v/>
      </c>
      <c r="EE52" s="244" t="str">
        <f aca="false">IF(BR52=0,"",(DW52*($EE$15/10)*(DY52+EB52*(BO52/$EE$15))*1)/3)</f>
        <v/>
      </c>
      <c r="EF52" s="244" t="str">
        <f aca="false">IF(BR52=0,"",(DW52*($EF$15/10)*(DZ52+EC52*(BO52/$EF$15))*1)/3)</f>
        <v/>
      </c>
      <c r="EG52" s="273" t="str">
        <f aca="false">IF(BR52=0,"",IF(CD52="SI",0.5,1))</f>
        <v/>
      </c>
      <c r="EH52" s="244" t="str">
        <f aca="false">IF(BR52=0,"",IF((1+0.33*(BO52/$ED$15))&lt;=1.33,(1+0.33*(BO52/$ED$15)),1.33))</f>
        <v/>
      </c>
      <c r="EI52" s="244" t="str">
        <f aca="false">IF(BR52=0,"",IF((1+0.33*(BO52/$EE$15))&lt;=1.33,(1+0.33*(BO52/$EE$15)),1.33))</f>
        <v/>
      </c>
      <c r="EJ52" s="244" t="str">
        <f aca="false">IF(BR52=0,"",IF((1+0.33*(BO52/$EF$15))&lt;=1.33,(1+0.33*(BO52/$EF$15)),1.33))</f>
        <v/>
      </c>
      <c r="EK52" s="244" t="str">
        <f aca="false">IF(BR52=0,"",IF($ED$15&lt;=1.2,((20*DC52*EG52*EH52)/3)*0.010197,((12.5*DC52*((($ED$15+0.3)^2)/$ED$15)*EG52*EH52)/3)*0.010197))</f>
        <v/>
      </c>
      <c r="EL52" s="244" t="str">
        <f aca="false">IF(BR52=0,"",IF($EE$15&lt;=1.2,((20*DC52*EG52*EI52)/3)*0.010197,((12.5*DC52*((($EE$15+0.3)^2)/$EE$15)*EG52*EI52)/3)*0.010197))</f>
        <v/>
      </c>
      <c r="EM52" s="244" t="str">
        <f aca="false">IF(BR52=0,"",IF($EF$15&lt;=1.2,((20*DC52*EG52*EJ52)/3)*0.010197,((12.5*DC52*((($EF$15+0.3)^2)/$EF$15)*EG52*EJ52)/3)*0.010197))</f>
        <v/>
      </c>
      <c r="EN52" s="248" t="str">
        <f aca="false">IF(BR52=0,"",SQRT(12*CC52)+25)</f>
        <v/>
      </c>
      <c r="EO52" s="248" t="str">
        <f aca="false">IF(BR52=0,"",28.5+0.25*CC52)</f>
        <v/>
      </c>
      <c r="EP52" s="248" t="str">
        <f aca="false">IF(BR52=0,"",SQRT(20*CC52)+15)</f>
        <v/>
      </c>
      <c r="EQ52" s="248" t="str">
        <f aca="false">IF(BR52=0,"",23.7+0.57*CC52-0.0006*CC52*CC52)</f>
        <v/>
      </c>
      <c r="ER52" s="248" t="str">
        <f aca="false">IF(BR52=0,"",15+SQRT(12.5*DC52))</f>
        <v/>
      </c>
      <c r="ES52" s="248" t="str">
        <f aca="false">IF(BR52=0,"",3.5*SQRT(CC52)+20)</f>
        <v/>
      </c>
      <c r="ET52" s="248" t="str">
        <f aca="false">IF(BR52=0,"",27.1+0.3*DC52-0.00054*DC52*DC52)</f>
        <v/>
      </c>
      <c r="EU52" s="248" t="str">
        <f aca="false">IF(BR52=0,"",SQRT(20*CC52)+20)</f>
        <v/>
      </c>
      <c r="EV52" s="248" t="str">
        <f aca="false">IF(BR52=0,"",12.79+SQRT(25.86*CC52))</f>
        <v/>
      </c>
      <c r="EW52" s="248" t="str">
        <f aca="false">IF(BR52=0,"",DEGREES(_xlfn.ACOT((CC52/(12.2+20.3*CR52))^0.34)))</f>
        <v/>
      </c>
      <c r="EX52" s="248" t="str">
        <f aca="false">IF(BR52=0,"",24+(5.77*LN(0.17*DC52)))</f>
        <v/>
      </c>
      <c r="EY52" s="248" t="str">
        <f aca="false">IF(BR52=0,"",(SUM(EN52:EX52)-MIN(EN52:EX52)-MAX(EN52:EX52))/9)</f>
        <v/>
      </c>
      <c r="EZ52" s="248" t="str">
        <f aca="false">IF(BR52=0,"", -0.0000000034*CC52^6 + 0.0000008305*CC52^5 - 0.0000741842*CC52^4 + 0.0030204278*CC52^3 - 0.0541594733*CC52^2 + 0.8083147848*CC52 - 0.6182191243)</f>
        <v/>
      </c>
      <c r="FA52" s="249" t="str">
        <f aca="false">IF(BR52=0,"",(0.134811827956989*CC52 - 0.0383064516129019)/2)</f>
        <v/>
      </c>
      <c r="FB52" s="249" t="str">
        <f aca="false">IF(BR52=0,"",CC52*0.065)</f>
        <v/>
      </c>
      <c r="FC52" s="249" t="str">
        <f aca="false">IF(BR52=0,"",(CC52*0.12*0.48)*SQRT((1+SIN(EZ52*((2*PI())/360))/(1-SIN(EZ52*((2*PI())/360))))))</f>
        <v/>
      </c>
      <c r="FD52" s="249" t="str">
        <f aca="false">IF(BR52=0,"",(CC52/8)/2)</f>
        <v/>
      </c>
      <c r="FE52" s="249" t="str">
        <f aca="false">IF(BR52=0,"",(SUM(FA52:FD52)-MIN(FA52:FD52)-MAX(FA52:FD52))/2)</f>
        <v/>
      </c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</row>
    <row r="53" customFormat="false" ht="9.75" hidden="false" customHeight="true" outlineLevel="0" collapsed="false">
      <c r="A53" s="197" t="n">
        <f aca="false">ROUND(A52+0.1,1)</f>
        <v>3.6</v>
      </c>
      <c r="B53" s="250" t="n">
        <f aca="false">+A53</f>
        <v>3.6</v>
      </c>
      <c r="C53" s="251"/>
      <c r="D53" s="275"/>
      <c r="E53" s="252"/>
      <c r="F53" s="253"/>
      <c r="G53" s="254"/>
      <c r="H53" s="284"/>
      <c r="I53" s="285"/>
      <c r="J53" s="257"/>
      <c r="K53" s="258"/>
      <c r="L53" s="259"/>
      <c r="M53" s="276"/>
      <c r="N53" s="277"/>
      <c r="O53" s="277"/>
      <c r="P53" s="277"/>
      <c r="Q53" s="293"/>
      <c r="R53" s="294"/>
      <c r="S53" s="294"/>
      <c r="T53" s="295"/>
      <c r="U53" s="295"/>
      <c r="V53" s="296"/>
      <c r="W53" s="296"/>
      <c r="X53" s="296"/>
      <c r="Y53" s="296"/>
      <c r="Z53" s="296"/>
      <c r="AA53" s="296"/>
      <c r="AB53" s="297"/>
      <c r="AC53" s="298"/>
      <c r="AD53" s="299"/>
      <c r="AE53" s="298"/>
      <c r="AF53" s="300"/>
      <c r="AG53" s="267"/>
      <c r="AH53" s="267"/>
      <c r="AI53" s="241"/>
      <c r="AJ53" s="241"/>
      <c r="AK53" s="266"/>
      <c r="AL53" s="266"/>
      <c r="AM53" s="268"/>
      <c r="AN53" s="250" t="n">
        <f aca="false">+AN51+0.2</f>
        <v>3.6</v>
      </c>
      <c r="AO53" s="251"/>
      <c r="AP53" s="275"/>
      <c r="AQ53" s="252"/>
      <c r="AR53" s="253"/>
      <c r="AS53" s="269" t="s">
        <v>13</v>
      </c>
      <c r="AT53" s="221"/>
      <c r="AU53" s="269"/>
      <c r="AV53" s="269"/>
      <c r="AW53" s="270" t="n">
        <f aca="false">+K53+L53</f>
        <v>0</v>
      </c>
      <c r="AX53" s="270" t="str">
        <f aca="false">IF(AS53="&gt;50","CONSISTENCIA",IF(AS53="&lt;50","COMPACIDAD"," "))</f>
        <v>COMPACIDAD</v>
      </c>
      <c r="AY53" s="225" t="str">
        <f aca="false">IF(AS53="&gt;50",AZ53,IF(AS53="&lt;50",BA53," "))</f>
        <v> </v>
      </c>
      <c r="AZ53" s="224" t="str">
        <f aca="false">IF(AW53=" "," ",IF(CC53=""," ",IF(CC53&lt;2,"MUY BLANDA",IF(CC53=2,"MUY BLANDA A BLANDA",IF(CC53&lt;4,"BLANDA",IF(CC53=4,"BLANDA A MEDIA",IF(CC53&lt;8,"MEDIA",IF(CC53=8,"MEDIA A FIRME",IF(CC53&lt;15,"FIRME",IF(CC53=15,"FIRME A MUY FIRME",IF(CC53&lt;30,"MUY FIRME",IF(CC53=30,"MUY FIRME A DURA","DURA"))))))))))))</f>
        <v> </v>
      </c>
      <c r="BA53" s="225" t="str">
        <f aca="false">IF(AW53=" "," ",IF(DC53=""," ",IF(DC53&lt;4,"MUY SUELTA",IF(DC53=4,"MUY SUELTA A SUELTA",IF(DC53&lt;10,"SUELTA",IF(DC53=10,"SUELTA A MEDIA",IF(DC53&lt;30,"MEDIA",IF(DC53=30,"MEDIA A DENSO",IF(DC53&lt;50,"DENSO",IF(DC53=50,"DENSO MUY DENSO","MUY DENSO"))))))))))</f>
        <v> </v>
      </c>
      <c r="BB53" s="226" t="str">
        <f aca="false">IF(BR54=0,"",CQ54*0.0101972)</f>
        <v/>
      </c>
      <c r="BC53" s="227" t="n">
        <f aca="false">+BC52+0.1</f>
        <v>3.6</v>
      </c>
      <c r="BD53" s="227" t="str">
        <f aca="false">IF(BC53&lt;=$AN$10,BC53,"")</f>
        <v/>
      </c>
      <c r="BE53" s="228" t="n">
        <f aca="false">ISNUMBER(BD53)</f>
        <v>0</v>
      </c>
      <c r="BF53" s="229" t="str">
        <f aca="false">MID(M53,1,1)</f>
        <v/>
      </c>
      <c r="BG53" s="230" t="str">
        <f aca="false">IF(BF53="S","",IF(BF53="G","",MID(M53,2,1)))</f>
        <v/>
      </c>
      <c r="BH53" s="231" t="str">
        <f aca="false">CONCATENATE(BF53,BG53)</f>
        <v/>
      </c>
      <c r="BI53" s="6" t="str">
        <f aca="false">IF(BE53=FALSE(),"",IF(BH53="",BI52,BH53))</f>
        <v/>
      </c>
      <c r="BJ53" s="74" t="str">
        <f aca="false">IF(OR(BI53="S",BI53="G"),BI53,"X")</f>
        <v>X</v>
      </c>
      <c r="BK53" s="74" t="s">
        <v>213</v>
      </c>
      <c r="BL53" s="302" t="e">
        <f aca="false">INDEX(sim_0,MATCH($BJ$53,granular,0))</f>
        <v>#NAME?</v>
      </c>
      <c r="BM53" s="302"/>
      <c r="BN53" s="6"/>
      <c r="BO53" s="191" t="n">
        <f aca="false">BO52+0.1</f>
        <v>3.6</v>
      </c>
      <c r="BP53" s="233" t="e">
        <f aca="false">IF(AW53=0,NA(),IF(AS53=$AX$3,ROUND(DC53,0),NA()))</f>
        <v>#N/A</v>
      </c>
      <c r="BQ53" s="31" t="e">
        <f aca="false">IF(AW53=0,NA(),IF(AS53=$AX$4,ROUND(CC53,0),NA()))</f>
        <v>#N/A</v>
      </c>
      <c r="BR53" s="234" t="n">
        <f aca="false">+AW53</f>
        <v>0</v>
      </c>
      <c r="BS53" s="235" t="str">
        <f aca="false">IF(BR53=0,"", -0.00000000016128755327*CC53^6 + 0.00000006709386362421*CC53^5 - 0.0000106217678052217*CC53^4 + 0.00081068114193385*CC53^3 - 0.0314027378159951*CC53^2 + 0.649796593937842*CC53 + 13.7888866455022)</f>
        <v/>
      </c>
      <c r="BT53" s="235" t="str">
        <f aca="false">IF(BR53=0,"",-0.00000000014625939695*CC53^6 + 0.00000004971732060241*CC53^5 - 0.000006683744342031*CC53^4 + 0.0004563177378098*CC53^3 - 0.0171727530635803*CC53^2 + 0.444529932876435*CC53 + 15.6692518940565)</f>
        <v/>
      </c>
      <c r="BU53" s="236" t="str">
        <f aca="false">IF(BR53=0,"", -0.0000000008152265738*BR53^6 + 0.00000022764320256987*BR53^5 - 0.0000248205675927705*BR53^4 + 0.00133186623684865*BR53^3 - 0.0368442570441677*BR53^2 + 0.580111565569094*BR53 + 14.0417598296107)</f>
        <v/>
      </c>
      <c r="BV53" s="236" t="str">
        <f aca="false">IF(BR53=0,"", -0.00000000004321395721*BR53^6 + 0.00000002531844275498*BR53^5 - 0.00000369428022780862*BR53^4 + 0.00020283665900125*BR53^3 - 0.00462426256803268*BR53^2 + 0.139572935065453*BR53 + 15.4475338156923)</f>
        <v/>
      </c>
      <c r="BW53" s="236" t="str">
        <f aca="false">IF(BR53=0,"",-0.00000000033126390082*BR53^6 + 0.00000010463660614506*BR53^5 - 0.0000129629592998707*BR53^4 + 0.000803946335250767*BR53^3 - 0.0270257140395994*BR53^2 + 0.562590210721552*BR53+ 12.1254107606419)</f>
        <v/>
      </c>
      <c r="BX53" s="236" t="str">
        <f aca="false">IF(BR53=0,"",-0.00000000002593504955*BR53^6 + 0.00000002430495156704*BR53^5 - 0.00000386103271086364*BR53^4 + 0.000214416118986322*BR53^3 - 0.0047271462612021*BR53^2 + 0.156696175741135*BR53 + 15.4598891949502)</f>
        <v/>
      </c>
      <c r="BY53" s="234" t="str">
        <f aca="false">IF(BR53=0,"",$BS$2)</f>
        <v/>
      </c>
      <c r="BZ53" s="234" t="str">
        <f aca="false">IF(BR53=0,"",$BS$3)</f>
        <v/>
      </c>
      <c r="CA53" s="234" t="str">
        <f aca="false">IF(BR53=0,"",$BS$4)</f>
        <v/>
      </c>
      <c r="CB53" s="235" t="str">
        <f aca="false">IF(BR53=0,"",IF(AND(BO53&gt;=0,BO53&lt;4),0.75,IF(AND(BO53&gt;=4,BO53&lt;6),0.85,IF(AND(BO53&gt;=6,BO53&lt;=10),0.95,1))))</f>
        <v/>
      </c>
      <c r="CC53" s="234" t="str">
        <f aca="false">IF(BR53=0,"",BR53*BY53*BZ53*CA53*CB53/60)</f>
        <v/>
      </c>
      <c r="CD53" s="238" t="str">
        <f aca="false">IF(BR53=0,"",IF($S$12="NO","NO",IF($AD$12&lt;=BO53,"SI","NO")))</f>
        <v/>
      </c>
      <c r="CE53" s="235" t="n">
        <f aca="false">IF(BR53=0,0,AB53)</f>
        <v>0</v>
      </c>
      <c r="CF53" s="235" t="n">
        <f aca="false">IF(CE53&gt;0,BO53,0)</f>
        <v>0</v>
      </c>
      <c r="CG53" s="239" t="n">
        <f aca="false">IF(CF53=0,CF53+CG52,CF53)</f>
        <v>0</v>
      </c>
      <c r="CH53" s="239" t="n">
        <f aca="false">IF(CG53=CG52,CH52,ABS(CG53-CG52))</f>
        <v>0</v>
      </c>
      <c r="CI53" s="239" t="n">
        <f aca="false">+CE53*CH53</f>
        <v>0</v>
      </c>
      <c r="CJ53" s="239" t="n">
        <f aca="false">IF(CI53=0,CI53+CJ52,CI53)</f>
        <v>0</v>
      </c>
      <c r="CK53" s="239" t="n">
        <f aca="false">IF(CJ53=CJ52,CK52,ABS(CJ53+CK52))</f>
        <v>0</v>
      </c>
      <c r="CL53" s="241" t="n">
        <f aca="false">IF(CE53=0,0,CK53)</f>
        <v>0</v>
      </c>
      <c r="CM53" s="239" t="n">
        <f aca="false">IF(CE53=0,0,CH53*9.81)</f>
        <v>0</v>
      </c>
      <c r="CN53" s="239" t="n">
        <f aca="false">IF(CM53=0,CM53+CN52,CM53)</f>
        <v>0</v>
      </c>
      <c r="CO53" s="239" t="n">
        <f aca="false">IF(CN53=CN52,CO52,ABS(CN53+CO52))</f>
        <v>0</v>
      </c>
      <c r="CP53" s="241" t="n">
        <f aca="false">IF(CD53="NO",0,IF(CE53=0,0,CO53))</f>
        <v>0</v>
      </c>
      <c r="CQ53" s="244" t="str">
        <f aca="false">IF(BR53=0,"",CL53-CP53)</f>
        <v/>
      </c>
      <c r="CR53" s="244" t="str">
        <f aca="false">IF(BR53=0,"",CQ53/101.3)</f>
        <v/>
      </c>
      <c r="CS53" s="244" t="str">
        <f aca="false">IF(BR53=0,"",LOG(10/CR53))</f>
        <v/>
      </c>
      <c r="CT53" s="243" t="str">
        <f aca="false">IF(BR53=0,"",IF(SQRT(101.3/CQ53)&lt;=1.7,SQRT(101.3/CQ53),2.2/(1.2+(CQ53/101.3))))</f>
        <v/>
      </c>
      <c r="CU53" s="244" t="str">
        <f aca="false">IF(BR53=0,"",1.7/(0.7+CR53))</f>
        <v/>
      </c>
      <c r="CV53" s="244" t="str">
        <f aca="false">IF(BR53=0,"",IF(CR53&gt;=0.25,0.77*LOG(20/CR53),""))</f>
        <v/>
      </c>
      <c r="CW53" s="244" t="str">
        <f aca="false">IF(BR53=0,"",32.5/(10.2+20.3*CR53))</f>
        <v/>
      </c>
      <c r="CX53" s="244" t="str">
        <f aca="false">IF(BR53=0,"",1-1.25*LOG(CR53))</f>
        <v/>
      </c>
      <c r="CY53" s="244" t="str">
        <f aca="false">IF(BR53=0,"",IF(CR53&lt;1,1-1.41*LOG(CR53),1+0.92*LOG(CR53)))</f>
        <v/>
      </c>
      <c r="CZ53" s="244" t="str">
        <f aca="false">IF(BR53=0,"",2/(1+CR53))</f>
        <v/>
      </c>
      <c r="DA53" s="244" t="str">
        <f aca="false">IF(BR53=0,"",IF(CR53&lt;=0.75,4/(1+4*CR53),4/(3.25+CR53)))</f>
        <v/>
      </c>
      <c r="DB53" s="244" t="str">
        <f aca="false">IF(BR53=0,"",CT53)</f>
        <v/>
      </c>
      <c r="DC53" s="244" t="str">
        <f aca="false">IF(BR53=0,"",DB53*CC53)</f>
        <v/>
      </c>
      <c r="DD53" s="244"/>
      <c r="DE53" s="244" t="str">
        <f aca="false">IF(BR53=0,"",0.193*(CC53/(CQ53*0.001))^0.689)</f>
        <v/>
      </c>
      <c r="DF53" s="244" t="str">
        <f aca="false">IF(BR53=0,"",IF(AS53=$AX$4,(0.1348118*CC53 - 0.0383065)*98.0665,""))</f>
        <v/>
      </c>
      <c r="DG53" s="244" t="str">
        <f aca="false">IF(BR53=0,"",IF(AS53=$AX$4,DF53/2,""))</f>
        <v/>
      </c>
      <c r="DH53" s="244" t="str">
        <f aca="false">IF(BR53=0,"",IF(DC53&lt;=15,12*(DC53+6),40+12*(DC53-6)))</f>
        <v/>
      </c>
      <c r="DI53" s="244" t="str">
        <f aca="false">IF(BR53=0,"",IF(CD53="SI",5*(DC53+15),((3.3*(DC53+15))+(4*(DC53+12)))/2))</f>
        <v/>
      </c>
      <c r="DJ53" s="244" t="str">
        <f aca="false">IF(BR53=0,"",8*DC53)</f>
        <v/>
      </c>
      <c r="DK53" s="244" t="str">
        <f aca="false">IF(BR53=0,"",215+(10.6*DC53))</f>
        <v/>
      </c>
      <c r="DL53" s="244" t="str">
        <f aca="false">IF(BR53=0,"",10*(7.5+(0.5*DC53)))</f>
        <v/>
      </c>
      <c r="DM53" s="244" t="str">
        <f aca="false">IF(BR53=0,"",8*DC53)</f>
        <v/>
      </c>
      <c r="DN53" s="244" t="str">
        <f aca="false">IF(AW53=" "," ",IF(DC53=""," ",IF(DC53&lt;4,10*10.2,IF(DC53=4,12*10.2,IF(DC53&lt;10,17.5*10.5,IF(DC53=10,15*10.2,IF(DC53&lt;30,22.5*10.2,IF(DC53=30,35*10.2,IF(DC53&lt;50,40*10.2,IF(DC53=50,50*10.2,55*10.2))))))))))</f>
        <v> </v>
      </c>
      <c r="DO53" s="244" t="str">
        <f aca="false">IF(BR53=0,"",7*SQRT(DC53)*10.1972)</f>
        <v/>
      </c>
      <c r="DP53" s="244" t="str">
        <f aca="false">IF(BR53=0,"",IF(AS53=$AX$4,5*CC53,""))</f>
        <v/>
      </c>
      <c r="DQ53" s="244" t="str">
        <f aca="false">IF(AW53=" "," ",IF(DC53=""," ",IF(DC53&lt;2,4*10.2,IF(DC53=2,6*10.2,IF(DC53&lt;4,12*10.2,IF(DC53=4,20*10.2,IF(DC53&lt;8,30*10.2,IF(DC53=8,35*10.2,IF(DC53&lt;15,40*10.2,IF(DC53=15,42*10.2,IF(DC53&lt;30,45*10.2,IF(DC53=30,50*10.2,70*10.2))))))))))))</f>
        <v> </v>
      </c>
      <c r="DR53" s="244" t="str">
        <f aca="false">IF(BR53=0,"",IF(AS53=$AX$4,220*DP53*0.0101972,""))</f>
        <v/>
      </c>
      <c r="DS53" s="271" t="str">
        <f aca="false">IF(BR53=0,"",IF(AS53=$AX$7,(SUM(DH53:DO53)-MIN(DH53:DO53)-MAX(DH53:DO53))/6,(SUM(DO53:DR53)-MIN(DO53:DR53)-MAX(DO53:DR53))/2))</f>
        <v/>
      </c>
      <c r="DT53" s="244" t="str">
        <f aca="false">IF(AW53=" "," ",IF(DC53=""," ",IF(DC53&lt;4,0.2,IF(DC53=4,0.27,IF(DC53&lt;10,0.33,IF(DC53=10,0.35,IF(DC53&lt;30,0.36,IF(DC53=30,0.37,IF(DC53&lt;50,0.38,IF(DC53=50,0.4,0.45))))))))))</f>
        <v> </v>
      </c>
      <c r="DU53" s="272" t="str">
        <f aca="false">IF(AW53=" "," ",IF(CC53=""," ",IF(CC53&lt;2,0.2,IF(CC53=2,0.23,IF(CC53&lt;4,0.26,IF(CC53=4,0.29,IF(CC53&lt;8,0.32,IF(CC53=8,0.35,IF(CC53&lt;15,0.38,IF(CC53=15,0.41,IF(CC53&lt;30,0.44,IF(CC53=30,0.47,0.5))))))))))))</f>
        <v> </v>
      </c>
      <c r="DV53" s="244" t="str">
        <f aca="false">IF(BR53=0,"",IF(AS53=$AX$3,DT53,DU53))</f>
        <v/>
      </c>
      <c r="DW53" s="244" t="str">
        <f aca="false">IF(BR53=0,"",IF(DC53&gt;15,15+0.5*(DC53-15),DC53))</f>
        <v/>
      </c>
      <c r="DX53" s="244" t="str">
        <f aca="false">IF(BR53=0,"",IF($S$12="SI",IF(CD53="NO",IF($AD$12&gt;(BO53+1.5*$ED$15),1,0.5),0.5),1))</f>
        <v/>
      </c>
      <c r="DY53" s="244" t="str">
        <f aca="false">IF(BR53=0,"",IF($S$12="SI",IF(CD53="NO",IF($AD$12&gt;(BO53+1.5*$EE$15),1,0.5),0.5),1))</f>
        <v/>
      </c>
      <c r="DZ53" s="244" t="str">
        <f aca="false">IF(BR53=0,"",IF($S$12="SI",IF(CD53="NO",IF($AD$12&gt;(BO53+1.5*$EF$15),1,0.5),0.5),1))</f>
        <v/>
      </c>
      <c r="EA53" s="244" t="str">
        <f aca="false">IF(BR53=0,"",IF($S$12="SI",IF(CD53="NO",IF($AD$12&gt;(BO53+1.5*$ED$15),1,0.5),IF($AD$12=BO53,1,0.5)),1))</f>
        <v/>
      </c>
      <c r="EB53" s="244" t="str">
        <f aca="false">IF(BR53=0,"",IF($S$12="SI",IF(CD53="NO",IF($AD$12&gt;(BO53+1.5*$EE$15),1,0.5),IF($AD$12=BO53,1,0.5)),1))</f>
        <v/>
      </c>
      <c r="EC53" s="244" t="str">
        <f aca="false">IF(BR53=0,"",IF($S$12="SI",IF(CD53="NO",IF($AD$12&gt;(BO53+1.5*$EF$15),1,0.5),IF($AD$12=BO53,1,0.5)),1))</f>
        <v/>
      </c>
      <c r="ED53" s="244" t="str">
        <f aca="false">IF(BR53=0,"",(DW53*($ED$15/10)*(DX53+EA53*(BO53/$ED$15))*1)/3)</f>
        <v/>
      </c>
      <c r="EE53" s="244" t="str">
        <f aca="false">IF(BR53=0,"",(DW53*($EE$15/10)*(DY53+EB53*(BO53/$EE$15))*1)/3)</f>
        <v/>
      </c>
      <c r="EF53" s="244" t="str">
        <f aca="false">IF(BR53=0,"",(DW53*($EF$15/10)*(DZ53+EC53*(BO53/$EF$15))*1)/3)</f>
        <v/>
      </c>
      <c r="EG53" s="273" t="str">
        <f aca="false">IF(BR53=0,"",IF(CD53="SI",0.5,1))</f>
        <v/>
      </c>
      <c r="EH53" s="244" t="str">
        <f aca="false">IF(BR53=0,"",IF((1+0.33*(BO53/$ED$15))&lt;=1.33,(1+0.33*(BO53/$ED$15)),1.33))</f>
        <v/>
      </c>
      <c r="EI53" s="244" t="str">
        <f aca="false">IF(BR53=0,"",IF((1+0.33*(BO53/$EE$15))&lt;=1.33,(1+0.33*(BO53/$EE$15)),1.33))</f>
        <v/>
      </c>
      <c r="EJ53" s="244" t="str">
        <f aca="false">IF(BR53=0,"",IF((1+0.33*(BO53/$EF$15))&lt;=1.33,(1+0.33*(BO53/$EF$15)),1.33))</f>
        <v/>
      </c>
      <c r="EK53" s="244" t="str">
        <f aca="false">IF(BR53=0,"",IF($ED$15&lt;=1.2,((20*DC53*EG53*EH53)/3)*0.010197,((12.5*DC53*((($ED$15+0.3)^2)/$ED$15)*EG53*EH53)/3)*0.010197))</f>
        <v/>
      </c>
      <c r="EL53" s="244" t="str">
        <f aca="false">IF(BR53=0,"",IF($EE$15&lt;=1.2,((20*DC53*EG53*EI53)/3)*0.010197,((12.5*DC53*((($EE$15+0.3)^2)/$EE$15)*EG53*EI53)/3)*0.010197))</f>
        <v/>
      </c>
      <c r="EM53" s="244" t="str">
        <f aca="false">IF(BR53=0,"",IF($EF$15&lt;=1.2,((20*DC53*EG53*EJ53)/3)*0.010197,((12.5*DC53*((($EF$15+0.3)^2)/$EF$15)*EG53*EJ53)/3)*0.010197))</f>
        <v/>
      </c>
      <c r="EN53" s="248" t="str">
        <f aca="false">IF(BR53=0,"",SQRT(12*CC53)+25)</f>
        <v/>
      </c>
      <c r="EO53" s="248" t="str">
        <f aca="false">IF(BR53=0,"",28.5+0.25*CC53)</f>
        <v/>
      </c>
      <c r="EP53" s="248" t="str">
        <f aca="false">IF(BR53=0,"",SQRT(20*CC53)+15)</f>
        <v/>
      </c>
      <c r="EQ53" s="248" t="str">
        <f aca="false">IF(BR53=0,"",23.7+0.57*CC53-0.0006*CC53*CC53)</f>
        <v/>
      </c>
      <c r="ER53" s="248" t="str">
        <f aca="false">IF(BR53=0,"",15+SQRT(12.5*DC53))</f>
        <v/>
      </c>
      <c r="ES53" s="248" t="str">
        <f aca="false">IF(BR53=0,"",3.5*SQRT(CC53)+20)</f>
        <v/>
      </c>
      <c r="ET53" s="248" t="str">
        <f aca="false">IF(BR53=0,"",27.1+0.3*DC53-0.00054*DC53*DC53)</f>
        <v/>
      </c>
      <c r="EU53" s="248" t="str">
        <f aca="false">IF(BR53=0,"",SQRT(20*CC53)+20)</f>
        <v/>
      </c>
      <c r="EV53" s="248" t="str">
        <f aca="false">IF(BR53=0,"",12.79+SQRT(25.86*CC53))</f>
        <v/>
      </c>
      <c r="EW53" s="248" t="str">
        <f aca="false">IF(BR53=0,"",DEGREES(_xlfn.ACOT((CC53/(12.2+20.3*CR53))^0.34)))</f>
        <v/>
      </c>
      <c r="EX53" s="248" t="str">
        <f aca="false">IF(BR53=0,"",24+(5.77*LN(0.17*DC53)))</f>
        <v/>
      </c>
      <c r="EY53" s="248" t="str">
        <f aca="false">IF(BR53=0,"",(SUM(EN53:EX53)-MIN(EN53:EX53)-MAX(EN53:EX53))/9)</f>
        <v/>
      </c>
      <c r="EZ53" s="248" t="str">
        <f aca="false">IF(BR53=0,"", -0.0000000034*CC53^6 + 0.0000008305*CC53^5 - 0.0000741842*CC53^4 + 0.0030204278*CC53^3 - 0.0541594733*CC53^2 + 0.8083147848*CC53 - 0.6182191243)</f>
        <v/>
      </c>
      <c r="FA53" s="249" t="str">
        <f aca="false">IF(BR53=0,"",(0.134811827956989*CC53 - 0.0383064516129019)/2)</f>
        <v/>
      </c>
      <c r="FB53" s="249" t="str">
        <f aca="false">IF(BR53=0,"",CC53*0.065)</f>
        <v/>
      </c>
      <c r="FC53" s="249" t="str">
        <f aca="false">IF(BR53=0,"",(CC53*0.12*0.48)*SQRT((1+SIN(EZ53*((2*PI())/360))/(1-SIN(EZ53*((2*PI())/360))))))</f>
        <v/>
      </c>
      <c r="FD53" s="249" t="str">
        <f aca="false">IF(BR53=0,"",(CC53/8)/2)</f>
        <v/>
      </c>
      <c r="FE53" s="249" t="str">
        <f aca="false">IF(BR53=0,"",(SUM(FA53:FD53)-MIN(FA53:FD53)-MAX(FA53:FD53))/2)</f>
        <v/>
      </c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</row>
    <row r="54" customFormat="false" ht="9.75" hidden="false" customHeight="true" outlineLevel="0" collapsed="false">
      <c r="A54" s="197" t="n">
        <f aca="false">ROUND(A53+0.1,1)</f>
        <v>3.7</v>
      </c>
      <c r="B54" s="250"/>
      <c r="C54" s="251"/>
      <c r="D54" s="251"/>
      <c r="E54" s="199"/>
      <c r="F54" s="200"/>
      <c r="G54" s="254"/>
      <c r="H54" s="284"/>
      <c r="I54" s="285"/>
      <c r="J54" s="257"/>
      <c r="K54" s="258"/>
      <c r="L54" s="259"/>
      <c r="M54" s="276"/>
      <c r="N54" s="277"/>
      <c r="O54" s="277"/>
      <c r="P54" s="277"/>
      <c r="Q54" s="293"/>
      <c r="R54" s="294"/>
      <c r="S54" s="294"/>
      <c r="T54" s="295"/>
      <c r="U54" s="295"/>
      <c r="V54" s="296"/>
      <c r="W54" s="296"/>
      <c r="X54" s="296"/>
      <c r="Y54" s="296"/>
      <c r="Z54" s="296"/>
      <c r="AA54" s="296"/>
      <c r="AB54" s="297"/>
      <c r="AC54" s="298"/>
      <c r="AD54" s="299"/>
      <c r="AE54" s="298"/>
      <c r="AF54" s="300"/>
      <c r="AG54" s="267"/>
      <c r="AH54" s="267"/>
      <c r="AI54" s="241"/>
      <c r="AJ54" s="241"/>
      <c r="AK54" s="266"/>
      <c r="AL54" s="266"/>
      <c r="AM54" s="268"/>
      <c r="AN54" s="250"/>
      <c r="AO54" s="251"/>
      <c r="AP54" s="251"/>
      <c r="AQ54" s="199"/>
      <c r="AR54" s="200"/>
      <c r="AS54" s="269" t="s">
        <v>13</v>
      </c>
      <c r="AT54" s="221"/>
      <c r="AU54" s="269"/>
      <c r="AV54" s="269"/>
      <c r="AW54" s="270" t="n">
        <f aca="false">+K54+L54</f>
        <v>0</v>
      </c>
      <c r="AX54" s="270" t="str">
        <f aca="false">IF(AS54="&gt;50","CONSISTENCIA",IF(AS54="&lt;50","COMPACIDAD"," "))</f>
        <v>COMPACIDAD</v>
      </c>
      <c r="AY54" s="225" t="str">
        <f aca="false">IF(AS54="&gt;50",AZ54,IF(AS54="&lt;50",BA54," "))</f>
        <v> </v>
      </c>
      <c r="AZ54" s="224" t="str">
        <f aca="false">IF(AW54=" "," ",IF(CC54=""," ",IF(CC54&lt;2,"MUY BLANDA",IF(CC54=2,"MUY BLANDA A BLANDA",IF(CC54&lt;4,"BLANDA",IF(CC54=4,"BLANDA A MEDIA",IF(CC54&lt;8,"MEDIA",IF(CC54=8,"MEDIA A FIRME",IF(CC54&lt;15,"FIRME",IF(CC54=15,"FIRME A MUY FIRME",IF(CC54&lt;30,"MUY FIRME",IF(CC54=30,"MUY FIRME A DURA","DURA"))))))))))))</f>
        <v> </v>
      </c>
      <c r="BA54" s="225" t="str">
        <f aca="false">IF(AW54=" "," ",IF(DC54=""," ",IF(DC54&lt;4,"MUY SUELTA",IF(DC54=4,"MUY SUELTA A SUELTA",IF(DC54&lt;10,"SUELTA",IF(DC54=10,"SUELTA A MEDIA",IF(DC54&lt;30,"MEDIA",IF(DC54=30,"MEDIA A DENSO",IF(DC54&lt;50,"DENSO",IF(DC54=50,"DENSO MUY DENSO","MUY DENSO"))))))))))</f>
        <v> </v>
      </c>
      <c r="BB54" s="226" t="str">
        <f aca="false">IF(BR55=0,"",CQ55*0.0101972)</f>
        <v/>
      </c>
      <c r="BC54" s="227" t="n">
        <f aca="false">+BC53+0.1</f>
        <v>3.7</v>
      </c>
      <c r="BD54" s="227" t="str">
        <f aca="false">IF(BC54&lt;=$AN$10,BC54,"")</f>
        <v/>
      </c>
      <c r="BE54" s="228" t="n">
        <f aca="false">ISNUMBER(BD54)</f>
        <v>0</v>
      </c>
      <c r="BF54" s="229" t="str">
        <f aca="false">MID(M54,1,1)</f>
        <v/>
      </c>
      <c r="BG54" s="230" t="str">
        <f aca="false">IF(BF54="S","",IF(BF54="G","",MID(M54,2,1)))</f>
        <v/>
      </c>
      <c r="BH54" s="231" t="str">
        <f aca="false">CONCATENATE(BF54,BG54)</f>
        <v/>
      </c>
      <c r="BI54" s="6" t="str">
        <f aca="false">IF(BE54=FALSE(),"",IF(BH54="",BI53,BH54))</f>
        <v/>
      </c>
      <c r="BJ54" s="74" t="str">
        <f aca="false">IF(OR(BI54="S",BI54="G"),BI54,"X")</f>
        <v>X</v>
      </c>
      <c r="BK54" s="74" t="s">
        <v>214</v>
      </c>
      <c r="BL54" s="302" t="e">
        <f aca="false">INDEX(sim_0,MATCH($BJ$54,granular,0))</f>
        <v>#NAME?</v>
      </c>
      <c r="BM54" s="302"/>
      <c r="BN54" s="6"/>
      <c r="BO54" s="191" t="n">
        <f aca="false">BO53+0.1</f>
        <v>3.7</v>
      </c>
      <c r="BP54" s="233" t="e">
        <f aca="false">IF(AW54=0,NA(),IF(AS54=$AX$3,ROUND(DC54,0),NA()))</f>
        <v>#N/A</v>
      </c>
      <c r="BQ54" s="31" t="e">
        <f aca="false">IF(AW54=0,NA(),IF(AS54=$AX$4,ROUND(CC54,0),NA()))</f>
        <v>#N/A</v>
      </c>
      <c r="BR54" s="234" t="n">
        <f aca="false">+AW54</f>
        <v>0</v>
      </c>
      <c r="BS54" s="235" t="str">
        <f aca="false">IF(BR54=0,"", -0.00000000016128755327*CC54^6 + 0.00000006709386362421*CC54^5 - 0.0000106217678052217*CC54^4 + 0.00081068114193385*CC54^3 - 0.0314027378159951*CC54^2 + 0.649796593937842*CC54 + 13.7888866455022)</f>
        <v/>
      </c>
      <c r="BT54" s="235" t="str">
        <f aca="false">IF(BR54=0,"",-0.00000000014625939695*CC54^6 + 0.00000004971732060241*CC54^5 - 0.000006683744342031*CC54^4 + 0.0004563177378098*CC54^3 - 0.0171727530635803*CC54^2 + 0.444529932876435*CC54 + 15.6692518940565)</f>
        <v/>
      </c>
      <c r="BU54" s="236" t="str">
        <f aca="false">IF(BR54=0,"", -0.0000000008152265738*BR54^6 + 0.00000022764320256987*BR54^5 - 0.0000248205675927705*BR54^4 + 0.00133186623684865*BR54^3 - 0.0368442570441677*BR54^2 + 0.580111565569094*BR54 + 14.0417598296107)</f>
        <v/>
      </c>
      <c r="BV54" s="236" t="str">
        <f aca="false">IF(BR54=0,"", -0.00000000004321395721*BR54^6 + 0.00000002531844275498*BR54^5 - 0.00000369428022780862*BR54^4 + 0.00020283665900125*BR54^3 - 0.00462426256803268*BR54^2 + 0.139572935065453*BR54 + 15.4475338156923)</f>
        <v/>
      </c>
      <c r="BW54" s="236" t="str">
        <f aca="false">IF(BR54=0,"",-0.00000000033126390082*BR54^6 + 0.00000010463660614506*BR54^5 - 0.0000129629592998707*BR54^4 + 0.000803946335250767*BR54^3 - 0.0270257140395994*BR54^2 + 0.562590210721552*BR54+ 12.1254107606419)</f>
        <v/>
      </c>
      <c r="BX54" s="236" t="str">
        <f aca="false">IF(BR54=0,"",-0.00000000002593504955*BR54^6 + 0.00000002430495156704*BR54^5 - 0.00000386103271086364*BR54^4 + 0.000214416118986322*BR54^3 - 0.0047271462612021*BR54^2 + 0.156696175741135*BR54 + 15.4598891949502)</f>
        <v/>
      </c>
      <c r="BY54" s="234" t="str">
        <f aca="false">IF(BR54=0,"",$BS$2)</f>
        <v/>
      </c>
      <c r="BZ54" s="234" t="str">
        <f aca="false">IF(BR54=0,"",$BS$3)</f>
        <v/>
      </c>
      <c r="CA54" s="234" t="str">
        <f aca="false">IF(BR54=0,"",$BS$4)</f>
        <v/>
      </c>
      <c r="CB54" s="235" t="str">
        <f aca="false">IF(BR54=0,"",IF(AND(BO54&gt;=0,BO54&lt;4),0.75,IF(AND(BO54&gt;=4,BO54&lt;6),0.85,IF(AND(BO54&gt;=6,BO54&lt;=10),0.95,1))))</f>
        <v/>
      </c>
      <c r="CC54" s="234" t="str">
        <f aca="false">IF(BR54=0,"",BR54*BY54*BZ54*CA54*CB54/60)</f>
        <v/>
      </c>
      <c r="CD54" s="238" t="str">
        <f aca="false">IF(BR54=0,"",IF($S$12="NO","NO",IF($AD$12&lt;=BO54,"SI","NO")))</f>
        <v/>
      </c>
      <c r="CE54" s="235" t="n">
        <f aca="false">IF(BR54=0,0,AB54)</f>
        <v>0</v>
      </c>
      <c r="CF54" s="235" t="n">
        <f aca="false">IF(CE54&gt;0,BO54,0)</f>
        <v>0</v>
      </c>
      <c r="CG54" s="239" t="n">
        <f aca="false">IF(CF54=0,CF54+CG53,CF54)</f>
        <v>0</v>
      </c>
      <c r="CH54" s="239" t="n">
        <f aca="false">IF(CG54=CG53,CH53,ABS(CG54-CG53))</f>
        <v>0</v>
      </c>
      <c r="CI54" s="239" t="n">
        <f aca="false">+CE54*CH54</f>
        <v>0</v>
      </c>
      <c r="CJ54" s="239" t="n">
        <f aca="false">IF(CI54=0,CI54+CJ53,CI54)</f>
        <v>0</v>
      </c>
      <c r="CK54" s="239" t="n">
        <f aca="false">IF(CJ54=CJ53,CK53,ABS(CJ54+CK53))</f>
        <v>0</v>
      </c>
      <c r="CL54" s="241" t="n">
        <f aca="false">IF(CE54=0,0,CK54)</f>
        <v>0</v>
      </c>
      <c r="CM54" s="239" t="n">
        <f aca="false">IF(CE54=0,0,CH54*9.81)</f>
        <v>0</v>
      </c>
      <c r="CN54" s="239" t="n">
        <f aca="false">IF(CM54=0,CM54+CN53,CM54)</f>
        <v>0</v>
      </c>
      <c r="CO54" s="239" t="n">
        <f aca="false">IF(CN54=CN53,CO53,ABS(CN54+CO53))</f>
        <v>0</v>
      </c>
      <c r="CP54" s="241" t="n">
        <f aca="false">IF(CD54="NO",0,IF(CE54=0,0,CO54))</f>
        <v>0</v>
      </c>
      <c r="CQ54" s="244" t="str">
        <f aca="false">IF(BR54=0,"",CL54-CP54)</f>
        <v/>
      </c>
      <c r="CR54" s="244" t="str">
        <f aca="false">IF(BR54=0,"",CQ54/101.3)</f>
        <v/>
      </c>
      <c r="CS54" s="244" t="str">
        <f aca="false">IF(BR54=0,"",LOG(10/CR54))</f>
        <v/>
      </c>
      <c r="CT54" s="243" t="str">
        <f aca="false">IF(BR54=0,"",IF(SQRT(101.3/CQ54)&lt;=1.7,SQRT(101.3/CQ54),2.2/(1.2+(CQ54/101.3))))</f>
        <v/>
      </c>
      <c r="CU54" s="244" t="str">
        <f aca="false">IF(BR54=0,"",1.7/(0.7+CR54))</f>
        <v/>
      </c>
      <c r="CV54" s="244" t="str">
        <f aca="false">IF(BR54=0,"",IF(CR54&gt;=0.25,0.77*LOG(20/CR54),""))</f>
        <v/>
      </c>
      <c r="CW54" s="244" t="str">
        <f aca="false">IF(BR54=0,"",32.5/(10.2+20.3*CR54))</f>
        <v/>
      </c>
      <c r="CX54" s="244" t="str">
        <f aca="false">IF(BR54=0,"",1-1.25*LOG(CR54))</f>
        <v/>
      </c>
      <c r="CY54" s="244" t="str">
        <f aca="false">IF(BR54=0,"",IF(CR54&lt;1,1-1.41*LOG(CR54),1+0.92*LOG(CR54)))</f>
        <v/>
      </c>
      <c r="CZ54" s="244" t="str">
        <f aca="false">IF(BR54=0,"",2/(1+CR54))</f>
        <v/>
      </c>
      <c r="DA54" s="244" t="str">
        <f aca="false">IF(BR54=0,"",IF(CR54&lt;=0.75,4/(1+4*CR54),4/(3.25+CR54)))</f>
        <v/>
      </c>
      <c r="DB54" s="244" t="str">
        <f aca="false">IF(BR54=0,"",CT54)</f>
        <v/>
      </c>
      <c r="DC54" s="244" t="str">
        <f aca="false">IF(BR54=0,"",DB54*CC54)</f>
        <v/>
      </c>
      <c r="DD54" s="244"/>
      <c r="DE54" s="244" t="str">
        <f aca="false">IF(BR54=0,"",0.193*(CC54/(CQ54*0.001))^0.689)</f>
        <v/>
      </c>
      <c r="DF54" s="244" t="str">
        <f aca="false">IF(BR54=0,"",IF(AS54=$AX$4,(0.1348118*CC54 - 0.0383065)*98.0665,""))</f>
        <v/>
      </c>
      <c r="DG54" s="244" t="str">
        <f aca="false">IF(BR54=0,"",IF(AS54=$AX$4,DF54/2,""))</f>
        <v/>
      </c>
      <c r="DH54" s="244" t="str">
        <f aca="false">IF(BR54=0,"",IF(DC54&lt;=15,12*(DC54+6),40+12*(DC54-6)))</f>
        <v/>
      </c>
      <c r="DI54" s="244" t="str">
        <f aca="false">IF(BR54=0,"",IF(CD54="SI",5*(DC54+15),((3.3*(DC54+15))+(4*(DC54+12)))/2))</f>
        <v/>
      </c>
      <c r="DJ54" s="244" t="str">
        <f aca="false">IF(BR54=0,"",8*DC54)</f>
        <v/>
      </c>
      <c r="DK54" s="244" t="str">
        <f aca="false">IF(BR54=0,"",215+(10.6*DC54))</f>
        <v/>
      </c>
      <c r="DL54" s="244" t="str">
        <f aca="false">IF(BR54=0,"",10*(7.5+(0.5*DC54)))</f>
        <v/>
      </c>
      <c r="DM54" s="244" t="str">
        <f aca="false">IF(BR54=0,"",8*DC54)</f>
        <v/>
      </c>
      <c r="DN54" s="244" t="str">
        <f aca="false">IF(AW54=" "," ",IF(DC54=""," ",IF(DC54&lt;4,10*10.2,IF(DC54=4,12*10.2,IF(DC54&lt;10,17.5*10.5,IF(DC54=10,15*10.2,IF(DC54&lt;30,22.5*10.2,IF(DC54=30,35*10.2,IF(DC54&lt;50,40*10.2,IF(DC54=50,50*10.2,55*10.2))))))))))</f>
        <v> </v>
      </c>
      <c r="DO54" s="244" t="str">
        <f aca="false">IF(BR54=0,"",7*SQRT(DC54)*10.1972)</f>
        <v/>
      </c>
      <c r="DP54" s="244" t="str">
        <f aca="false">IF(BR54=0,"",IF(AS54=$AX$4,5*CC54,""))</f>
        <v/>
      </c>
      <c r="DQ54" s="244" t="str">
        <f aca="false">IF(AW54=" "," ",IF(DC54=""," ",IF(DC54&lt;2,4*10.2,IF(DC54=2,6*10.2,IF(DC54&lt;4,12*10.2,IF(DC54=4,20*10.2,IF(DC54&lt;8,30*10.2,IF(DC54=8,35*10.2,IF(DC54&lt;15,40*10.2,IF(DC54=15,42*10.2,IF(DC54&lt;30,45*10.2,IF(DC54=30,50*10.2,70*10.2))))))))))))</f>
        <v> </v>
      </c>
      <c r="DR54" s="244" t="str">
        <f aca="false">IF(BR54=0,"",IF(AS54=$AX$4,220*DP54*0.0101972,""))</f>
        <v/>
      </c>
      <c r="DS54" s="271" t="str">
        <f aca="false">IF(BR54=0,"",IF(AS54=$AX$7,(SUM(DH54:DO54)-MIN(DH54:DO54)-MAX(DH54:DO54))/6,(SUM(DO54:DR54)-MIN(DO54:DR54)-MAX(DO54:DR54))/2))</f>
        <v/>
      </c>
      <c r="DT54" s="244" t="str">
        <f aca="false">IF(AW54=" "," ",IF(DC54=""," ",IF(DC54&lt;4,0.2,IF(DC54=4,0.27,IF(DC54&lt;10,0.33,IF(DC54=10,0.35,IF(DC54&lt;30,0.36,IF(DC54=30,0.37,IF(DC54&lt;50,0.38,IF(DC54=50,0.4,0.45))))))))))</f>
        <v> </v>
      </c>
      <c r="DU54" s="272" t="str">
        <f aca="false">IF(AW54=" "," ",IF(CC54=""," ",IF(CC54&lt;2,0.2,IF(CC54=2,0.23,IF(CC54&lt;4,0.26,IF(CC54=4,0.29,IF(CC54&lt;8,0.32,IF(CC54=8,0.35,IF(CC54&lt;15,0.38,IF(CC54=15,0.41,IF(CC54&lt;30,0.44,IF(CC54=30,0.47,0.5))))))))))))</f>
        <v> </v>
      </c>
      <c r="DV54" s="244" t="str">
        <f aca="false">IF(BR54=0,"",IF(AS54=$AX$3,DT54,DU54))</f>
        <v/>
      </c>
      <c r="DW54" s="244" t="str">
        <f aca="false">IF(BR54=0,"",IF(DC54&gt;15,15+0.5*(DC54-15),DC54))</f>
        <v/>
      </c>
      <c r="DX54" s="244" t="str">
        <f aca="false">IF(BR54=0,"",IF($S$12="SI",IF(CD54="NO",IF($AD$12&gt;(BO54+1.5*$ED$15),1,0.5),0.5),1))</f>
        <v/>
      </c>
      <c r="DY54" s="244" t="str">
        <f aca="false">IF(BR54=0,"",IF($S$12="SI",IF(CD54="NO",IF($AD$12&gt;(BO54+1.5*$EE$15),1,0.5),0.5),1))</f>
        <v/>
      </c>
      <c r="DZ54" s="244" t="str">
        <f aca="false">IF(BR54=0,"",IF($S$12="SI",IF(CD54="NO",IF($AD$12&gt;(BO54+1.5*$EF$15),1,0.5),0.5),1))</f>
        <v/>
      </c>
      <c r="EA54" s="244" t="str">
        <f aca="false">IF(BR54=0,"",IF($S$12="SI",IF(CD54="NO",IF($AD$12&gt;(BO54+1.5*$ED$15),1,0.5),IF($AD$12=BO54,1,0.5)),1))</f>
        <v/>
      </c>
      <c r="EB54" s="244" t="str">
        <f aca="false">IF(BR54=0,"",IF($S$12="SI",IF(CD54="NO",IF($AD$12&gt;(BO54+1.5*$EE$15),1,0.5),IF($AD$12=BO54,1,0.5)),1))</f>
        <v/>
      </c>
      <c r="EC54" s="244" t="str">
        <f aca="false">IF(BR54=0,"",IF($S$12="SI",IF(CD54="NO",IF($AD$12&gt;(BO54+1.5*$EF$15),1,0.5),IF($AD$12=BO54,1,0.5)),1))</f>
        <v/>
      </c>
      <c r="ED54" s="244" t="str">
        <f aca="false">IF(BR54=0,"",(DW54*($ED$15/10)*(DX54+EA54*(BO54/$ED$15))*1)/3)</f>
        <v/>
      </c>
      <c r="EE54" s="244" t="str">
        <f aca="false">IF(BR54=0,"",(DW54*($EE$15/10)*(DY54+EB54*(BO54/$EE$15))*1)/3)</f>
        <v/>
      </c>
      <c r="EF54" s="244" t="str">
        <f aca="false">IF(BR54=0,"",(DW54*($EF$15/10)*(DZ54+EC54*(BO54/$EF$15))*1)/3)</f>
        <v/>
      </c>
      <c r="EG54" s="273" t="str">
        <f aca="false">IF(BR54=0,"",IF(CD54="SI",0.5,1))</f>
        <v/>
      </c>
      <c r="EH54" s="244" t="str">
        <f aca="false">IF(BR54=0,"",IF((1+0.33*(BO54/$ED$15))&lt;=1.33,(1+0.33*(BO54/$ED$15)),1.33))</f>
        <v/>
      </c>
      <c r="EI54" s="244" t="str">
        <f aca="false">IF(BR54=0,"",IF((1+0.33*(BO54/$EE$15))&lt;=1.33,(1+0.33*(BO54/$EE$15)),1.33))</f>
        <v/>
      </c>
      <c r="EJ54" s="244" t="str">
        <f aca="false">IF(BR54=0,"",IF((1+0.33*(BO54/$EF$15))&lt;=1.33,(1+0.33*(BO54/$EF$15)),1.33))</f>
        <v/>
      </c>
      <c r="EK54" s="244" t="str">
        <f aca="false">IF(BR54=0,"",IF($ED$15&lt;=1.2,((20*DC54*EG54*EH54)/3)*0.010197,((12.5*DC54*((($ED$15+0.3)^2)/$ED$15)*EG54*EH54)/3)*0.010197))</f>
        <v/>
      </c>
      <c r="EL54" s="244" t="str">
        <f aca="false">IF(BR54=0,"",IF($EE$15&lt;=1.2,((20*DC54*EG54*EI54)/3)*0.010197,((12.5*DC54*((($EE$15+0.3)^2)/$EE$15)*EG54*EI54)/3)*0.010197))</f>
        <v/>
      </c>
      <c r="EM54" s="244" t="str">
        <f aca="false">IF(BR54=0,"",IF($EF$15&lt;=1.2,((20*DC54*EG54*EJ54)/3)*0.010197,((12.5*DC54*((($EF$15+0.3)^2)/$EF$15)*EG54*EJ54)/3)*0.010197))</f>
        <v/>
      </c>
      <c r="EN54" s="248" t="str">
        <f aca="false">IF(BR54=0,"",SQRT(12*CC54)+25)</f>
        <v/>
      </c>
      <c r="EO54" s="248" t="str">
        <f aca="false">IF(BR54=0,"",28.5+0.25*CC54)</f>
        <v/>
      </c>
      <c r="EP54" s="248" t="str">
        <f aca="false">IF(BR54=0,"",SQRT(20*CC54)+15)</f>
        <v/>
      </c>
      <c r="EQ54" s="248" t="str">
        <f aca="false">IF(BR54=0,"",23.7+0.57*CC54-0.0006*CC54*CC54)</f>
        <v/>
      </c>
      <c r="ER54" s="248" t="str">
        <f aca="false">IF(BR54=0,"",15+SQRT(12.5*DC54))</f>
        <v/>
      </c>
      <c r="ES54" s="248" t="str">
        <f aca="false">IF(BR54=0,"",3.5*SQRT(CC54)+20)</f>
        <v/>
      </c>
      <c r="ET54" s="248" t="str">
        <f aca="false">IF(BR54=0,"",27.1+0.3*DC54-0.00054*DC54*DC54)</f>
        <v/>
      </c>
      <c r="EU54" s="248" t="str">
        <f aca="false">IF(BR54=0,"",SQRT(20*CC54)+20)</f>
        <v/>
      </c>
      <c r="EV54" s="248" t="str">
        <f aca="false">IF(BR54=0,"",12.79+SQRT(25.86*CC54))</f>
        <v/>
      </c>
      <c r="EW54" s="248" t="str">
        <f aca="false">IF(BR54=0,"",DEGREES(_xlfn.ACOT((CC54/(12.2+20.3*CR54))^0.34)))</f>
        <v/>
      </c>
      <c r="EX54" s="248" t="str">
        <f aca="false">IF(BR54=0,"",24+(5.77*LN(0.17*DC54)))</f>
        <v/>
      </c>
      <c r="EY54" s="248" t="str">
        <f aca="false">IF(BR54=0,"",(SUM(EN54:EX54)-MIN(EN54:EX54)-MAX(EN54:EX54))/9)</f>
        <v/>
      </c>
      <c r="EZ54" s="248" t="str">
        <f aca="false">IF(BR54=0,"", -0.0000000034*CC54^6 + 0.0000008305*CC54^5 - 0.0000741842*CC54^4 + 0.0030204278*CC54^3 - 0.0541594733*CC54^2 + 0.8083147848*CC54 - 0.6182191243)</f>
        <v/>
      </c>
      <c r="FA54" s="249" t="str">
        <f aca="false">IF(BR54=0,"",(0.134811827956989*CC54 - 0.0383064516129019)/2)</f>
        <v/>
      </c>
      <c r="FB54" s="249" t="str">
        <f aca="false">IF(BR54=0,"",CC54*0.065)</f>
        <v/>
      </c>
      <c r="FC54" s="249" t="str">
        <f aca="false">IF(BR54=0,"",(CC54*0.12*0.48)*SQRT((1+SIN(EZ54*((2*PI())/360))/(1-SIN(EZ54*((2*PI())/360))))))</f>
        <v/>
      </c>
      <c r="FD54" s="249" t="str">
        <f aca="false">IF(BR54=0,"",(CC54/8)/2)</f>
        <v/>
      </c>
      <c r="FE54" s="249" t="str">
        <f aca="false">IF(BR54=0,"",(SUM(FA54:FD54)-MIN(FA54:FD54)-MAX(FA54:FD54))/2)</f>
        <v/>
      </c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</row>
    <row r="55" customFormat="false" ht="9.75" hidden="false" customHeight="true" outlineLevel="0" collapsed="false">
      <c r="A55" s="197" t="n">
        <f aca="false">ROUND(A54+0.1,1)</f>
        <v>3.8</v>
      </c>
      <c r="B55" s="250" t="n">
        <f aca="false">+A55</f>
        <v>3.8</v>
      </c>
      <c r="C55" s="251"/>
      <c r="D55" s="251"/>
      <c r="E55" s="274"/>
      <c r="F55" s="253"/>
      <c r="G55" s="254"/>
      <c r="H55" s="284"/>
      <c r="I55" s="285"/>
      <c r="J55" s="257"/>
      <c r="K55" s="258"/>
      <c r="L55" s="259"/>
      <c r="M55" s="276"/>
      <c r="N55" s="277"/>
      <c r="O55" s="277"/>
      <c r="P55" s="277"/>
      <c r="Q55" s="293"/>
      <c r="R55" s="294"/>
      <c r="S55" s="294"/>
      <c r="T55" s="295"/>
      <c r="U55" s="295"/>
      <c r="V55" s="296"/>
      <c r="W55" s="296"/>
      <c r="X55" s="296"/>
      <c r="Y55" s="296"/>
      <c r="Z55" s="296"/>
      <c r="AA55" s="296"/>
      <c r="AB55" s="297"/>
      <c r="AC55" s="298"/>
      <c r="AD55" s="299"/>
      <c r="AE55" s="298"/>
      <c r="AF55" s="300"/>
      <c r="AG55" s="267"/>
      <c r="AH55" s="267"/>
      <c r="AI55" s="241"/>
      <c r="AJ55" s="241"/>
      <c r="AK55" s="266"/>
      <c r="AL55" s="266"/>
      <c r="AM55" s="268"/>
      <c r="AN55" s="250" t="n">
        <f aca="false">+AN53+0.2</f>
        <v>3.8</v>
      </c>
      <c r="AO55" s="251"/>
      <c r="AP55" s="251"/>
      <c r="AQ55" s="274"/>
      <c r="AR55" s="253"/>
      <c r="AS55" s="269" t="s">
        <v>13</v>
      </c>
      <c r="AT55" s="221"/>
      <c r="AU55" s="269"/>
      <c r="AV55" s="269"/>
      <c r="AW55" s="270" t="n">
        <f aca="false">+K55+L55</f>
        <v>0</v>
      </c>
      <c r="AX55" s="270" t="str">
        <f aca="false">IF(AS55="&gt;50","CONSISTENCIA",IF(AS55="&lt;50","COMPACIDAD"," "))</f>
        <v>COMPACIDAD</v>
      </c>
      <c r="AY55" s="225" t="str">
        <f aca="false">IF(AS55="&gt;50",AZ55,IF(AS55="&lt;50",BA55," "))</f>
        <v> </v>
      </c>
      <c r="AZ55" s="224" t="str">
        <f aca="false">IF(AW55=" "," ",IF(CC55=""," ",IF(CC55&lt;2,"MUY BLANDA",IF(CC55=2,"MUY BLANDA A BLANDA",IF(CC55&lt;4,"BLANDA",IF(CC55=4,"BLANDA A MEDIA",IF(CC55&lt;8,"MEDIA",IF(CC55=8,"MEDIA A FIRME",IF(CC55&lt;15,"FIRME",IF(CC55=15,"FIRME A MUY FIRME",IF(CC55&lt;30,"MUY FIRME",IF(CC55=30,"MUY FIRME A DURA","DURA"))))))))))))</f>
        <v> </v>
      </c>
      <c r="BA55" s="225" t="str">
        <f aca="false">IF(AW55=" "," ",IF(DC55=""," ",IF(DC55&lt;4,"MUY SUELTA",IF(DC55=4,"MUY SUELTA A SUELTA",IF(DC55&lt;10,"SUELTA",IF(DC55=10,"SUELTA A MEDIA",IF(DC55&lt;30,"MEDIA",IF(DC55=30,"MEDIA A DENSO",IF(DC55&lt;50,"DENSO",IF(DC55=50,"DENSO MUY DENSO","MUY DENSO"))))))))))</f>
        <v> </v>
      </c>
      <c r="BB55" s="226" t="str">
        <f aca="false">IF(BR56=0,"",CQ56*0.0101972)</f>
        <v/>
      </c>
      <c r="BC55" s="227" t="n">
        <f aca="false">+BC54+0.1</f>
        <v>3.8</v>
      </c>
      <c r="BD55" s="227" t="str">
        <f aca="false">IF(BC55&lt;=$AN$10,BC55,"")</f>
        <v/>
      </c>
      <c r="BE55" s="228" t="n">
        <f aca="false">ISNUMBER(BD55)</f>
        <v>0</v>
      </c>
      <c r="BF55" s="229" t="str">
        <f aca="false">MID(M55,1,1)</f>
        <v/>
      </c>
      <c r="BG55" s="230" t="str">
        <f aca="false">IF(BF55="S","",IF(BF55="G","",MID(M55,2,1)))</f>
        <v/>
      </c>
      <c r="BH55" s="231" t="str">
        <f aca="false">CONCATENATE(BF55,BG55)</f>
        <v/>
      </c>
      <c r="BI55" s="6" t="str">
        <f aca="false">IF(BE55=FALSE(),"",IF(BH55="",BI54,BH55))</f>
        <v/>
      </c>
      <c r="BJ55" s="74" t="str">
        <f aca="false">IF(OR(BI55="S",BI55="G"),BI55,"X")</f>
        <v>X</v>
      </c>
      <c r="BK55" s="74" t="s">
        <v>215</v>
      </c>
      <c r="BL55" s="302" t="e">
        <f aca="false">INDEX(sim_0,MATCH($BJ$55,granular,0))</f>
        <v>#NAME?</v>
      </c>
      <c r="BM55" s="302"/>
      <c r="BN55" s="6"/>
      <c r="BO55" s="191" t="n">
        <f aca="false">BO54+0.1</f>
        <v>3.8</v>
      </c>
      <c r="BP55" s="233" t="e">
        <f aca="false">IF(AW55=0,NA(),IF(AS55=$AX$3,ROUND(DC55,0),NA()))</f>
        <v>#N/A</v>
      </c>
      <c r="BQ55" s="31" t="e">
        <f aca="false">IF(AW55=0,NA(),IF(AS55=$AX$4,ROUND(CC55,0),NA()))</f>
        <v>#N/A</v>
      </c>
      <c r="BR55" s="234" t="n">
        <f aca="false">+AW55</f>
        <v>0</v>
      </c>
      <c r="BS55" s="235" t="str">
        <f aca="false">IF(BR55=0,"", -0.00000000016128755327*CC55^6 + 0.00000006709386362421*CC55^5 - 0.0000106217678052217*CC55^4 + 0.00081068114193385*CC55^3 - 0.0314027378159951*CC55^2 + 0.649796593937842*CC55 + 13.7888866455022)</f>
        <v/>
      </c>
      <c r="BT55" s="235" t="str">
        <f aca="false">IF(BR55=0,"",-0.00000000014625939695*CC55^6 + 0.00000004971732060241*CC55^5 - 0.000006683744342031*CC55^4 + 0.0004563177378098*CC55^3 - 0.0171727530635803*CC55^2 + 0.444529932876435*CC55 + 15.6692518940565)</f>
        <v/>
      </c>
      <c r="BU55" s="236" t="str">
        <f aca="false">IF(BR55=0,"", -0.0000000008152265738*BR55^6 + 0.00000022764320256987*BR55^5 - 0.0000248205675927705*BR55^4 + 0.00133186623684865*BR55^3 - 0.0368442570441677*BR55^2 + 0.580111565569094*BR55 + 14.0417598296107)</f>
        <v/>
      </c>
      <c r="BV55" s="236" t="str">
        <f aca="false">IF(BR55=0,"", -0.00000000004321395721*BR55^6 + 0.00000002531844275498*BR55^5 - 0.00000369428022780862*BR55^4 + 0.00020283665900125*BR55^3 - 0.00462426256803268*BR55^2 + 0.139572935065453*BR55 + 15.4475338156923)</f>
        <v/>
      </c>
      <c r="BW55" s="236" t="str">
        <f aca="false">IF(BR55=0,"",-0.00000000033126390082*BR55^6 + 0.00000010463660614506*BR55^5 - 0.0000129629592998707*BR55^4 + 0.000803946335250767*BR55^3 - 0.0270257140395994*BR55^2 + 0.562590210721552*BR55+ 12.1254107606419)</f>
        <v/>
      </c>
      <c r="BX55" s="236" t="str">
        <f aca="false">IF(BR55=0,"",-0.00000000002593504955*BR55^6 + 0.00000002430495156704*BR55^5 - 0.00000386103271086364*BR55^4 + 0.000214416118986322*BR55^3 - 0.0047271462612021*BR55^2 + 0.156696175741135*BR55 + 15.4598891949502)</f>
        <v/>
      </c>
      <c r="BY55" s="234" t="str">
        <f aca="false">IF(BR55=0,"",$BS$2)</f>
        <v/>
      </c>
      <c r="BZ55" s="234" t="str">
        <f aca="false">IF(BR55=0,"",$BS$3)</f>
        <v/>
      </c>
      <c r="CA55" s="234" t="str">
        <f aca="false">IF(BR55=0,"",$BS$4)</f>
        <v/>
      </c>
      <c r="CB55" s="235" t="str">
        <f aca="false">IF(BR55=0,"",IF(AND(BO55&gt;=0,BO55&lt;4),0.75,IF(AND(BO55&gt;=4,BO55&lt;6),0.85,IF(AND(BO55&gt;=6,BO55&lt;=10),0.95,1))))</f>
        <v/>
      </c>
      <c r="CC55" s="234" t="str">
        <f aca="false">IF(BR55=0,"",BR55*BY55*BZ55*CA55*CB55/60)</f>
        <v/>
      </c>
      <c r="CD55" s="238" t="str">
        <f aca="false">IF(BR55=0,"",IF($S$12="NO","NO",IF($AD$12&lt;=BO55,"SI","NO")))</f>
        <v/>
      </c>
      <c r="CE55" s="235" t="n">
        <f aca="false">IF(BR55=0,0,AB55)</f>
        <v>0</v>
      </c>
      <c r="CF55" s="235" t="n">
        <f aca="false">IF(CE55&gt;0,BO55,0)</f>
        <v>0</v>
      </c>
      <c r="CG55" s="239" t="n">
        <f aca="false">IF(CF55=0,CF55+CG54,CF55)</f>
        <v>0</v>
      </c>
      <c r="CH55" s="239" t="n">
        <f aca="false">IF(CG55=CG54,CH54,ABS(CG55-CG54))</f>
        <v>0</v>
      </c>
      <c r="CI55" s="239" t="n">
        <f aca="false">+CE55*CH55</f>
        <v>0</v>
      </c>
      <c r="CJ55" s="239" t="n">
        <f aca="false">IF(CI55=0,CI55+CJ54,CI55)</f>
        <v>0</v>
      </c>
      <c r="CK55" s="239" t="n">
        <f aca="false">IF(CJ55=CJ54,CK54,ABS(CJ55+CK54))</f>
        <v>0</v>
      </c>
      <c r="CL55" s="241" t="n">
        <f aca="false">IF(CE55=0,0,CK55)</f>
        <v>0</v>
      </c>
      <c r="CM55" s="239" t="n">
        <f aca="false">IF(CE55=0,0,CH55*9.81)</f>
        <v>0</v>
      </c>
      <c r="CN55" s="239" t="n">
        <f aca="false">IF(CM55=0,CM55+CN54,CM55)</f>
        <v>0</v>
      </c>
      <c r="CO55" s="239" t="n">
        <f aca="false">IF(CN55=CN54,CO54,ABS(CN55+CO54))</f>
        <v>0</v>
      </c>
      <c r="CP55" s="241" t="n">
        <f aca="false">IF(CD55="NO",0,IF(CE55=0,0,CO55))</f>
        <v>0</v>
      </c>
      <c r="CQ55" s="244" t="str">
        <f aca="false">IF(BR55=0,"",CL55-CP55)</f>
        <v/>
      </c>
      <c r="CR55" s="244" t="str">
        <f aca="false">IF(BR55=0,"",CQ55/101.3)</f>
        <v/>
      </c>
      <c r="CS55" s="244" t="str">
        <f aca="false">IF(BR55=0,"",LOG(10/CR55))</f>
        <v/>
      </c>
      <c r="CT55" s="243" t="str">
        <f aca="false">IF(BR55=0,"",IF(SQRT(101.3/CQ55)&lt;=1.7,SQRT(101.3/CQ55),2.2/(1.2+(CQ55/101.3))))</f>
        <v/>
      </c>
      <c r="CU55" s="244" t="str">
        <f aca="false">IF(BR55=0,"",1.7/(0.7+CR55))</f>
        <v/>
      </c>
      <c r="CV55" s="244" t="str">
        <f aca="false">IF(BR55=0,"",IF(CR55&gt;=0.25,0.77*LOG(20/CR55),""))</f>
        <v/>
      </c>
      <c r="CW55" s="244" t="str">
        <f aca="false">IF(BR55=0,"",32.5/(10.2+20.3*CR55))</f>
        <v/>
      </c>
      <c r="CX55" s="244" t="str">
        <f aca="false">IF(BR55=0,"",1-1.25*LOG(CR55))</f>
        <v/>
      </c>
      <c r="CY55" s="244" t="str">
        <f aca="false">IF(BR55=0,"",IF(CR55&lt;1,1-1.41*LOG(CR55),1+0.92*LOG(CR55)))</f>
        <v/>
      </c>
      <c r="CZ55" s="244" t="str">
        <f aca="false">IF(BR55=0,"",2/(1+CR55))</f>
        <v/>
      </c>
      <c r="DA55" s="244" t="str">
        <f aca="false">IF(BR55=0,"",IF(CR55&lt;=0.75,4/(1+4*CR55),4/(3.25+CR55)))</f>
        <v/>
      </c>
      <c r="DB55" s="244" t="str">
        <f aca="false">IF(BR55=0,"",CT55)</f>
        <v/>
      </c>
      <c r="DC55" s="244" t="str">
        <f aca="false">IF(BR55=0,"",DB55*CC55)</f>
        <v/>
      </c>
      <c r="DD55" s="244"/>
      <c r="DE55" s="244" t="str">
        <f aca="false">IF(BR55=0,"",0.193*(CC55/(CQ55*0.001))^0.689)</f>
        <v/>
      </c>
      <c r="DF55" s="244" t="str">
        <f aca="false">IF(BR55=0,"",IF(AS55=$AX$4,(0.1348118*CC55 - 0.0383065)*98.0665,""))</f>
        <v/>
      </c>
      <c r="DG55" s="244" t="str">
        <f aca="false">IF(BR55=0,"",IF(AS55=$AX$4,DF55/2,""))</f>
        <v/>
      </c>
      <c r="DH55" s="244" t="str">
        <f aca="false">IF(BR55=0,"",IF(DC55&lt;=15,12*(DC55+6),40+12*(DC55-6)))</f>
        <v/>
      </c>
      <c r="DI55" s="244" t="str">
        <f aca="false">IF(BR55=0,"",IF(CD55="SI",5*(DC55+15),((3.3*(DC55+15))+(4*(DC55+12)))/2))</f>
        <v/>
      </c>
      <c r="DJ55" s="244" t="str">
        <f aca="false">IF(BR55=0,"",8*DC55)</f>
        <v/>
      </c>
      <c r="DK55" s="244" t="str">
        <f aca="false">IF(BR55=0,"",215+(10.6*DC55))</f>
        <v/>
      </c>
      <c r="DL55" s="244" t="str">
        <f aca="false">IF(BR55=0,"",10*(7.5+(0.5*DC55)))</f>
        <v/>
      </c>
      <c r="DM55" s="244" t="str">
        <f aca="false">IF(BR55=0,"",8*DC55)</f>
        <v/>
      </c>
      <c r="DN55" s="244" t="str">
        <f aca="false">IF(AW55=" "," ",IF(DC55=""," ",IF(DC55&lt;4,10*10.2,IF(DC55=4,12*10.2,IF(DC55&lt;10,17.5*10.5,IF(DC55=10,15*10.2,IF(DC55&lt;30,22.5*10.2,IF(DC55=30,35*10.2,IF(DC55&lt;50,40*10.2,IF(DC55=50,50*10.2,55*10.2))))))))))</f>
        <v> </v>
      </c>
      <c r="DO55" s="244" t="str">
        <f aca="false">IF(BR55=0,"",7*SQRT(DC55)*10.1972)</f>
        <v/>
      </c>
      <c r="DP55" s="244" t="str">
        <f aca="false">IF(BR55=0,"",IF(AS55=$AX$4,5*CC55,""))</f>
        <v/>
      </c>
      <c r="DQ55" s="244" t="str">
        <f aca="false">IF(AW55=" "," ",IF(DC55=""," ",IF(DC55&lt;2,4*10.2,IF(DC55=2,6*10.2,IF(DC55&lt;4,12*10.2,IF(DC55=4,20*10.2,IF(DC55&lt;8,30*10.2,IF(DC55=8,35*10.2,IF(DC55&lt;15,40*10.2,IF(DC55=15,42*10.2,IF(DC55&lt;30,45*10.2,IF(DC55=30,50*10.2,70*10.2))))))))))))</f>
        <v> </v>
      </c>
      <c r="DR55" s="244" t="str">
        <f aca="false">IF(BR55=0,"",IF(AS55=$AX$4,220*DP55*0.0101972,""))</f>
        <v/>
      </c>
      <c r="DS55" s="271" t="str">
        <f aca="false">IF(BR55=0,"",IF(AS55=$AX$7,(SUM(DH55:DO55)-MIN(DH55:DO55)-MAX(DH55:DO55))/6,(SUM(DO55:DR55)-MIN(DO55:DR55)-MAX(DO55:DR55))/2))</f>
        <v/>
      </c>
      <c r="DT55" s="244" t="str">
        <f aca="false">IF(AW55=" "," ",IF(DC55=""," ",IF(DC55&lt;4,0.2,IF(DC55=4,0.27,IF(DC55&lt;10,0.33,IF(DC55=10,0.35,IF(DC55&lt;30,0.36,IF(DC55=30,0.37,IF(DC55&lt;50,0.38,IF(DC55=50,0.4,0.45))))))))))</f>
        <v> </v>
      </c>
      <c r="DU55" s="272" t="str">
        <f aca="false">IF(AW55=" "," ",IF(CC55=""," ",IF(CC55&lt;2,0.2,IF(CC55=2,0.23,IF(CC55&lt;4,0.26,IF(CC55=4,0.29,IF(CC55&lt;8,0.32,IF(CC55=8,0.35,IF(CC55&lt;15,0.38,IF(CC55=15,0.41,IF(CC55&lt;30,0.44,IF(CC55=30,0.47,0.5))))))))))))</f>
        <v> </v>
      </c>
      <c r="DV55" s="244" t="str">
        <f aca="false">IF(BR55=0,"",IF(AS55=$AX$3,DT55,DU55))</f>
        <v/>
      </c>
      <c r="DW55" s="244" t="str">
        <f aca="false">IF(BR55=0,"",IF(DC55&gt;15,15+0.5*(DC55-15),DC55))</f>
        <v/>
      </c>
      <c r="DX55" s="244" t="str">
        <f aca="false">IF(BR55=0,"",IF($S$12="SI",IF(CD55="NO",IF($AD$12&gt;(BO55+1.5*$ED$15),1,0.5),0.5),1))</f>
        <v/>
      </c>
      <c r="DY55" s="244" t="str">
        <f aca="false">IF(BR55=0,"",IF($S$12="SI",IF(CD55="NO",IF($AD$12&gt;(BO55+1.5*$EE$15),1,0.5),0.5),1))</f>
        <v/>
      </c>
      <c r="DZ55" s="244" t="str">
        <f aca="false">IF(BR55=0,"",IF($S$12="SI",IF(CD55="NO",IF($AD$12&gt;(BO55+1.5*$EF$15),1,0.5),0.5),1))</f>
        <v/>
      </c>
      <c r="EA55" s="244" t="str">
        <f aca="false">IF(BR55=0,"",IF($S$12="SI",IF(CD55="NO",IF($AD$12&gt;(BO55+1.5*$ED$15),1,0.5),IF($AD$12=BO55,1,0.5)),1))</f>
        <v/>
      </c>
      <c r="EB55" s="244" t="str">
        <f aca="false">IF(BR55=0,"",IF($S$12="SI",IF(CD55="NO",IF($AD$12&gt;(BO55+1.5*$EE$15),1,0.5),IF($AD$12=BO55,1,0.5)),1))</f>
        <v/>
      </c>
      <c r="EC55" s="244" t="str">
        <f aca="false">IF(BR55=0,"",IF($S$12="SI",IF(CD55="NO",IF($AD$12&gt;(BO55+1.5*$EF$15),1,0.5),IF($AD$12=BO55,1,0.5)),1))</f>
        <v/>
      </c>
      <c r="ED55" s="244" t="str">
        <f aca="false">IF(BR55=0,"",(DW55*($ED$15/10)*(DX55+EA55*(BO55/$ED$15))*1)/3)</f>
        <v/>
      </c>
      <c r="EE55" s="244" t="str">
        <f aca="false">IF(BR55=0,"",(DW55*($EE$15/10)*(DY55+EB55*(BO55/$EE$15))*1)/3)</f>
        <v/>
      </c>
      <c r="EF55" s="244" t="str">
        <f aca="false">IF(BR55=0,"",(DW55*($EF$15/10)*(DZ55+EC55*(BO55/$EF$15))*1)/3)</f>
        <v/>
      </c>
      <c r="EG55" s="273" t="str">
        <f aca="false">IF(BR55=0,"",IF(CD55="SI",0.5,1))</f>
        <v/>
      </c>
      <c r="EH55" s="244" t="str">
        <f aca="false">IF(BR55=0,"",IF((1+0.33*(BO55/$ED$15))&lt;=1.33,(1+0.33*(BO55/$ED$15)),1.33))</f>
        <v/>
      </c>
      <c r="EI55" s="244" t="str">
        <f aca="false">IF(BR55=0,"",IF((1+0.33*(BO55/$EE$15))&lt;=1.33,(1+0.33*(BO55/$EE$15)),1.33))</f>
        <v/>
      </c>
      <c r="EJ55" s="244" t="str">
        <f aca="false">IF(BR55=0,"",IF((1+0.33*(BO55/$EF$15))&lt;=1.33,(1+0.33*(BO55/$EF$15)),1.33))</f>
        <v/>
      </c>
      <c r="EK55" s="244" t="str">
        <f aca="false">IF(BR55=0,"",IF($ED$15&lt;=1.2,((20*DC55*EG55*EH55)/3)*0.010197,((12.5*DC55*((($ED$15+0.3)^2)/$ED$15)*EG55*EH55)/3)*0.010197))</f>
        <v/>
      </c>
      <c r="EL55" s="244" t="str">
        <f aca="false">IF(BR55=0,"",IF($EE$15&lt;=1.2,((20*DC55*EG55*EI55)/3)*0.010197,((12.5*DC55*((($EE$15+0.3)^2)/$EE$15)*EG55*EI55)/3)*0.010197))</f>
        <v/>
      </c>
      <c r="EM55" s="244" t="str">
        <f aca="false">IF(BR55=0,"",IF($EF$15&lt;=1.2,((20*DC55*EG55*EJ55)/3)*0.010197,((12.5*DC55*((($EF$15+0.3)^2)/$EF$15)*EG55*EJ55)/3)*0.010197))</f>
        <v/>
      </c>
      <c r="EN55" s="248" t="str">
        <f aca="false">IF(BR55=0,"",SQRT(12*CC55)+25)</f>
        <v/>
      </c>
      <c r="EO55" s="248" t="str">
        <f aca="false">IF(BR55=0,"",28.5+0.25*CC55)</f>
        <v/>
      </c>
      <c r="EP55" s="248" t="str">
        <f aca="false">IF(BR55=0,"",SQRT(20*CC55)+15)</f>
        <v/>
      </c>
      <c r="EQ55" s="248" t="str">
        <f aca="false">IF(BR55=0,"",23.7+0.57*CC55-0.0006*CC55*CC55)</f>
        <v/>
      </c>
      <c r="ER55" s="248" t="str">
        <f aca="false">IF(BR55=0,"",15+SQRT(12.5*DC55))</f>
        <v/>
      </c>
      <c r="ES55" s="248" t="str">
        <f aca="false">IF(BR55=0,"",3.5*SQRT(CC55)+20)</f>
        <v/>
      </c>
      <c r="ET55" s="248" t="str">
        <f aca="false">IF(BR55=0,"",27.1+0.3*DC55-0.00054*DC55*DC55)</f>
        <v/>
      </c>
      <c r="EU55" s="248" t="str">
        <f aca="false">IF(BR55=0,"",SQRT(20*CC55)+20)</f>
        <v/>
      </c>
      <c r="EV55" s="248" t="str">
        <f aca="false">IF(BR55=0,"",12.79+SQRT(25.86*CC55))</f>
        <v/>
      </c>
      <c r="EW55" s="248" t="str">
        <f aca="false">IF(BR55=0,"",DEGREES(_xlfn.ACOT((CC55/(12.2+20.3*CR55))^0.34)))</f>
        <v/>
      </c>
      <c r="EX55" s="248" t="str">
        <f aca="false">IF(BR55=0,"",24+(5.77*LN(0.17*DC55)))</f>
        <v/>
      </c>
      <c r="EY55" s="248" t="str">
        <f aca="false">IF(BR55=0,"",(SUM(EN55:EX55)-MIN(EN55:EX55)-MAX(EN55:EX55))/9)</f>
        <v/>
      </c>
      <c r="EZ55" s="248" t="str">
        <f aca="false">IF(BR55=0,"", -0.0000000034*CC55^6 + 0.0000008305*CC55^5 - 0.0000741842*CC55^4 + 0.0030204278*CC55^3 - 0.0541594733*CC55^2 + 0.8083147848*CC55 - 0.6182191243)</f>
        <v/>
      </c>
      <c r="FA55" s="249" t="str">
        <f aca="false">IF(BR55=0,"",(0.134811827956989*CC55 - 0.0383064516129019)/2)</f>
        <v/>
      </c>
      <c r="FB55" s="249" t="str">
        <f aca="false">IF(BR55=0,"",CC55*0.065)</f>
        <v/>
      </c>
      <c r="FC55" s="249" t="str">
        <f aca="false">IF(BR55=0,"",(CC55*0.12*0.48)*SQRT((1+SIN(EZ55*((2*PI())/360))/(1-SIN(EZ55*((2*PI())/360))))))</f>
        <v/>
      </c>
      <c r="FD55" s="249" t="str">
        <f aca="false">IF(BR55=0,"",(CC55/8)/2)</f>
        <v/>
      </c>
      <c r="FE55" s="249" t="str">
        <f aca="false">IF(BR55=0,"",(SUM(FA55:FD55)-MIN(FA55:FD55)-MAX(FA55:FD55))/2)</f>
        <v/>
      </c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</row>
    <row r="56" customFormat="false" ht="9.75" hidden="false" customHeight="true" outlineLevel="0" collapsed="false">
      <c r="A56" s="197" t="n">
        <f aca="false">ROUND(A55+0.1,1)</f>
        <v>3.9</v>
      </c>
      <c r="B56" s="250"/>
      <c r="C56" s="251"/>
      <c r="D56" s="251"/>
      <c r="E56" s="199"/>
      <c r="F56" s="200"/>
      <c r="G56" s="254"/>
      <c r="H56" s="284"/>
      <c r="I56" s="285"/>
      <c r="J56" s="257"/>
      <c r="K56" s="258"/>
      <c r="L56" s="259"/>
      <c r="M56" s="276"/>
      <c r="N56" s="277"/>
      <c r="O56" s="277"/>
      <c r="P56" s="277"/>
      <c r="Q56" s="293"/>
      <c r="R56" s="294"/>
      <c r="S56" s="294"/>
      <c r="T56" s="295"/>
      <c r="U56" s="295"/>
      <c r="V56" s="296"/>
      <c r="W56" s="296"/>
      <c r="X56" s="296"/>
      <c r="Y56" s="296"/>
      <c r="Z56" s="296"/>
      <c r="AA56" s="296"/>
      <c r="AB56" s="297"/>
      <c r="AC56" s="298"/>
      <c r="AD56" s="299"/>
      <c r="AE56" s="298"/>
      <c r="AF56" s="300"/>
      <c r="AG56" s="267"/>
      <c r="AH56" s="267"/>
      <c r="AI56" s="241"/>
      <c r="AJ56" s="241"/>
      <c r="AK56" s="266"/>
      <c r="AL56" s="266"/>
      <c r="AM56" s="268"/>
      <c r="AN56" s="250"/>
      <c r="AO56" s="251"/>
      <c r="AP56" s="251"/>
      <c r="AQ56" s="199"/>
      <c r="AR56" s="200"/>
      <c r="AS56" s="269" t="s">
        <v>13</v>
      </c>
      <c r="AT56" s="221"/>
      <c r="AU56" s="269"/>
      <c r="AV56" s="269"/>
      <c r="AW56" s="270" t="n">
        <f aca="false">+K56+L56</f>
        <v>0</v>
      </c>
      <c r="AX56" s="270" t="str">
        <f aca="false">IF(AS56="&gt;50","CONSISTENCIA",IF(AS56="&lt;50","COMPACIDAD"," "))</f>
        <v>COMPACIDAD</v>
      </c>
      <c r="AY56" s="225" t="str">
        <f aca="false">IF(AS56="&gt;50",AZ56,IF(AS56="&lt;50",BA56," "))</f>
        <v> </v>
      </c>
      <c r="AZ56" s="224" t="str">
        <f aca="false">IF(AW56=" "," ",IF(CC56=""," ",IF(CC56&lt;2,"MUY BLANDA",IF(CC56=2,"MUY BLANDA A BLANDA",IF(CC56&lt;4,"BLANDA",IF(CC56=4,"BLANDA A MEDIA",IF(CC56&lt;8,"MEDIA",IF(CC56=8,"MEDIA A FIRME",IF(CC56&lt;15,"FIRME",IF(CC56=15,"FIRME A MUY FIRME",IF(CC56&lt;30,"MUY FIRME",IF(CC56=30,"MUY FIRME A DURA","DURA"))))))))))))</f>
        <v> </v>
      </c>
      <c r="BA56" s="225" t="str">
        <f aca="false">IF(AW56=" "," ",IF(DC56=""," ",IF(DC56&lt;4,"MUY SUELTA",IF(DC56=4,"MUY SUELTA A SUELTA",IF(DC56&lt;10,"SUELTA",IF(DC56=10,"SUELTA A MEDIA",IF(DC56&lt;30,"MEDIA",IF(DC56=30,"MEDIA A DENSO",IF(DC56&lt;50,"DENSO",IF(DC56=50,"DENSO MUY DENSO","MUY DENSO"))))))))))</f>
        <v> </v>
      </c>
      <c r="BB56" s="290" t="str">
        <f aca="false">IF(BR57=0,"",CQ57*0.0101972)</f>
        <v/>
      </c>
      <c r="BC56" s="227" t="n">
        <f aca="false">+BC55+0.1</f>
        <v>3.9</v>
      </c>
      <c r="BD56" s="227" t="str">
        <f aca="false">IF(BC56&lt;=$AN$10,BC56,"")</f>
        <v/>
      </c>
      <c r="BE56" s="228" t="n">
        <f aca="false">ISNUMBER(BD56)</f>
        <v>0</v>
      </c>
      <c r="BF56" s="229" t="str">
        <f aca="false">MID(M56,1,1)</f>
        <v/>
      </c>
      <c r="BG56" s="230" t="str">
        <f aca="false">IF(BF56="S","",IF(BF56="G","",MID(M56,2,1)))</f>
        <v/>
      </c>
      <c r="BH56" s="231" t="str">
        <f aca="false">CONCATENATE(BF56,BG56)</f>
        <v/>
      </c>
      <c r="BI56" s="6" t="str">
        <f aca="false">IF(BE56=FALSE(),"",IF(BH56="",BI55,BH56))</f>
        <v/>
      </c>
      <c r="BJ56" s="74" t="str">
        <f aca="false">IF(OR(BI56="S",BI56="G"),BI56,"X")</f>
        <v>X</v>
      </c>
      <c r="BK56" s="74" t="s">
        <v>216</v>
      </c>
      <c r="BL56" s="302" t="e">
        <f aca="false">INDEX(sim_0,MATCH($BJ$56,granular,0))</f>
        <v>#NAME?</v>
      </c>
      <c r="BM56" s="302"/>
      <c r="BN56" s="6"/>
      <c r="BO56" s="191" t="n">
        <f aca="false">BO55+0.1</f>
        <v>3.9</v>
      </c>
      <c r="BP56" s="233" t="e">
        <f aca="false">IF(AW56=0,NA(),IF(AS56=$AX$3,ROUND(DC56,0),NA()))</f>
        <v>#N/A</v>
      </c>
      <c r="BQ56" s="31" t="e">
        <f aca="false">IF(AW56=0,NA(),IF(AS56=$AX$4,ROUND(CC56,0),NA()))</f>
        <v>#N/A</v>
      </c>
      <c r="BR56" s="234" t="n">
        <f aca="false">+AW56</f>
        <v>0</v>
      </c>
      <c r="BS56" s="235" t="str">
        <f aca="false">IF(BR56=0,"", -0.00000000016128755327*CC56^6 + 0.00000006709386362421*CC56^5 - 0.0000106217678052217*CC56^4 + 0.00081068114193385*CC56^3 - 0.0314027378159951*CC56^2 + 0.649796593937842*CC56 + 13.7888866455022)</f>
        <v/>
      </c>
      <c r="BT56" s="235" t="str">
        <f aca="false">IF(BR56=0,"",-0.00000000014625939695*CC56^6 + 0.00000004971732060241*CC56^5 - 0.000006683744342031*CC56^4 + 0.0004563177378098*CC56^3 - 0.0171727530635803*CC56^2 + 0.444529932876435*CC56 + 15.6692518940565)</f>
        <v/>
      </c>
      <c r="BU56" s="236" t="str">
        <f aca="false">IF(BR56=0,"", -0.0000000008152265738*BR56^6 + 0.00000022764320256987*BR56^5 - 0.0000248205675927705*BR56^4 + 0.00133186623684865*BR56^3 - 0.0368442570441677*BR56^2 + 0.580111565569094*BR56 + 14.0417598296107)</f>
        <v/>
      </c>
      <c r="BV56" s="236" t="str">
        <f aca="false">IF(BR56=0,"", -0.00000000004321395721*BR56^6 + 0.00000002531844275498*BR56^5 - 0.00000369428022780862*BR56^4 + 0.00020283665900125*BR56^3 - 0.00462426256803268*BR56^2 + 0.139572935065453*BR56 + 15.4475338156923)</f>
        <v/>
      </c>
      <c r="BW56" s="236" t="str">
        <f aca="false">IF(BR56=0,"",-0.00000000033126390082*BR56^6 + 0.00000010463660614506*BR56^5 - 0.0000129629592998707*BR56^4 + 0.000803946335250767*BR56^3 - 0.0270257140395994*BR56^2 + 0.562590210721552*BR56+ 12.1254107606419)</f>
        <v/>
      </c>
      <c r="BX56" s="236" t="str">
        <f aca="false">IF(BR56=0,"",-0.00000000002593504955*BR56^6 + 0.00000002430495156704*BR56^5 - 0.00000386103271086364*BR56^4 + 0.000214416118986322*BR56^3 - 0.0047271462612021*BR56^2 + 0.156696175741135*BR56 + 15.4598891949502)</f>
        <v/>
      </c>
      <c r="BY56" s="234" t="str">
        <f aca="false">IF(BR56=0,"",$BS$2)</f>
        <v/>
      </c>
      <c r="BZ56" s="234" t="str">
        <f aca="false">IF(BR56=0,"",$BS$3)</f>
        <v/>
      </c>
      <c r="CA56" s="234" t="str">
        <f aca="false">IF(BR56=0,"",$BS$4)</f>
        <v/>
      </c>
      <c r="CB56" s="235" t="str">
        <f aca="false">IF(BR56=0,"",IF(AND(BO56&gt;=0,BO56&lt;4),0.75,IF(AND(BO56&gt;=4,BO56&lt;6),0.85,IF(AND(BO56&gt;=6,BO56&lt;=10),0.95,1))))</f>
        <v/>
      </c>
      <c r="CC56" s="234" t="str">
        <f aca="false">IF(BR56=0,"",BR56*BY56*BZ56*CA56*CB56/60)</f>
        <v/>
      </c>
      <c r="CD56" s="238" t="str">
        <f aca="false">IF(BR56=0,"",IF($S$12="NO","NO",IF($AD$12&lt;=BO56,"SI","NO")))</f>
        <v/>
      </c>
      <c r="CE56" s="235" t="n">
        <f aca="false">IF(BR56=0,0,AB56)</f>
        <v>0</v>
      </c>
      <c r="CF56" s="235" t="n">
        <f aca="false">IF(CE56&gt;0,BO56,0)</f>
        <v>0</v>
      </c>
      <c r="CG56" s="239" t="n">
        <f aca="false">IF(CF56=0,CF56+CG55,CF56)</f>
        <v>0</v>
      </c>
      <c r="CH56" s="239" t="n">
        <f aca="false">IF(CG56=CG55,CH55,ABS(CG56-CG55))</f>
        <v>0</v>
      </c>
      <c r="CI56" s="239" t="n">
        <f aca="false">+CE56*CH56</f>
        <v>0</v>
      </c>
      <c r="CJ56" s="239" t="n">
        <f aca="false">IF(CI56=0,CI56+CJ55,CI56)</f>
        <v>0</v>
      </c>
      <c r="CK56" s="239" t="n">
        <f aca="false">IF(CJ56=CJ55,CK55,ABS(CJ56+CK55))</f>
        <v>0</v>
      </c>
      <c r="CL56" s="241" t="n">
        <f aca="false">IF(CE56=0,0,CK56)</f>
        <v>0</v>
      </c>
      <c r="CM56" s="239" t="n">
        <f aca="false">IF(CE56=0,0,CH56*9.81)</f>
        <v>0</v>
      </c>
      <c r="CN56" s="239" t="n">
        <f aca="false">IF(CM56=0,CM56+CN55,CM56)</f>
        <v>0</v>
      </c>
      <c r="CO56" s="239" t="n">
        <f aca="false">IF(CN56=CN55,CO55,ABS(CN56+CO55))</f>
        <v>0</v>
      </c>
      <c r="CP56" s="241" t="n">
        <f aca="false">IF(CD56="NO",0,IF(CE56=0,0,CO56))</f>
        <v>0</v>
      </c>
      <c r="CQ56" s="244" t="str">
        <f aca="false">IF(BR56=0,"",CL56-CP56)</f>
        <v/>
      </c>
      <c r="CR56" s="244" t="str">
        <f aca="false">IF(BR56=0,"",CQ56/101.3)</f>
        <v/>
      </c>
      <c r="CS56" s="244" t="str">
        <f aca="false">IF(BR56=0,"",LOG(10/CR56))</f>
        <v/>
      </c>
      <c r="CT56" s="243" t="str">
        <f aca="false">IF(BR56=0,"",IF(SQRT(101.3/CQ56)&lt;=1.7,SQRT(101.3/CQ56),2.2/(1.2+(CQ56/101.3))))</f>
        <v/>
      </c>
      <c r="CU56" s="244" t="str">
        <f aca="false">IF(BR56=0,"",1.7/(0.7+CR56))</f>
        <v/>
      </c>
      <c r="CV56" s="244" t="str">
        <f aca="false">IF(BR56=0,"",IF(CR56&gt;=0.25,0.77*LOG(20/CR56),""))</f>
        <v/>
      </c>
      <c r="CW56" s="244" t="str">
        <f aca="false">IF(BR56=0,"",32.5/(10.2+20.3*CR56))</f>
        <v/>
      </c>
      <c r="CX56" s="244" t="str">
        <f aca="false">IF(BR56=0,"",1-1.25*LOG(CR56))</f>
        <v/>
      </c>
      <c r="CY56" s="244" t="str">
        <f aca="false">IF(BR56=0,"",IF(CR56&lt;1,1-1.41*LOG(CR56),1+0.92*LOG(CR56)))</f>
        <v/>
      </c>
      <c r="CZ56" s="244" t="str">
        <f aca="false">IF(BR56=0,"",2/(1+CR56))</f>
        <v/>
      </c>
      <c r="DA56" s="244" t="str">
        <f aca="false">IF(BR56=0,"",IF(CR56&lt;=0.75,4/(1+4*CR56),4/(3.25+CR56)))</f>
        <v/>
      </c>
      <c r="DB56" s="244" t="str">
        <f aca="false">IF(BR56=0,"",CT56)</f>
        <v/>
      </c>
      <c r="DC56" s="244" t="str">
        <f aca="false">IF(BR56=0,"",DB56*CC56)</f>
        <v/>
      </c>
      <c r="DD56" s="244"/>
      <c r="DE56" s="244" t="str">
        <f aca="false">IF(BR56=0,"",0.193*(CC56/(CQ56*0.001))^0.689)</f>
        <v/>
      </c>
      <c r="DF56" s="244" t="str">
        <f aca="false">IF(BR56=0,"",IF(AS56=$AX$4,(0.1348118*CC56 - 0.0383065)*98.0665,""))</f>
        <v/>
      </c>
      <c r="DG56" s="244" t="str">
        <f aca="false">IF(BR56=0,"",IF(AS56=$AX$4,DF56/2,""))</f>
        <v/>
      </c>
      <c r="DH56" s="244" t="str">
        <f aca="false">IF(BR56=0,"",IF(DC56&lt;=15,12*(DC56+6),40+12*(DC56-6)))</f>
        <v/>
      </c>
      <c r="DI56" s="244" t="str">
        <f aca="false">IF(BR56=0,"",IF(CD56="SI",5*(DC56+15),((3.3*(DC56+15))+(4*(DC56+12)))/2))</f>
        <v/>
      </c>
      <c r="DJ56" s="244" t="str">
        <f aca="false">IF(BR56=0,"",8*DC56)</f>
        <v/>
      </c>
      <c r="DK56" s="244" t="str">
        <f aca="false">IF(BR56=0,"",215+(10.6*DC56))</f>
        <v/>
      </c>
      <c r="DL56" s="244" t="str">
        <f aca="false">IF(BR56=0,"",10*(7.5+(0.5*DC56)))</f>
        <v/>
      </c>
      <c r="DM56" s="244" t="str">
        <f aca="false">IF(BR56=0,"",8*DC56)</f>
        <v/>
      </c>
      <c r="DN56" s="244" t="str">
        <f aca="false">IF(AW56=" "," ",IF(DC56=""," ",IF(DC56&lt;4,10*10.2,IF(DC56=4,12*10.2,IF(DC56&lt;10,17.5*10.5,IF(DC56=10,15*10.2,IF(DC56&lt;30,22.5*10.2,IF(DC56=30,35*10.2,IF(DC56&lt;50,40*10.2,IF(DC56=50,50*10.2,55*10.2))))))))))</f>
        <v> </v>
      </c>
      <c r="DO56" s="244" t="str">
        <f aca="false">IF(BR56=0,"",7*SQRT(DC56)*10.1972)</f>
        <v/>
      </c>
      <c r="DP56" s="244" t="str">
        <f aca="false">IF(BR56=0,"",IF(AS56=$AX$4,5*CC56,""))</f>
        <v/>
      </c>
      <c r="DQ56" s="244" t="str">
        <f aca="false">IF(AW56=" "," ",IF(DC56=""," ",IF(DC56&lt;2,4*10.2,IF(DC56=2,6*10.2,IF(DC56&lt;4,12*10.2,IF(DC56=4,20*10.2,IF(DC56&lt;8,30*10.2,IF(DC56=8,35*10.2,IF(DC56&lt;15,40*10.2,IF(DC56=15,42*10.2,IF(DC56&lt;30,45*10.2,IF(DC56=30,50*10.2,70*10.2))))))))))))</f>
        <v> </v>
      </c>
      <c r="DR56" s="244" t="str">
        <f aca="false">IF(BR56=0,"",IF(AS56=$AX$4,220*DP56*0.0101972,""))</f>
        <v/>
      </c>
      <c r="DS56" s="271" t="str">
        <f aca="false">IF(BR56=0,"",IF(AS56=$AX$7,(SUM(DH56:DO56)-MIN(DH56:DO56)-MAX(DH56:DO56))/6,(SUM(DO56:DR56)-MIN(DO56:DR56)-MAX(DO56:DR56))/2))</f>
        <v/>
      </c>
      <c r="DT56" s="244" t="str">
        <f aca="false">IF(AW56=" "," ",IF(DC56=""," ",IF(DC56&lt;4,0.2,IF(DC56=4,0.27,IF(DC56&lt;10,0.33,IF(DC56=10,0.35,IF(DC56&lt;30,0.36,IF(DC56=30,0.37,IF(DC56&lt;50,0.38,IF(DC56=50,0.4,0.45))))))))))</f>
        <v> </v>
      </c>
      <c r="DU56" s="272" t="str">
        <f aca="false">IF(AW56=" "," ",IF(CC56=""," ",IF(CC56&lt;2,0.2,IF(CC56=2,0.23,IF(CC56&lt;4,0.26,IF(CC56=4,0.29,IF(CC56&lt;8,0.32,IF(CC56=8,0.35,IF(CC56&lt;15,0.38,IF(CC56=15,0.41,IF(CC56&lt;30,0.44,IF(CC56=30,0.47,0.5))))))))))))</f>
        <v> </v>
      </c>
      <c r="DV56" s="244" t="str">
        <f aca="false">IF(BR56=0,"",IF(AS56=$AX$3,DT56,DU56))</f>
        <v/>
      </c>
      <c r="DW56" s="244" t="str">
        <f aca="false">IF(BR56=0,"",IF(DC56&gt;15,15+0.5*(DC56-15),DC56))</f>
        <v/>
      </c>
      <c r="DX56" s="244" t="str">
        <f aca="false">IF(BR56=0,"",IF($S$12="SI",IF(CD56="NO",IF($AD$12&gt;(BO56+1.5*$ED$15),1,0.5),0.5),1))</f>
        <v/>
      </c>
      <c r="DY56" s="244" t="str">
        <f aca="false">IF(BR56=0,"",IF($S$12="SI",IF(CD56="NO",IF($AD$12&gt;(BO56+1.5*$EE$15),1,0.5),0.5),1))</f>
        <v/>
      </c>
      <c r="DZ56" s="244" t="str">
        <f aca="false">IF(BR56=0,"",IF($S$12="SI",IF(CD56="NO",IF($AD$12&gt;(BO56+1.5*$EF$15),1,0.5),0.5),1))</f>
        <v/>
      </c>
      <c r="EA56" s="244" t="str">
        <f aca="false">IF(BR56=0,"",IF($S$12="SI",IF(CD56="NO",IF($AD$12&gt;(BO56+1.5*$ED$15),1,0.5),IF($AD$12=BO56,1,0.5)),1))</f>
        <v/>
      </c>
      <c r="EB56" s="244" t="str">
        <f aca="false">IF(BR56=0,"",IF($S$12="SI",IF(CD56="NO",IF($AD$12&gt;(BO56+1.5*$EE$15),1,0.5),IF($AD$12=BO56,1,0.5)),1))</f>
        <v/>
      </c>
      <c r="EC56" s="244" t="str">
        <f aca="false">IF(BR56=0,"",IF($S$12="SI",IF(CD56="NO",IF($AD$12&gt;(BO56+1.5*$EF$15),1,0.5),IF($AD$12=BO56,1,0.5)),1))</f>
        <v/>
      </c>
      <c r="ED56" s="244" t="str">
        <f aca="false">IF(BR56=0,"",(DW56*($ED$15/10)*(DX56+EA56*(BO56/$ED$15))*1)/3)</f>
        <v/>
      </c>
      <c r="EE56" s="244" t="str">
        <f aca="false">IF(BR56=0,"",(DW56*($EE$15/10)*(DY56+EB56*(BO56/$EE$15))*1)/3)</f>
        <v/>
      </c>
      <c r="EF56" s="244" t="str">
        <f aca="false">IF(BR56=0,"",(DW56*($EF$15/10)*(DZ56+EC56*(BO56/$EF$15))*1)/3)</f>
        <v/>
      </c>
      <c r="EG56" s="273" t="str">
        <f aca="false">IF(BR56=0,"",IF(CD56="SI",0.5,1))</f>
        <v/>
      </c>
      <c r="EH56" s="244" t="str">
        <f aca="false">IF(BR56=0,"",IF((1+0.33*(BO56/$ED$15))&lt;=1.33,(1+0.33*(BO56/$ED$15)),1.33))</f>
        <v/>
      </c>
      <c r="EI56" s="244" t="str">
        <f aca="false">IF(BR56=0,"",IF((1+0.33*(BO56/$EE$15))&lt;=1.33,(1+0.33*(BO56/$EE$15)),1.33))</f>
        <v/>
      </c>
      <c r="EJ56" s="244" t="str">
        <f aca="false">IF(BR56=0,"",IF((1+0.33*(BO56/$EF$15))&lt;=1.33,(1+0.33*(BO56/$EF$15)),1.33))</f>
        <v/>
      </c>
      <c r="EK56" s="244" t="str">
        <f aca="false">IF(BR56=0,"",IF($ED$15&lt;=1.2,((20*DC56*EG56*EH56)/3)*0.010197,((12.5*DC56*((($ED$15+0.3)^2)/$ED$15)*EG56*EH56)/3)*0.010197))</f>
        <v/>
      </c>
      <c r="EL56" s="244" t="str">
        <f aca="false">IF(BR56=0,"",IF($EE$15&lt;=1.2,((20*DC56*EG56*EI56)/3)*0.010197,((12.5*DC56*((($EE$15+0.3)^2)/$EE$15)*EG56*EI56)/3)*0.010197))</f>
        <v/>
      </c>
      <c r="EM56" s="244" t="str">
        <f aca="false">IF(BR56=0,"",IF($EF$15&lt;=1.2,((20*DC56*EG56*EJ56)/3)*0.010197,((12.5*DC56*((($EF$15+0.3)^2)/$EF$15)*EG56*EJ56)/3)*0.010197))</f>
        <v/>
      </c>
      <c r="EN56" s="248" t="str">
        <f aca="false">IF(BR56=0,"",SQRT(12*CC56)+25)</f>
        <v/>
      </c>
      <c r="EO56" s="248" t="str">
        <f aca="false">IF(BR56=0,"",28.5+0.25*CC56)</f>
        <v/>
      </c>
      <c r="EP56" s="248" t="str">
        <f aca="false">IF(BR56=0,"",SQRT(20*CC56)+15)</f>
        <v/>
      </c>
      <c r="EQ56" s="248" t="str">
        <f aca="false">IF(BR56=0,"",23.7+0.57*CC56-0.0006*CC56*CC56)</f>
        <v/>
      </c>
      <c r="ER56" s="248" t="str">
        <f aca="false">IF(BR56=0,"",15+SQRT(12.5*DC56))</f>
        <v/>
      </c>
      <c r="ES56" s="248" t="str">
        <f aca="false">IF(BR56=0,"",3.5*SQRT(CC56)+20)</f>
        <v/>
      </c>
      <c r="ET56" s="248" t="str">
        <f aca="false">IF(BR56=0,"",27.1+0.3*DC56-0.00054*DC56*DC56)</f>
        <v/>
      </c>
      <c r="EU56" s="248" t="str">
        <f aca="false">IF(BR56=0,"",SQRT(20*CC56)+20)</f>
        <v/>
      </c>
      <c r="EV56" s="248" t="str">
        <f aca="false">IF(BR56=0,"",12.79+SQRT(25.86*CC56))</f>
        <v/>
      </c>
      <c r="EW56" s="248" t="str">
        <f aca="false">IF(BR56=0,"",DEGREES(_xlfn.ACOT((CC56/(12.2+20.3*CR56))^0.34)))</f>
        <v/>
      </c>
      <c r="EX56" s="248" t="str">
        <f aca="false">IF(BR56=0,"",24+(5.77*LN(0.17*DC56)))</f>
        <v/>
      </c>
      <c r="EY56" s="248" t="str">
        <f aca="false">IF(BR56=0,"",(SUM(EN56:EX56)-MIN(EN56:EX56)-MAX(EN56:EX56))/9)</f>
        <v/>
      </c>
      <c r="EZ56" s="248" t="str">
        <f aca="false">IF(BR56=0,"", -0.0000000034*CC56^6 + 0.0000008305*CC56^5 - 0.0000741842*CC56^4 + 0.0030204278*CC56^3 - 0.0541594733*CC56^2 + 0.8083147848*CC56 - 0.6182191243)</f>
        <v/>
      </c>
      <c r="FA56" s="249" t="str">
        <f aca="false">IF(BR56=0,"",(0.134811827956989*CC56 - 0.0383064516129019)/2)</f>
        <v/>
      </c>
      <c r="FB56" s="249" t="str">
        <f aca="false">IF(BR56=0,"",CC56*0.065)</f>
        <v/>
      </c>
      <c r="FC56" s="249" t="str">
        <f aca="false">IF(BR56=0,"",(CC56*0.12*0.48)*SQRT((1+SIN(EZ56*((2*PI())/360))/(1-SIN(EZ56*((2*PI())/360))))))</f>
        <v/>
      </c>
      <c r="FD56" s="249" t="str">
        <f aca="false">IF(BR56=0,"",(CC56/8)/2)</f>
        <v/>
      </c>
      <c r="FE56" s="249" t="str">
        <f aca="false">IF(BR56=0,"",(SUM(FA56:FD56)-MIN(FA56:FD56)-MAX(FA56:FD56))/2)</f>
        <v/>
      </c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</row>
    <row r="57" customFormat="false" ht="9.75" hidden="false" customHeight="true" outlineLevel="0" collapsed="false">
      <c r="A57" s="197" t="n">
        <f aca="false">ROUND(A56+0.1,1)</f>
        <v>4</v>
      </c>
      <c r="B57" s="281" t="n">
        <f aca="false">+A57</f>
        <v>4</v>
      </c>
      <c r="C57" s="291"/>
      <c r="D57" s="292"/>
      <c r="E57" s="252"/>
      <c r="F57" s="253"/>
      <c r="G57" s="254"/>
      <c r="H57" s="284"/>
      <c r="I57" s="285"/>
      <c r="J57" s="257"/>
      <c r="K57" s="258"/>
      <c r="L57" s="259"/>
      <c r="M57" s="276"/>
      <c r="N57" s="277"/>
      <c r="O57" s="277"/>
      <c r="P57" s="277"/>
      <c r="Q57" s="293"/>
      <c r="R57" s="294"/>
      <c r="S57" s="294"/>
      <c r="T57" s="295"/>
      <c r="U57" s="295"/>
      <c r="V57" s="296"/>
      <c r="W57" s="296"/>
      <c r="X57" s="296"/>
      <c r="Y57" s="296"/>
      <c r="Z57" s="296"/>
      <c r="AA57" s="296"/>
      <c r="AB57" s="297"/>
      <c r="AC57" s="298"/>
      <c r="AD57" s="299"/>
      <c r="AE57" s="298"/>
      <c r="AF57" s="300"/>
      <c r="AG57" s="267"/>
      <c r="AH57" s="267"/>
      <c r="AI57" s="241"/>
      <c r="AJ57" s="241"/>
      <c r="AK57" s="266"/>
      <c r="AL57" s="266"/>
      <c r="AM57" s="268"/>
      <c r="AN57" s="281" t="n">
        <f aca="false">+AN55+0.2</f>
        <v>4</v>
      </c>
      <c r="AO57" s="291"/>
      <c r="AP57" s="292"/>
      <c r="AQ57" s="252"/>
      <c r="AR57" s="253"/>
      <c r="AS57" s="269" t="s">
        <v>13</v>
      </c>
      <c r="AT57" s="221"/>
      <c r="AU57" s="269"/>
      <c r="AV57" s="269"/>
      <c r="AW57" s="270" t="n">
        <f aca="false">+K57+L57</f>
        <v>0</v>
      </c>
      <c r="AX57" s="270" t="str">
        <f aca="false">IF(AS57="&gt;50","CONSISTENCIA",IF(AS57="&lt;50","COMPACIDAD"," "))</f>
        <v>COMPACIDAD</v>
      </c>
      <c r="AY57" s="225" t="str">
        <f aca="false">IF(AS57="&gt;50",AZ57,IF(AS57="&lt;50",BA57," "))</f>
        <v> </v>
      </c>
      <c r="AZ57" s="224" t="str">
        <f aca="false">IF(AW57=" "," ",IF(CC57=""," ",IF(CC57&lt;2,"MUY BLANDA",IF(CC57=2,"MUY BLANDA A BLANDA",IF(CC57&lt;4,"BLANDA",IF(CC57=4,"BLANDA A MEDIA",IF(CC57&lt;8,"MEDIA",IF(CC57=8,"MEDIA A FIRME",IF(CC57&lt;15,"FIRME",IF(CC57=15,"FIRME A MUY FIRME",IF(CC57&lt;30,"MUY FIRME",IF(CC57=30,"MUY FIRME A DURA","DURA"))))))))))))</f>
        <v> </v>
      </c>
      <c r="BA57" s="225" t="str">
        <f aca="false">IF(AW57=" "," ",IF(DC57=""," ",IF(DC57&lt;4,"MUY SUELTA",IF(DC57=4,"MUY SUELTA A SUELTA",IF(DC57&lt;10,"SUELTA",IF(DC57=10,"SUELTA A MEDIA",IF(DC57&lt;30,"MEDIA",IF(DC57=30,"MEDIA A DENSO",IF(DC57&lt;50,"DENSO",IF(DC57=50,"DENSO MUY DENSO","MUY DENSO"))))))))))</f>
        <v> </v>
      </c>
      <c r="BB57" s="190" t="str">
        <f aca="false">IF(BR58=0,"",CQ58*0.0101972)</f>
        <v/>
      </c>
      <c r="BC57" s="227" t="n">
        <f aca="false">+BC56+0.1</f>
        <v>4</v>
      </c>
      <c r="BD57" s="227" t="str">
        <f aca="false">IF(BC57&lt;=$AN$10,BC57,"")</f>
        <v/>
      </c>
      <c r="BE57" s="228" t="n">
        <f aca="false">ISNUMBER(BD57)</f>
        <v>0</v>
      </c>
      <c r="BF57" s="229" t="str">
        <f aca="false">MID(M57,1,1)</f>
        <v/>
      </c>
      <c r="BG57" s="230" t="str">
        <f aca="false">IF(BF57="S","",IF(BF57="G","",MID(M57,2,1)))</f>
        <v/>
      </c>
      <c r="BH57" s="231" t="str">
        <f aca="false">CONCATENATE(BF57,BG57)</f>
        <v/>
      </c>
      <c r="BI57" s="6" t="str">
        <f aca="false">IF(BE57=FALSE(),"",IF(BH57="",BI56,BH57))</f>
        <v/>
      </c>
      <c r="BJ57" s="74" t="str">
        <f aca="false">IF(OR(BI57="S",BI57="G"),BI57,"X")</f>
        <v>X</v>
      </c>
      <c r="BK57" s="74" t="s">
        <v>217</v>
      </c>
      <c r="BL57" s="302" t="e">
        <f aca="false">INDEX(sim_0,MATCH($BJ$57,granular,0))</f>
        <v>#NAME?</v>
      </c>
      <c r="BM57" s="302"/>
      <c r="BN57" s="6"/>
      <c r="BO57" s="191" t="n">
        <f aca="false">BO56+0.1</f>
        <v>4</v>
      </c>
      <c r="BP57" s="233" t="e">
        <f aca="false">IF(AW57=0,NA(),IF(AS57=$AX$3,ROUND(DC57,0),NA()))</f>
        <v>#N/A</v>
      </c>
      <c r="BQ57" s="31" t="e">
        <f aca="false">IF(AW57=0,NA(),IF(AS57=$AX$4,ROUND(CC57,0),NA()))</f>
        <v>#N/A</v>
      </c>
      <c r="BR57" s="234" t="n">
        <f aca="false">+AW57</f>
        <v>0</v>
      </c>
      <c r="BS57" s="235" t="str">
        <f aca="false">IF(BR57=0,"", -0.00000000016128755327*CC57^6 + 0.00000006709386362421*CC57^5 - 0.0000106217678052217*CC57^4 + 0.00081068114193385*CC57^3 - 0.0314027378159951*CC57^2 + 0.649796593937842*CC57 + 13.7888866455022)</f>
        <v/>
      </c>
      <c r="BT57" s="235" t="str">
        <f aca="false">IF(BR57=0,"",-0.00000000014625939695*CC57^6 + 0.00000004971732060241*CC57^5 - 0.000006683744342031*CC57^4 + 0.0004563177378098*CC57^3 - 0.0171727530635803*CC57^2 + 0.444529932876435*CC57 + 15.6692518940565)</f>
        <v/>
      </c>
      <c r="BU57" s="236" t="str">
        <f aca="false">IF(BR57=0,"", -0.0000000008152265738*BR57^6 + 0.00000022764320256987*BR57^5 - 0.0000248205675927705*BR57^4 + 0.00133186623684865*BR57^3 - 0.0368442570441677*BR57^2 + 0.580111565569094*BR57 + 14.0417598296107)</f>
        <v/>
      </c>
      <c r="BV57" s="236" t="str">
        <f aca="false">IF(BR57=0,"", -0.00000000004321395721*BR57^6 + 0.00000002531844275498*BR57^5 - 0.00000369428022780862*BR57^4 + 0.00020283665900125*BR57^3 - 0.00462426256803268*BR57^2 + 0.139572935065453*BR57 + 15.4475338156923)</f>
        <v/>
      </c>
      <c r="BW57" s="236" t="str">
        <f aca="false">IF(BR57=0,"",-0.00000000033126390082*BR57^6 + 0.00000010463660614506*BR57^5 - 0.0000129629592998707*BR57^4 + 0.000803946335250767*BR57^3 - 0.0270257140395994*BR57^2 + 0.562590210721552*BR57+ 12.1254107606419)</f>
        <v/>
      </c>
      <c r="BX57" s="236" t="str">
        <f aca="false">IF(BR57=0,"",-0.00000000002593504955*BR57^6 + 0.00000002430495156704*BR57^5 - 0.00000386103271086364*BR57^4 + 0.000214416118986322*BR57^3 - 0.0047271462612021*BR57^2 + 0.156696175741135*BR57 + 15.4598891949502)</f>
        <v/>
      </c>
      <c r="BY57" s="234" t="str">
        <f aca="false">IF(BR57=0,"",$BS$2)</f>
        <v/>
      </c>
      <c r="BZ57" s="234" t="str">
        <f aca="false">IF(BR57=0,"",$BS$3)</f>
        <v/>
      </c>
      <c r="CA57" s="234" t="str">
        <f aca="false">IF(BR57=0,"",$BS$4)</f>
        <v/>
      </c>
      <c r="CB57" s="235" t="str">
        <f aca="false">IF(BR57=0,"",IF(AND(BO57&gt;=0,BO57&lt;4),0.75,IF(AND(BO57&gt;=4,BO57&lt;6),0.85,IF(AND(BO57&gt;=6,BO57&lt;=10),0.95,1))))</f>
        <v/>
      </c>
      <c r="CC57" s="234" t="str">
        <f aca="false">IF(BR57=0,"",BR57*BY57*BZ57*CA57*CB57/60)</f>
        <v/>
      </c>
      <c r="CD57" s="238" t="str">
        <f aca="false">IF(BR57=0,"",IF($S$12="NO","NO",IF($AD$12&lt;=BO57,"SI","NO")))</f>
        <v/>
      </c>
      <c r="CE57" s="235" t="n">
        <f aca="false">IF(BR57=0,0,AB57)</f>
        <v>0</v>
      </c>
      <c r="CF57" s="235" t="n">
        <f aca="false">IF(CE57&gt;0,BO57,0)</f>
        <v>0</v>
      </c>
      <c r="CG57" s="239" t="n">
        <f aca="false">IF(CF57=0,CF57+CG56,CF57)</f>
        <v>0</v>
      </c>
      <c r="CH57" s="239" t="n">
        <f aca="false">IF(CG57=CG56,CH56,ABS(CG57-CG56))</f>
        <v>0</v>
      </c>
      <c r="CI57" s="239" t="n">
        <f aca="false">+CE57*CH57</f>
        <v>0</v>
      </c>
      <c r="CJ57" s="239" t="n">
        <f aca="false">IF(CI57=0,CI57+CJ56,CI57)</f>
        <v>0</v>
      </c>
      <c r="CK57" s="239" t="n">
        <f aca="false">IF(CJ57=CJ56,CK56,ABS(CJ57+CK56))</f>
        <v>0</v>
      </c>
      <c r="CL57" s="241" t="n">
        <f aca="false">IF(CE57=0,0,CK57)</f>
        <v>0</v>
      </c>
      <c r="CM57" s="239" t="n">
        <f aca="false">IF(CE57=0,0,CH57*9.81)</f>
        <v>0</v>
      </c>
      <c r="CN57" s="239" t="n">
        <f aca="false">IF(CM57=0,CM57+CN56,CM57)</f>
        <v>0</v>
      </c>
      <c r="CO57" s="239" t="n">
        <f aca="false">IF(CN57=CN56,CO56,ABS(CN57+CO56))</f>
        <v>0</v>
      </c>
      <c r="CP57" s="241" t="n">
        <f aca="false">IF(CD57="NO",0,IF(CE57=0,0,CO57))</f>
        <v>0</v>
      </c>
      <c r="CQ57" s="244" t="str">
        <f aca="false">IF(BR57=0,"",CL57-CP57)</f>
        <v/>
      </c>
      <c r="CR57" s="244" t="str">
        <f aca="false">IF(BR57=0,"",CQ57/101.3)</f>
        <v/>
      </c>
      <c r="CS57" s="244" t="str">
        <f aca="false">IF(BR57=0,"",LOG(10/CR57))</f>
        <v/>
      </c>
      <c r="CT57" s="243" t="str">
        <f aca="false">IF(BR57=0,"",IF(SQRT(101.3/CQ57)&lt;=1.7,SQRT(101.3/CQ57),2.2/(1.2+(CQ57/101.3))))</f>
        <v/>
      </c>
      <c r="CU57" s="244" t="str">
        <f aca="false">IF(BR57=0,"",1.7/(0.7+CR57))</f>
        <v/>
      </c>
      <c r="CV57" s="244" t="str">
        <f aca="false">IF(BR57=0,"",IF(CR57&gt;=0.25,0.77*LOG(20/CR57),""))</f>
        <v/>
      </c>
      <c r="CW57" s="244" t="str">
        <f aca="false">IF(BR57=0,"",32.5/(10.2+20.3*CR57))</f>
        <v/>
      </c>
      <c r="CX57" s="244" t="str">
        <f aca="false">IF(BR57=0,"",1-1.25*LOG(CR57))</f>
        <v/>
      </c>
      <c r="CY57" s="244" t="str">
        <f aca="false">IF(BR57=0,"",IF(CR57&lt;1,1-1.41*LOG(CR57),1+0.92*LOG(CR57)))</f>
        <v/>
      </c>
      <c r="CZ57" s="244" t="str">
        <f aca="false">IF(BR57=0,"",2/(1+CR57))</f>
        <v/>
      </c>
      <c r="DA57" s="244" t="str">
        <f aca="false">IF(BR57=0,"",IF(CR57&lt;=0.75,4/(1+4*CR57),4/(3.25+CR57)))</f>
        <v/>
      </c>
      <c r="DB57" s="244" t="str">
        <f aca="false">IF(BR57=0,"",CT57)</f>
        <v/>
      </c>
      <c r="DC57" s="244" t="str">
        <f aca="false">IF(BR57=0,"",DB57*CC57)</f>
        <v/>
      </c>
      <c r="DD57" s="244"/>
      <c r="DE57" s="244" t="str">
        <f aca="false">IF(BR57=0,"",0.193*(CC57/(CQ57*0.001))^0.689)</f>
        <v/>
      </c>
      <c r="DF57" s="244" t="str">
        <f aca="false">IF(BR57=0,"",IF(AS57=$AX$4,(0.1348118*CC57 - 0.0383065)*98.0665,""))</f>
        <v/>
      </c>
      <c r="DG57" s="244" t="str">
        <f aca="false">IF(BR57=0,"",IF(AS57=$AX$4,DF57/2,""))</f>
        <v/>
      </c>
      <c r="DH57" s="244" t="str">
        <f aca="false">IF(BR57=0,"",IF(DC57&lt;=15,12*(DC57+6),40+12*(DC57-6)))</f>
        <v/>
      </c>
      <c r="DI57" s="244" t="str">
        <f aca="false">IF(BR57=0,"",IF(CD57="SI",5*(DC57+15),((3.3*(DC57+15))+(4*(DC57+12)))/2))</f>
        <v/>
      </c>
      <c r="DJ57" s="244" t="str">
        <f aca="false">IF(BR57=0,"",8*DC57)</f>
        <v/>
      </c>
      <c r="DK57" s="244" t="str">
        <f aca="false">IF(BR57=0,"",215+(10.6*DC57))</f>
        <v/>
      </c>
      <c r="DL57" s="244" t="str">
        <f aca="false">IF(BR57=0,"",10*(7.5+(0.5*DC57)))</f>
        <v/>
      </c>
      <c r="DM57" s="244" t="str">
        <f aca="false">IF(BR57=0,"",8*DC57)</f>
        <v/>
      </c>
      <c r="DN57" s="244" t="str">
        <f aca="false">IF(AW57=" "," ",IF(DC57=""," ",IF(DC57&lt;4,10*10.2,IF(DC57=4,12*10.2,IF(DC57&lt;10,17.5*10.5,IF(DC57=10,15*10.2,IF(DC57&lt;30,22.5*10.2,IF(DC57=30,35*10.2,IF(DC57&lt;50,40*10.2,IF(DC57=50,50*10.2,55*10.2))))))))))</f>
        <v> </v>
      </c>
      <c r="DO57" s="244" t="str">
        <f aca="false">IF(BR57=0,"",7*SQRT(DC57)*10.1972)</f>
        <v/>
      </c>
      <c r="DP57" s="244" t="str">
        <f aca="false">IF(BR57=0,"",IF(AS57=$AX$4,5*CC57,""))</f>
        <v/>
      </c>
      <c r="DQ57" s="244" t="str">
        <f aca="false">IF(AW57=" "," ",IF(DC57=""," ",IF(DC57&lt;2,4*10.2,IF(DC57=2,6*10.2,IF(DC57&lt;4,12*10.2,IF(DC57=4,20*10.2,IF(DC57&lt;8,30*10.2,IF(DC57=8,35*10.2,IF(DC57&lt;15,40*10.2,IF(DC57=15,42*10.2,IF(DC57&lt;30,45*10.2,IF(DC57=30,50*10.2,70*10.2))))))))))))</f>
        <v> </v>
      </c>
      <c r="DR57" s="244" t="str">
        <f aca="false">IF(BR57=0,"",IF(AS57=$AX$4,220*DP57*0.0101972,""))</f>
        <v/>
      </c>
      <c r="DS57" s="271" t="str">
        <f aca="false">IF(BR57=0,"",IF(AS57=$AX$7,(SUM(DH57:DO57)-MIN(DH57:DO57)-MAX(DH57:DO57))/6,(SUM(DO57:DR57)-MIN(DO57:DR57)-MAX(DO57:DR57))/2))</f>
        <v/>
      </c>
      <c r="DT57" s="244" t="str">
        <f aca="false">IF(AW57=" "," ",IF(DC57=""," ",IF(DC57&lt;4,0.2,IF(DC57=4,0.27,IF(DC57&lt;10,0.33,IF(DC57=10,0.35,IF(DC57&lt;30,0.36,IF(DC57=30,0.37,IF(DC57&lt;50,0.38,IF(DC57=50,0.4,0.45))))))))))</f>
        <v> </v>
      </c>
      <c r="DU57" s="272" t="str">
        <f aca="false">IF(AW57=" "," ",IF(CC57=""," ",IF(CC57&lt;2,0.2,IF(CC57=2,0.23,IF(CC57&lt;4,0.26,IF(CC57=4,0.29,IF(CC57&lt;8,0.32,IF(CC57=8,0.35,IF(CC57&lt;15,0.38,IF(CC57=15,0.41,IF(CC57&lt;30,0.44,IF(CC57=30,0.47,0.5))))))))))))</f>
        <v> </v>
      </c>
      <c r="DV57" s="244" t="str">
        <f aca="false">IF(BR57=0,"",IF(AS57=$AX$3,DT57,DU57))</f>
        <v/>
      </c>
      <c r="DW57" s="244" t="str">
        <f aca="false">IF(BR57=0,"",IF(DC57&gt;15,15+0.5*(DC57-15),DC57))</f>
        <v/>
      </c>
      <c r="DX57" s="244" t="str">
        <f aca="false">IF(BR57=0,"",IF($S$12="SI",IF(CD57="NO",IF($AD$12&gt;(BO57+1.5*$ED$15),1,0.5),0.5),1))</f>
        <v/>
      </c>
      <c r="DY57" s="244" t="str">
        <f aca="false">IF(BR57=0,"",IF($S$12="SI",IF(CD57="NO",IF($AD$12&gt;(BO57+1.5*$EE$15),1,0.5),0.5),1))</f>
        <v/>
      </c>
      <c r="DZ57" s="244" t="str">
        <f aca="false">IF(BR57=0,"",IF($S$12="SI",IF(CD57="NO",IF($AD$12&gt;(BO57+1.5*$EF$15),1,0.5),0.5),1))</f>
        <v/>
      </c>
      <c r="EA57" s="244" t="str">
        <f aca="false">IF(BR57=0,"",IF($S$12="SI",IF(CD57="NO",IF($AD$12&gt;(BO57+1.5*$ED$15),1,0.5),IF($AD$12=BO57,1,0.5)),1))</f>
        <v/>
      </c>
      <c r="EB57" s="244" t="str">
        <f aca="false">IF(BR57=0,"",IF($S$12="SI",IF(CD57="NO",IF($AD$12&gt;(BO57+1.5*$EE$15),1,0.5),IF($AD$12=BO57,1,0.5)),1))</f>
        <v/>
      </c>
      <c r="EC57" s="244" t="str">
        <f aca="false">IF(BR57=0,"",IF($S$12="SI",IF(CD57="NO",IF($AD$12&gt;(BO57+1.5*$EF$15),1,0.5),IF($AD$12=BO57,1,0.5)),1))</f>
        <v/>
      </c>
      <c r="ED57" s="244" t="str">
        <f aca="false">IF(BR57=0,"",(DW57*($ED$15/10)*(DX57+EA57*(BO57/$ED$15))*1)/3)</f>
        <v/>
      </c>
      <c r="EE57" s="244" t="str">
        <f aca="false">IF(BR57=0,"",(DW57*($EE$15/10)*(DY57+EB57*(BO57/$EE$15))*1)/3)</f>
        <v/>
      </c>
      <c r="EF57" s="244" t="str">
        <f aca="false">IF(BR57=0,"",(DW57*($EF$15/10)*(DZ57+EC57*(BO57/$EF$15))*1)/3)</f>
        <v/>
      </c>
      <c r="EG57" s="273" t="str">
        <f aca="false">IF(BR57=0,"",IF(CD57="SI",0.5,1))</f>
        <v/>
      </c>
      <c r="EH57" s="244" t="str">
        <f aca="false">IF(BR57=0,"",IF((1+0.33*(BO57/$ED$15))&lt;=1.33,(1+0.33*(BO57/$ED$15)),1.33))</f>
        <v/>
      </c>
      <c r="EI57" s="244" t="str">
        <f aca="false">IF(BR57=0,"",IF((1+0.33*(BO57/$EE$15))&lt;=1.33,(1+0.33*(BO57/$EE$15)),1.33))</f>
        <v/>
      </c>
      <c r="EJ57" s="244" t="str">
        <f aca="false">IF(BR57=0,"",IF((1+0.33*(BO57/$EF$15))&lt;=1.33,(1+0.33*(BO57/$EF$15)),1.33))</f>
        <v/>
      </c>
      <c r="EK57" s="244" t="str">
        <f aca="false">IF(BR57=0,"",IF($ED$15&lt;=1.2,((20*DC57*EG57*EH57)/3)*0.010197,((12.5*DC57*((($ED$15+0.3)^2)/$ED$15)*EG57*EH57)/3)*0.010197))</f>
        <v/>
      </c>
      <c r="EL57" s="244" t="str">
        <f aca="false">IF(BR57=0,"",IF($EE$15&lt;=1.2,((20*DC57*EG57*EI57)/3)*0.010197,((12.5*DC57*((($EE$15+0.3)^2)/$EE$15)*EG57*EI57)/3)*0.010197))</f>
        <v/>
      </c>
      <c r="EM57" s="244" t="str">
        <f aca="false">IF(BR57=0,"",IF($EF$15&lt;=1.2,((20*DC57*EG57*EJ57)/3)*0.010197,((12.5*DC57*((($EF$15+0.3)^2)/$EF$15)*EG57*EJ57)/3)*0.010197))</f>
        <v/>
      </c>
      <c r="EN57" s="248" t="str">
        <f aca="false">IF(BR57=0,"",SQRT(12*CC57)+25)</f>
        <v/>
      </c>
      <c r="EO57" s="248" t="str">
        <f aca="false">IF(BR57=0,"",28.5+0.25*CC57)</f>
        <v/>
      </c>
      <c r="EP57" s="248" t="str">
        <f aca="false">IF(BR57=0,"",SQRT(20*CC57)+15)</f>
        <v/>
      </c>
      <c r="EQ57" s="248" t="str">
        <f aca="false">IF(BR57=0,"",23.7+0.57*CC57-0.0006*CC57*CC57)</f>
        <v/>
      </c>
      <c r="ER57" s="248" t="str">
        <f aca="false">IF(BR57=0,"",15+SQRT(12.5*DC57))</f>
        <v/>
      </c>
      <c r="ES57" s="248" t="str">
        <f aca="false">IF(BR57=0,"",3.5*SQRT(CC57)+20)</f>
        <v/>
      </c>
      <c r="ET57" s="248" t="str">
        <f aca="false">IF(BR57=0,"",27.1+0.3*DC57-0.00054*DC57*DC57)</f>
        <v/>
      </c>
      <c r="EU57" s="248" t="str">
        <f aca="false">IF(BR57=0,"",SQRT(20*CC57)+20)</f>
        <v/>
      </c>
      <c r="EV57" s="248" t="str">
        <f aca="false">IF(BR57=0,"",12.79+SQRT(25.86*CC57))</f>
        <v/>
      </c>
      <c r="EW57" s="248" t="str">
        <f aca="false">IF(BR57=0,"",DEGREES(_xlfn.ACOT((CC57/(12.2+20.3*CR57))^0.34)))</f>
        <v/>
      </c>
      <c r="EX57" s="248" t="str">
        <f aca="false">IF(BR57=0,"",24+(5.77*LN(0.17*DC57)))</f>
        <v/>
      </c>
      <c r="EY57" s="248" t="str">
        <f aca="false">IF(BR57=0,"",(SUM(EN57:EX57)-MIN(EN57:EX57)-MAX(EN57:EX57))/9)</f>
        <v/>
      </c>
      <c r="EZ57" s="248" t="str">
        <f aca="false">IF(BR57=0,"", -0.0000000034*CC57^6 + 0.0000008305*CC57^5 - 0.0000741842*CC57^4 + 0.0030204278*CC57^3 - 0.0541594733*CC57^2 + 0.8083147848*CC57 - 0.6182191243)</f>
        <v/>
      </c>
      <c r="FA57" s="249" t="str">
        <f aca="false">IF(BR57=0,"",(0.134811827956989*CC57 - 0.0383064516129019)/2)</f>
        <v/>
      </c>
      <c r="FB57" s="249" t="str">
        <f aca="false">IF(BR57=0,"",CC57*0.065)</f>
        <v/>
      </c>
      <c r="FC57" s="249" t="str">
        <f aca="false">IF(BR57=0,"",(CC57*0.12*0.48)*SQRT((1+SIN(EZ57*((2*PI())/360))/(1-SIN(EZ57*((2*PI())/360))))))</f>
        <v/>
      </c>
      <c r="FD57" s="249" t="str">
        <f aca="false">IF(BR57=0,"",(CC57/8)/2)</f>
        <v/>
      </c>
      <c r="FE57" s="249" t="str">
        <f aca="false">IF(BR57=0,"",(SUM(FA57:FD57)-MIN(FA57:FD57)-MAX(FA57:FD57))/2)</f>
        <v/>
      </c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</row>
    <row r="58" customFormat="false" ht="9.75" hidden="false" customHeight="true" outlineLevel="0" collapsed="false">
      <c r="A58" s="197" t="n">
        <f aca="false">ROUND(A57+0.1,1)</f>
        <v>4.1</v>
      </c>
      <c r="B58" s="281"/>
      <c r="C58" s="198"/>
      <c r="D58" s="198"/>
      <c r="E58" s="199"/>
      <c r="F58" s="200"/>
      <c r="G58" s="254"/>
      <c r="H58" s="255"/>
      <c r="I58" s="256"/>
      <c r="J58" s="257"/>
      <c r="K58" s="258"/>
      <c r="L58" s="259"/>
      <c r="M58" s="276"/>
      <c r="N58" s="277"/>
      <c r="O58" s="277"/>
      <c r="P58" s="277"/>
      <c r="Q58" s="293"/>
      <c r="R58" s="294"/>
      <c r="S58" s="294"/>
      <c r="T58" s="295"/>
      <c r="U58" s="295"/>
      <c r="V58" s="296"/>
      <c r="W58" s="296"/>
      <c r="X58" s="296"/>
      <c r="Y58" s="296"/>
      <c r="Z58" s="296"/>
      <c r="AA58" s="296"/>
      <c r="AB58" s="297"/>
      <c r="AC58" s="298"/>
      <c r="AD58" s="299"/>
      <c r="AE58" s="298"/>
      <c r="AF58" s="300"/>
      <c r="AG58" s="267"/>
      <c r="AH58" s="267"/>
      <c r="AI58" s="241"/>
      <c r="AJ58" s="241"/>
      <c r="AK58" s="266"/>
      <c r="AL58" s="266"/>
      <c r="AM58" s="268"/>
      <c r="AN58" s="281"/>
      <c r="AO58" s="198"/>
      <c r="AP58" s="198"/>
      <c r="AQ58" s="199"/>
      <c r="AR58" s="200"/>
      <c r="AS58" s="269" t="s">
        <v>13</v>
      </c>
      <c r="AT58" s="221"/>
      <c r="AU58" s="269"/>
      <c r="AV58" s="269"/>
      <c r="AW58" s="270" t="n">
        <f aca="false">+K58+L58</f>
        <v>0</v>
      </c>
      <c r="AX58" s="270" t="str">
        <f aca="false">IF(AS58="&gt;50","CONSISTENCIA",IF(AS58="&lt;50","COMPACIDAD"," "))</f>
        <v>COMPACIDAD</v>
      </c>
      <c r="AY58" s="225" t="str">
        <f aca="false">IF(AS58="&gt;50",AZ58,IF(AS58="&lt;50",BA58," "))</f>
        <v> </v>
      </c>
      <c r="AZ58" s="224" t="str">
        <f aca="false">IF(AW58=" "," ",IF(CC58=""," ",IF(CC58&lt;2,"MUY BLANDA",IF(CC58=2,"MUY BLANDA A BLANDA",IF(CC58&lt;4,"BLANDA",IF(CC58=4,"BLANDA A MEDIA",IF(CC58&lt;8,"MEDIA",IF(CC58=8,"MEDIA A FIRME",IF(CC58&lt;15,"FIRME",IF(CC58=15,"FIRME A MUY FIRME",IF(CC58&lt;30,"MUY FIRME",IF(CC58=30,"MUY FIRME A DURA","DURA"))))))))))))</f>
        <v> </v>
      </c>
      <c r="BA58" s="225" t="str">
        <f aca="false">IF(AW58=" "," ",IF(DC58=""," ",IF(DC58&lt;4,"MUY SUELTA",IF(DC58=4,"MUY SUELTA A SUELTA",IF(DC58&lt;10,"SUELTA",IF(DC58=10,"SUELTA A MEDIA",IF(DC58&lt;30,"MEDIA",IF(DC58=30,"MEDIA A DENSO",IF(DC58&lt;50,"DENSO",IF(DC58=50,"DENSO MUY DENSO","MUY DENSO"))))))))))</f>
        <v> </v>
      </c>
      <c r="BB58" s="226" t="str">
        <f aca="false">IF(BR59=0,"",CQ59*0.0101972)</f>
        <v/>
      </c>
      <c r="BC58" s="227" t="n">
        <f aca="false">+BC57+0.1</f>
        <v>4.1</v>
      </c>
      <c r="BD58" s="227" t="str">
        <f aca="false">IF(BC58&lt;=$AN$10,BC58,"")</f>
        <v/>
      </c>
      <c r="BE58" s="228" t="n">
        <f aca="false">ISNUMBER(BD58)</f>
        <v>0</v>
      </c>
      <c r="BF58" s="229" t="str">
        <f aca="false">MID(M58,1,1)</f>
        <v/>
      </c>
      <c r="BG58" s="230" t="str">
        <f aca="false">IF(BF58="S","",IF(BF58="G","",MID(M58,2,1)))</f>
        <v/>
      </c>
      <c r="BH58" s="231" t="str">
        <f aca="false">CONCATENATE(BF58,BG58)</f>
        <v/>
      </c>
      <c r="BI58" s="6" t="str">
        <f aca="false">IF(BE58=FALSE(),"",IF(BH58="",BI57,BH58))</f>
        <v/>
      </c>
      <c r="BJ58" s="74" t="str">
        <f aca="false">IF(OR(BI58="S",BI58="G"),BI58,"X")</f>
        <v>X</v>
      </c>
      <c r="BK58" s="74" t="s">
        <v>218</v>
      </c>
      <c r="BL58" s="303" t="e">
        <f aca="false">INDEX(sim_0,MATCH($BJ$58,granular,0))</f>
        <v>#NAME?</v>
      </c>
      <c r="BM58" s="303"/>
      <c r="BN58" s="6"/>
      <c r="BO58" s="191" t="n">
        <f aca="false">BO57+0.1</f>
        <v>4.1</v>
      </c>
      <c r="BP58" s="233" t="e">
        <f aca="false">IF(AW58=0,NA(),IF(AS58=$AX$3,ROUND(DC58,0),NA()))</f>
        <v>#N/A</v>
      </c>
      <c r="BQ58" s="31" t="e">
        <f aca="false">IF(AW58=0,NA(),IF(AS58=$AX$4,ROUND(CC58,0),NA()))</f>
        <v>#N/A</v>
      </c>
      <c r="BR58" s="234" t="n">
        <f aca="false">+AW58</f>
        <v>0</v>
      </c>
      <c r="BS58" s="235" t="str">
        <f aca="false">IF(BR58=0,"", -0.00000000016128755327*CC58^6 + 0.00000006709386362421*CC58^5 - 0.0000106217678052217*CC58^4 + 0.00081068114193385*CC58^3 - 0.0314027378159951*CC58^2 + 0.649796593937842*CC58 + 13.7888866455022)</f>
        <v/>
      </c>
      <c r="BT58" s="235" t="str">
        <f aca="false">IF(BR58=0,"",-0.00000000014625939695*CC58^6 + 0.00000004971732060241*CC58^5 - 0.000006683744342031*CC58^4 + 0.0004563177378098*CC58^3 - 0.0171727530635803*CC58^2 + 0.444529932876435*CC58 + 15.6692518940565)</f>
        <v/>
      </c>
      <c r="BU58" s="236" t="str">
        <f aca="false">IF(BR58=0,"", -0.0000000008152265738*BR58^6 + 0.00000022764320256987*BR58^5 - 0.0000248205675927705*BR58^4 + 0.00133186623684865*BR58^3 - 0.0368442570441677*BR58^2 + 0.580111565569094*BR58 + 14.0417598296107)</f>
        <v/>
      </c>
      <c r="BV58" s="236" t="str">
        <f aca="false">IF(BR58=0,"", -0.00000000004321395721*BR58^6 + 0.00000002531844275498*BR58^5 - 0.00000369428022780862*BR58^4 + 0.00020283665900125*BR58^3 - 0.00462426256803268*BR58^2 + 0.139572935065453*BR58 + 15.4475338156923)</f>
        <v/>
      </c>
      <c r="BW58" s="236" t="str">
        <f aca="false">IF(BR58=0,"",-0.00000000033126390082*BR58^6 + 0.00000010463660614506*BR58^5 - 0.0000129629592998707*BR58^4 + 0.000803946335250767*BR58^3 - 0.0270257140395994*BR58^2 + 0.562590210721552*BR58+ 12.1254107606419)</f>
        <v/>
      </c>
      <c r="BX58" s="236" t="str">
        <f aca="false">IF(BR58=0,"",-0.00000000002593504955*BR58^6 + 0.00000002430495156704*BR58^5 - 0.00000386103271086364*BR58^4 + 0.000214416118986322*BR58^3 - 0.0047271462612021*BR58^2 + 0.156696175741135*BR58 + 15.4598891949502)</f>
        <v/>
      </c>
      <c r="BY58" s="234" t="str">
        <f aca="false">IF(BR58=0,"",$BS$2)</f>
        <v/>
      </c>
      <c r="BZ58" s="234" t="str">
        <f aca="false">IF(BR58=0,"",$BS$3)</f>
        <v/>
      </c>
      <c r="CA58" s="234" t="str">
        <f aca="false">IF(BR58=0,"",$BS$4)</f>
        <v/>
      </c>
      <c r="CB58" s="235" t="str">
        <f aca="false">IF(BR58=0,"",IF(AND(BO58&gt;=0,BO58&lt;4),0.75,IF(AND(BO58&gt;=4,BO58&lt;6),0.85,IF(AND(BO58&gt;=6,BO58&lt;=10),0.95,1))))</f>
        <v/>
      </c>
      <c r="CC58" s="234" t="str">
        <f aca="false">IF(BR58=0,"",BR58*BY58*BZ58*CA58*CB58/60)</f>
        <v/>
      </c>
      <c r="CD58" s="238" t="str">
        <f aca="false">IF(BR58=0,"",IF($S$12="NO","NO",IF($AD$12&lt;=BO58,"SI","NO")))</f>
        <v/>
      </c>
      <c r="CE58" s="235" t="n">
        <f aca="false">IF(BR58=0,0,AB58)</f>
        <v>0</v>
      </c>
      <c r="CF58" s="235" t="n">
        <f aca="false">IF(CE58&gt;0,BO58,0)</f>
        <v>0</v>
      </c>
      <c r="CG58" s="239" t="n">
        <f aca="false">IF(CF58=0,CF58+CG57,CF58)</f>
        <v>0</v>
      </c>
      <c r="CH58" s="239" t="n">
        <f aca="false">IF(CG58=CG57,CH57,ABS(CG58-CG57))</f>
        <v>0</v>
      </c>
      <c r="CI58" s="239" t="n">
        <f aca="false">+CE58*CH58</f>
        <v>0</v>
      </c>
      <c r="CJ58" s="239" t="n">
        <f aca="false">IF(CI58=0,CI58+CJ57,CI58)</f>
        <v>0</v>
      </c>
      <c r="CK58" s="239" t="n">
        <f aca="false">IF(CJ58=CJ57,CK57,ABS(CJ58+CK57))</f>
        <v>0</v>
      </c>
      <c r="CL58" s="241" t="n">
        <f aca="false">IF(CE58=0,0,CK58)</f>
        <v>0</v>
      </c>
      <c r="CM58" s="239" t="n">
        <f aca="false">IF(CE58=0,0,CH58*9.81)</f>
        <v>0</v>
      </c>
      <c r="CN58" s="239" t="n">
        <f aca="false">IF(CM58=0,CM58+CN57,CM58)</f>
        <v>0</v>
      </c>
      <c r="CO58" s="239" t="n">
        <f aca="false">IF(CN58=CN57,CO57,ABS(CN58+CO57))</f>
        <v>0</v>
      </c>
      <c r="CP58" s="241" t="n">
        <f aca="false">IF(CD58="NO",0,IF(CE58=0,0,CO58))</f>
        <v>0</v>
      </c>
      <c r="CQ58" s="244" t="str">
        <f aca="false">IF(BR58=0,"",CL58-CP58)</f>
        <v/>
      </c>
      <c r="CR58" s="244" t="str">
        <f aca="false">IF(BR58=0,"",CQ58/101.3)</f>
        <v/>
      </c>
      <c r="CS58" s="244" t="str">
        <f aca="false">IF(BR58=0,"",LOG(10/CR58))</f>
        <v/>
      </c>
      <c r="CT58" s="243" t="str">
        <f aca="false">IF(BR58=0,"",IF(SQRT(101.3/CQ58)&lt;=1.7,SQRT(101.3/CQ58),2.2/(1.2+(CQ58/101.3))))</f>
        <v/>
      </c>
      <c r="CU58" s="244" t="str">
        <f aca="false">IF(BR58=0,"",1.7/(0.7+CR58))</f>
        <v/>
      </c>
      <c r="CV58" s="244" t="str">
        <f aca="false">IF(BR58=0,"",IF(CR58&gt;=0.25,0.77*LOG(20/CR58),""))</f>
        <v/>
      </c>
      <c r="CW58" s="244" t="str">
        <f aca="false">IF(BR58=0,"",32.5/(10.2+20.3*CR58))</f>
        <v/>
      </c>
      <c r="CX58" s="244" t="str">
        <f aca="false">IF(BR58=0,"",1-1.25*LOG(CR58))</f>
        <v/>
      </c>
      <c r="CY58" s="244" t="str">
        <f aca="false">IF(BR58=0,"",IF(CR58&lt;1,1-1.41*LOG(CR58),1+0.92*LOG(CR58)))</f>
        <v/>
      </c>
      <c r="CZ58" s="244" t="str">
        <f aca="false">IF(BR58=0,"",2/(1+CR58))</f>
        <v/>
      </c>
      <c r="DA58" s="244" t="str">
        <f aca="false">IF(BR58=0,"",IF(CR58&lt;=0.75,4/(1+4*CR58),4/(3.25+CR58)))</f>
        <v/>
      </c>
      <c r="DB58" s="244" t="str">
        <f aca="false">IF(BR58=0,"",CT58)</f>
        <v/>
      </c>
      <c r="DC58" s="244" t="str">
        <f aca="false">IF(BR58=0,"",DB58*CC58)</f>
        <v/>
      </c>
      <c r="DD58" s="244"/>
      <c r="DE58" s="244" t="str">
        <f aca="false">IF(BR58=0,"",0.193*(CC58/(CQ58*0.001))^0.689)</f>
        <v/>
      </c>
      <c r="DF58" s="244" t="str">
        <f aca="false">IF(BR58=0,"",IF(AS58=$AX$4,(0.1348118*CC58 - 0.0383065)*98.0665,""))</f>
        <v/>
      </c>
      <c r="DG58" s="244" t="str">
        <f aca="false">IF(BR58=0,"",IF(AS58=$AX$4,DF58/2,""))</f>
        <v/>
      </c>
      <c r="DH58" s="244" t="str">
        <f aca="false">IF(BR58=0,"",IF(DC58&lt;=15,12*(DC58+6),40+12*(DC58-6)))</f>
        <v/>
      </c>
      <c r="DI58" s="244" t="str">
        <f aca="false">IF(BR58=0,"",IF(CD58="SI",5*(DC58+15),((3.3*(DC58+15))+(4*(DC58+12)))/2))</f>
        <v/>
      </c>
      <c r="DJ58" s="244" t="str">
        <f aca="false">IF(BR58=0,"",8*DC58)</f>
        <v/>
      </c>
      <c r="DK58" s="244" t="str">
        <f aca="false">IF(BR58=0,"",215+(10.6*DC58))</f>
        <v/>
      </c>
      <c r="DL58" s="244" t="str">
        <f aca="false">IF(BR58=0,"",10*(7.5+(0.5*DC58)))</f>
        <v/>
      </c>
      <c r="DM58" s="244" t="str">
        <f aca="false">IF(BR58=0,"",8*DC58)</f>
        <v/>
      </c>
      <c r="DN58" s="244" t="str">
        <f aca="false">IF(AW58=" "," ",IF(DC58=""," ",IF(DC58&lt;4,10*10.2,IF(DC58=4,12*10.2,IF(DC58&lt;10,17.5*10.5,IF(DC58=10,15*10.2,IF(DC58&lt;30,22.5*10.2,IF(DC58=30,35*10.2,IF(DC58&lt;50,40*10.2,IF(DC58=50,50*10.2,55*10.2))))))))))</f>
        <v> </v>
      </c>
      <c r="DO58" s="244" t="str">
        <f aca="false">IF(BR58=0,"",7*SQRT(DC58)*10.1972)</f>
        <v/>
      </c>
      <c r="DP58" s="244" t="str">
        <f aca="false">IF(BR58=0,"",IF(AS58=$AX$4,5*CC58,""))</f>
        <v/>
      </c>
      <c r="DQ58" s="244" t="str">
        <f aca="false">IF(AW58=" "," ",IF(DC58=""," ",IF(DC58&lt;2,4*10.2,IF(DC58=2,6*10.2,IF(DC58&lt;4,12*10.2,IF(DC58=4,20*10.2,IF(DC58&lt;8,30*10.2,IF(DC58=8,35*10.2,IF(DC58&lt;15,40*10.2,IF(DC58=15,42*10.2,IF(DC58&lt;30,45*10.2,IF(DC58=30,50*10.2,70*10.2))))))))))))</f>
        <v> </v>
      </c>
      <c r="DR58" s="244" t="str">
        <f aca="false">IF(BR58=0,"",IF(AS58=$AX$4,220*DP58*0.0101972,""))</f>
        <v/>
      </c>
      <c r="DS58" s="271" t="str">
        <f aca="false">IF(BR58=0,"",IF(AS58=$AX$7,(SUM(DH58:DO58)-MIN(DH58:DO58)-MAX(DH58:DO58))/6,(SUM(DO58:DR58)-MIN(DO58:DR58)-MAX(DO58:DR58))/2))</f>
        <v/>
      </c>
      <c r="DT58" s="244" t="str">
        <f aca="false">IF(AW58=" "," ",IF(DC58=""," ",IF(DC58&lt;4,0.2,IF(DC58=4,0.27,IF(DC58&lt;10,0.33,IF(DC58=10,0.35,IF(DC58&lt;30,0.36,IF(DC58=30,0.37,IF(DC58&lt;50,0.38,IF(DC58=50,0.4,0.45))))))))))</f>
        <v> </v>
      </c>
      <c r="DU58" s="272" t="str">
        <f aca="false">IF(AW58=" "," ",IF(CC58=""," ",IF(CC58&lt;2,0.2,IF(CC58=2,0.23,IF(CC58&lt;4,0.26,IF(CC58=4,0.29,IF(CC58&lt;8,0.32,IF(CC58=8,0.35,IF(CC58&lt;15,0.38,IF(CC58=15,0.41,IF(CC58&lt;30,0.44,IF(CC58=30,0.47,0.5))))))))))))</f>
        <v> </v>
      </c>
      <c r="DV58" s="244" t="str">
        <f aca="false">IF(BR58=0,"",IF(AS58=$AX$3,DT58,DU58))</f>
        <v/>
      </c>
      <c r="DW58" s="244" t="str">
        <f aca="false">IF(BR58=0,"",IF(DC58&gt;15,15+0.5*(DC58-15),DC58))</f>
        <v/>
      </c>
      <c r="DX58" s="244" t="str">
        <f aca="false">IF(BR58=0,"",IF($S$12="SI",IF(CD58="NO",IF($AD$12&gt;(BO58+1.5*$ED$15),1,0.5),0.5),1))</f>
        <v/>
      </c>
      <c r="DY58" s="244" t="str">
        <f aca="false">IF(BR58=0,"",IF($S$12="SI",IF(CD58="NO",IF($AD$12&gt;(BO58+1.5*$EE$15),1,0.5),0.5),1))</f>
        <v/>
      </c>
      <c r="DZ58" s="244" t="str">
        <f aca="false">IF(BR58=0,"",IF($S$12="SI",IF(CD58="NO",IF($AD$12&gt;(BO58+1.5*$EF$15),1,0.5),0.5),1))</f>
        <v/>
      </c>
      <c r="EA58" s="244" t="str">
        <f aca="false">IF(BR58=0,"",IF($S$12="SI",IF(CD58="NO",IF($AD$12&gt;(BO58+1.5*$ED$15),1,0.5),IF($AD$12=BO58,1,0.5)),1))</f>
        <v/>
      </c>
      <c r="EB58" s="244" t="str">
        <f aca="false">IF(BR58=0,"",IF($S$12="SI",IF(CD58="NO",IF($AD$12&gt;(BO58+1.5*$EE$15),1,0.5),IF($AD$12=BO58,1,0.5)),1))</f>
        <v/>
      </c>
      <c r="EC58" s="244" t="str">
        <f aca="false">IF(BR58=0,"",IF($S$12="SI",IF(CD58="NO",IF($AD$12&gt;(BO58+1.5*$EF$15),1,0.5),IF($AD$12=BO58,1,0.5)),1))</f>
        <v/>
      </c>
      <c r="ED58" s="244" t="str">
        <f aca="false">IF(BR58=0,"",(DW58*($ED$15/10)*(DX58+EA58*(BO58/$ED$15))*1)/3)</f>
        <v/>
      </c>
      <c r="EE58" s="244" t="str">
        <f aca="false">IF(BR58=0,"",(DW58*($EE$15/10)*(DY58+EB58*(BO58/$EE$15))*1)/3)</f>
        <v/>
      </c>
      <c r="EF58" s="244" t="str">
        <f aca="false">IF(BR58=0,"",(DW58*($EF$15/10)*(DZ58+EC58*(BO58/$EF$15))*1)/3)</f>
        <v/>
      </c>
      <c r="EG58" s="273" t="str">
        <f aca="false">IF(BR58=0,"",IF(CD58="SI",0.5,1))</f>
        <v/>
      </c>
      <c r="EH58" s="244" t="str">
        <f aca="false">IF(BR58=0,"",IF((1+0.33*(BO58/$ED$15))&lt;=1.33,(1+0.33*(BO58/$ED$15)),1.33))</f>
        <v/>
      </c>
      <c r="EI58" s="244" t="str">
        <f aca="false">IF(BR58=0,"",IF((1+0.33*(BO58/$EE$15))&lt;=1.33,(1+0.33*(BO58/$EE$15)),1.33))</f>
        <v/>
      </c>
      <c r="EJ58" s="244" t="str">
        <f aca="false">IF(BR58=0,"",IF((1+0.33*(BO58/$EF$15))&lt;=1.33,(1+0.33*(BO58/$EF$15)),1.33))</f>
        <v/>
      </c>
      <c r="EK58" s="244" t="str">
        <f aca="false">IF(BR58=0,"",IF($ED$15&lt;=1.2,((20*DC58*EG58*EH58)/3)*0.010197,((12.5*DC58*((($ED$15+0.3)^2)/$ED$15)*EG58*EH58)/3)*0.010197))</f>
        <v/>
      </c>
      <c r="EL58" s="244" t="str">
        <f aca="false">IF(BR58=0,"",IF($EE$15&lt;=1.2,((20*DC58*EG58*EI58)/3)*0.010197,((12.5*DC58*((($EE$15+0.3)^2)/$EE$15)*EG58*EI58)/3)*0.010197))</f>
        <v/>
      </c>
      <c r="EM58" s="244" t="str">
        <f aca="false">IF(BR58=0,"",IF($EF$15&lt;=1.2,((20*DC58*EG58*EJ58)/3)*0.010197,((12.5*DC58*((($EF$15+0.3)^2)/$EF$15)*EG58*EJ58)/3)*0.010197))</f>
        <v/>
      </c>
      <c r="EN58" s="248" t="str">
        <f aca="false">IF(BR58=0,"",SQRT(12*CC58)+25)</f>
        <v/>
      </c>
      <c r="EO58" s="248" t="str">
        <f aca="false">IF(BR58=0,"",28.5+0.25*CC58)</f>
        <v/>
      </c>
      <c r="EP58" s="248" t="str">
        <f aca="false">IF(BR58=0,"",SQRT(20*CC58)+15)</f>
        <v/>
      </c>
      <c r="EQ58" s="248" t="str">
        <f aca="false">IF(BR58=0,"",23.7+0.57*CC58-0.0006*CC58*CC58)</f>
        <v/>
      </c>
      <c r="ER58" s="248" t="str">
        <f aca="false">IF(BR58=0,"",15+SQRT(12.5*DC58))</f>
        <v/>
      </c>
      <c r="ES58" s="248" t="str">
        <f aca="false">IF(BR58=0,"",3.5*SQRT(CC58)+20)</f>
        <v/>
      </c>
      <c r="ET58" s="248" t="str">
        <f aca="false">IF(BR58=0,"",27.1+0.3*DC58-0.00054*DC58*DC58)</f>
        <v/>
      </c>
      <c r="EU58" s="248" t="str">
        <f aca="false">IF(BR58=0,"",SQRT(20*CC58)+20)</f>
        <v/>
      </c>
      <c r="EV58" s="248" t="str">
        <f aca="false">IF(BR58=0,"",12.79+SQRT(25.86*CC58))</f>
        <v/>
      </c>
      <c r="EW58" s="248" t="str">
        <f aca="false">IF(BR58=0,"",DEGREES(_xlfn.ACOT((CC58/(12.2+20.3*CR58))^0.34)))</f>
        <v/>
      </c>
      <c r="EX58" s="248" t="str">
        <f aca="false">IF(BR58=0,"",24+(5.77*LN(0.17*DC58)))</f>
        <v/>
      </c>
      <c r="EY58" s="248" t="str">
        <f aca="false">IF(BR58=0,"",(SUM(EN58:EX58)-MIN(EN58:EX58)-MAX(EN58:EX58))/9)</f>
        <v/>
      </c>
      <c r="EZ58" s="248" t="str">
        <f aca="false">IF(BR58=0,"", -0.0000000034*CC58^6 + 0.0000008305*CC58^5 - 0.0000741842*CC58^4 + 0.0030204278*CC58^3 - 0.0541594733*CC58^2 + 0.8083147848*CC58 - 0.6182191243)</f>
        <v/>
      </c>
      <c r="FA58" s="249" t="str">
        <f aca="false">IF(BR58=0,"",(0.134811827956989*CC58 - 0.0383064516129019)/2)</f>
        <v/>
      </c>
      <c r="FB58" s="249" t="str">
        <f aca="false">IF(BR58=0,"",CC58*0.065)</f>
        <v/>
      </c>
      <c r="FC58" s="249" t="str">
        <f aca="false">IF(BR58=0,"",(CC58*0.12*0.48)*SQRT((1+SIN(EZ58*((2*PI())/360))/(1-SIN(EZ58*((2*PI())/360))))))</f>
        <v/>
      </c>
      <c r="FD58" s="249" t="str">
        <f aca="false">IF(BR58=0,"",(CC58/8)/2)</f>
        <v/>
      </c>
      <c r="FE58" s="249" t="str">
        <f aca="false">IF(BR58=0,"",(SUM(FA58:FD58)-MIN(FA58:FD58)-MAX(FA58:FD58))/2)</f>
        <v/>
      </c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</row>
    <row r="59" customFormat="false" ht="9.75" hidden="false" customHeight="true" outlineLevel="0" collapsed="false">
      <c r="A59" s="197" t="n">
        <f aca="false">ROUND(A58+0.1,1)</f>
        <v>4.2</v>
      </c>
      <c r="B59" s="250" t="n">
        <f aca="false">+A59</f>
        <v>4.2</v>
      </c>
      <c r="C59" s="251"/>
      <c r="D59" s="251"/>
      <c r="E59" s="252"/>
      <c r="F59" s="253"/>
      <c r="G59" s="254"/>
      <c r="H59" s="255"/>
      <c r="I59" s="256"/>
      <c r="J59" s="257"/>
      <c r="K59" s="258"/>
      <c r="L59" s="259"/>
      <c r="M59" s="276"/>
      <c r="N59" s="277"/>
      <c r="O59" s="277"/>
      <c r="P59" s="277"/>
      <c r="Q59" s="293"/>
      <c r="R59" s="294"/>
      <c r="S59" s="294"/>
      <c r="T59" s="295"/>
      <c r="U59" s="295"/>
      <c r="V59" s="296"/>
      <c r="W59" s="296"/>
      <c r="X59" s="296"/>
      <c r="Y59" s="296"/>
      <c r="Z59" s="296"/>
      <c r="AA59" s="296"/>
      <c r="AB59" s="297"/>
      <c r="AC59" s="298"/>
      <c r="AD59" s="299"/>
      <c r="AE59" s="298"/>
      <c r="AF59" s="300"/>
      <c r="AG59" s="267"/>
      <c r="AH59" s="267"/>
      <c r="AI59" s="241"/>
      <c r="AJ59" s="241"/>
      <c r="AK59" s="266"/>
      <c r="AL59" s="266"/>
      <c r="AM59" s="268"/>
      <c r="AN59" s="250" t="n">
        <f aca="false">+AN57+0.2</f>
        <v>4.2</v>
      </c>
      <c r="AO59" s="251"/>
      <c r="AP59" s="251"/>
      <c r="AQ59" s="252"/>
      <c r="AR59" s="253"/>
      <c r="AS59" s="269" t="s">
        <v>13</v>
      </c>
      <c r="AT59" s="221"/>
      <c r="AU59" s="269"/>
      <c r="AV59" s="269"/>
      <c r="AW59" s="270" t="n">
        <f aca="false">+K59+L59</f>
        <v>0</v>
      </c>
      <c r="AX59" s="270" t="str">
        <f aca="false">IF(AS59="&gt;50","CONSISTENCIA",IF(AS59="&lt;50","COMPACIDAD"," "))</f>
        <v>COMPACIDAD</v>
      </c>
      <c r="AY59" s="225" t="str">
        <f aca="false">IF(AS59="&gt;50",AZ59,IF(AS59="&lt;50",BA59," "))</f>
        <v> </v>
      </c>
      <c r="AZ59" s="224" t="str">
        <f aca="false">IF(AW59=" "," ",IF(CC59=""," ",IF(CC59&lt;2,"MUY BLANDA",IF(CC59=2,"MUY BLANDA A BLANDA",IF(CC59&lt;4,"BLANDA",IF(CC59=4,"BLANDA A MEDIA",IF(CC59&lt;8,"MEDIA",IF(CC59=8,"MEDIA A FIRME",IF(CC59&lt;15,"FIRME",IF(CC59=15,"FIRME A MUY FIRME",IF(CC59&lt;30,"MUY FIRME",IF(CC59=30,"MUY FIRME A DURA","DURA"))))))))))))</f>
        <v> </v>
      </c>
      <c r="BA59" s="225" t="str">
        <f aca="false">IF(AW59=" "," ",IF(DC59=""," ",IF(DC59&lt;4,"MUY SUELTA",IF(DC59=4,"MUY SUELTA A SUELTA",IF(DC59&lt;10,"SUELTA",IF(DC59=10,"SUELTA A MEDIA",IF(DC59&lt;30,"MEDIA",IF(DC59=30,"MEDIA A DENSO",IF(DC59&lt;50,"DENSO",IF(DC59=50,"DENSO MUY DENSO","MUY DENSO"))))))))))</f>
        <v> </v>
      </c>
      <c r="BB59" s="226" t="str">
        <f aca="false">IF(BR60=0,"",CQ60*0.0101972)</f>
        <v/>
      </c>
      <c r="BC59" s="227" t="n">
        <f aca="false">+BC58+0.1</f>
        <v>4.2</v>
      </c>
      <c r="BD59" s="227" t="str">
        <f aca="false">IF(BC59&lt;=$AN$10,BC59,"")</f>
        <v/>
      </c>
      <c r="BE59" s="228" t="n">
        <f aca="false">ISNUMBER(BD59)</f>
        <v>0</v>
      </c>
      <c r="BF59" s="229" t="str">
        <f aca="false">MID(M59,1,1)</f>
        <v/>
      </c>
      <c r="BG59" s="230" t="str">
        <f aca="false">IF(BF59="S","",IF(BF59="G","",MID(M59,2,1)))</f>
        <v/>
      </c>
      <c r="BH59" s="231" t="str">
        <f aca="false">CONCATENATE(BF59,BG59)</f>
        <v/>
      </c>
      <c r="BI59" s="6" t="str">
        <f aca="false">IF(BE59=FALSE(),"",IF(BH59="",BI58,BH59))</f>
        <v/>
      </c>
      <c r="BJ59" s="74" t="str">
        <f aca="false">IF(OR(BI59="S",BI59="G"),BI59,"X")</f>
        <v>X</v>
      </c>
      <c r="BK59" s="74" t="s">
        <v>219</v>
      </c>
      <c r="BL59" s="303" t="e">
        <f aca="false">INDEX(sim_0,MATCH($BJ$59,granular,0))</f>
        <v>#NAME?</v>
      </c>
      <c r="BM59" s="303"/>
      <c r="BN59" s="6"/>
      <c r="BO59" s="191" t="n">
        <f aca="false">BO58+0.1</f>
        <v>4.2</v>
      </c>
      <c r="BP59" s="233" t="e">
        <f aca="false">IF(AW59=0,NA(),IF(AS59=$AX$3,ROUND(DC59,0),NA()))</f>
        <v>#N/A</v>
      </c>
      <c r="BQ59" s="31" t="e">
        <f aca="false">IF(AW59=0,NA(),IF(AS59=$AX$4,ROUND(CC59,0),NA()))</f>
        <v>#N/A</v>
      </c>
      <c r="BR59" s="234" t="n">
        <f aca="false">+AW59</f>
        <v>0</v>
      </c>
      <c r="BS59" s="235" t="str">
        <f aca="false">IF(BR59=0,"", -0.00000000016128755327*CC59^6 + 0.00000006709386362421*CC59^5 - 0.0000106217678052217*CC59^4 + 0.00081068114193385*CC59^3 - 0.0314027378159951*CC59^2 + 0.649796593937842*CC59 + 13.7888866455022)</f>
        <v/>
      </c>
      <c r="BT59" s="235" t="str">
        <f aca="false">IF(BR59=0,"",-0.00000000014625939695*CC59^6 + 0.00000004971732060241*CC59^5 - 0.000006683744342031*CC59^4 + 0.0004563177378098*CC59^3 - 0.0171727530635803*CC59^2 + 0.444529932876435*CC59 + 15.6692518940565)</f>
        <v/>
      </c>
      <c r="BU59" s="236" t="str">
        <f aca="false">IF(BR59=0,"", -0.0000000008152265738*BR59^6 + 0.00000022764320256987*BR59^5 - 0.0000248205675927705*BR59^4 + 0.00133186623684865*BR59^3 - 0.0368442570441677*BR59^2 + 0.580111565569094*BR59 + 14.0417598296107)</f>
        <v/>
      </c>
      <c r="BV59" s="236" t="str">
        <f aca="false">IF(BR59=0,"", -0.00000000004321395721*BR59^6 + 0.00000002531844275498*BR59^5 - 0.00000369428022780862*BR59^4 + 0.00020283665900125*BR59^3 - 0.00462426256803268*BR59^2 + 0.139572935065453*BR59 + 15.4475338156923)</f>
        <v/>
      </c>
      <c r="BW59" s="236" t="str">
        <f aca="false">IF(BR59=0,"",-0.00000000033126390082*BR59^6 + 0.00000010463660614506*BR59^5 - 0.0000129629592998707*BR59^4 + 0.000803946335250767*BR59^3 - 0.0270257140395994*BR59^2 + 0.562590210721552*BR59+ 12.1254107606419)</f>
        <v/>
      </c>
      <c r="BX59" s="236" t="str">
        <f aca="false">IF(BR59=0,"",-0.00000000002593504955*BR59^6 + 0.00000002430495156704*BR59^5 - 0.00000386103271086364*BR59^4 + 0.000214416118986322*BR59^3 - 0.0047271462612021*BR59^2 + 0.156696175741135*BR59 + 15.4598891949502)</f>
        <v/>
      </c>
      <c r="BY59" s="234" t="str">
        <f aca="false">IF(BR59=0,"",$BS$2)</f>
        <v/>
      </c>
      <c r="BZ59" s="234" t="str">
        <f aca="false">IF(BR59=0,"",$BS$3)</f>
        <v/>
      </c>
      <c r="CA59" s="234" t="str">
        <f aca="false">IF(BR59=0,"",$BS$4)</f>
        <v/>
      </c>
      <c r="CB59" s="235" t="str">
        <f aca="false">IF(BR59=0,"",IF(AND(BO59&gt;=0,BO59&lt;4),0.75,IF(AND(BO59&gt;=4,BO59&lt;6),0.85,IF(AND(BO59&gt;=6,BO59&lt;=10),0.95,1))))</f>
        <v/>
      </c>
      <c r="CC59" s="234" t="str">
        <f aca="false">IF(BR59=0,"",BR59*BY59*BZ59*CA59*CB59/60)</f>
        <v/>
      </c>
      <c r="CD59" s="238" t="str">
        <f aca="false">IF(BR59=0,"",IF($S$12="NO","NO",IF($AD$12&lt;=BO59,"SI","NO")))</f>
        <v/>
      </c>
      <c r="CE59" s="235" t="n">
        <f aca="false">IF(BR59=0,0,AB59)</f>
        <v>0</v>
      </c>
      <c r="CF59" s="235" t="n">
        <f aca="false">IF(CE59&gt;0,BO59,0)</f>
        <v>0</v>
      </c>
      <c r="CG59" s="239" t="n">
        <f aca="false">IF(CF59=0,CF59+CG58,CF59)</f>
        <v>0</v>
      </c>
      <c r="CH59" s="239" t="n">
        <f aca="false">IF(CG59=CG58,CH58,ABS(CG59-CG58))</f>
        <v>0</v>
      </c>
      <c r="CI59" s="239" t="n">
        <f aca="false">+CE59*CH59</f>
        <v>0</v>
      </c>
      <c r="CJ59" s="239" t="n">
        <f aca="false">IF(CI59=0,CI59+CJ58,CI59)</f>
        <v>0</v>
      </c>
      <c r="CK59" s="239" t="n">
        <f aca="false">IF(CJ59=CJ58,CK58,ABS(CJ59+CK58))</f>
        <v>0</v>
      </c>
      <c r="CL59" s="241" t="n">
        <f aca="false">IF(CE59=0,0,CK59)</f>
        <v>0</v>
      </c>
      <c r="CM59" s="239" t="n">
        <f aca="false">IF(CE59=0,0,CH59*9.81)</f>
        <v>0</v>
      </c>
      <c r="CN59" s="239" t="n">
        <f aca="false">IF(CM59=0,CM59+CN58,CM59)</f>
        <v>0</v>
      </c>
      <c r="CO59" s="239" t="n">
        <f aca="false">IF(CN59=CN58,CO58,ABS(CN59+CO58))</f>
        <v>0</v>
      </c>
      <c r="CP59" s="241" t="n">
        <f aca="false">IF(CD59="NO",0,IF(CE59=0,0,CO59))</f>
        <v>0</v>
      </c>
      <c r="CQ59" s="244" t="str">
        <f aca="false">IF(BR59=0,"",CL59-CP59)</f>
        <v/>
      </c>
      <c r="CR59" s="244" t="str">
        <f aca="false">IF(BR59=0,"",CQ59/101.3)</f>
        <v/>
      </c>
      <c r="CS59" s="244" t="str">
        <f aca="false">IF(BR59=0,"",LOG(10/CR59))</f>
        <v/>
      </c>
      <c r="CT59" s="243" t="str">
        <f aca="false">IF(BR59=0,"",IF(SQRT(101.3/CQ59)&lt;=1.7,SQRT(101.3/CQ59),2.2/(1.2+(CQ59/101.3))))</f>
        <v/>
      </c>
      <c r="CU59" s="244" t="str">
        <f aca="false">IF(BR59=0,"",1.7/(0.7+CR59))</f>
        <v/>
      </c>
      <c r="CV59" s="244" t="str">
        <f aca="false">IF(BR59=0,"",IF(CR59&gt;=0.25,0.77*LOG(20/CR59),""))</f>
        <v/>
      </c>
      <c r="CW59" s="244" t="str">
        <f aca="false">IF(BR59=0,"",32.5/(10.2+20.3*CR59))</f>
        <v/>
      </c>
      <c r="CX59" s="244" t="str">
        <f aca="false">IF(BR59=0,"",1-1.25*LOG(CR59))</f>
        <v/>
      </c>
      <c r="CY59" s="244" t="str">
        <f aca="false">IF(BR59=0,"",IF(CR59&lt;1,1-1.41*LOG(CR59),1+0.92*LOG(CR59)))</f>
        <v/>
      </c>
      <c r="CZ59" s="244" t="str">
        <f aca="false">IF(BR59=0,"",2/(1+CR59))</f>
        <v/>
      </c>
      <c r="DA59" s="244" t="str">
        <f aca="false">IF(BR59=0,"",IF(CR59&lt;=0.75,4/(1+4*CR59),4/(3.25+CR59)))</f>
        <v/>
      </c>
      <c r="DB59" s="244" t="str">
        <f aca="false">IF(BR59=0,"",CT59)</f>
        <v/>
      </c>
      <c r="DC59" s="244" t="str">
        <f aca="false">IF(BR59=0,"",DB59*CC59)</f>
        <v/>
      </c>
      <c r="DD59" s="244"/>
      <c r="DE59" s="244" t="str">
        <f aca="false">IF(BR59=0,"",0.193*(CC59/(CQ59*0.001))^0.689)</f>
        <v/>
      </c>
      <c r="DF59" s="244" t="str">
        <f aca="false">IF(BR59=0,"",IF(AS59=$AX$4,(0.1348118*CC59 - 0.0383065)*98.0665,""))</f>
        <v/>
      </c>
      <c r="DG59" s="244" t="str">
        <f aca="false">IF(BR59=0,"",IF(AS59=$AX$4,DF59/2,""))</f>
        <v/>
      </c>
      <c r="DH59" s="244" t="str">
        <f aca="false">IF(BR59=0,"",IF(DC59&lt;=15,12*(DC59+6),40+12*(DC59-6)))</f>
        <v/>
      </c>
      <c r="DI59" s="244" t="str">
        <f aca="false">IF(BR59=0,"",IF(CD59="SI",5*(DC59+15),((3.3*(DC59+15))+(4*(DC59+12)))/2))</f>
        <v/>
      </c>
      <c r="DJ59" s="244" t="str">
        <f aca="false">IF(BR59=0,"",8*DC59)</f>
        <v/>
      </c>
      <c r="DK59" s="244" t="str">
        <f aca="false">IF(BR59=0,"",215+(10.6*DC59))</f>
        <v/>
      </c>
      <c r="DL59" s="244" t="str">
        <f aca="false">IF(BR59=0,"",10*(7.5+(0.5*DC59)))</f>
        <v/>
      </c>
      <c r="DM59" s="244" t="str">
        <f aca="false">IF(BR59=0,"",8*DC59)</f>
        <v/>
      </c>
      <c r="DN59" s="244" t="str">
        <f aca="false">IF(AW59=" "," ",IF(DC59=""," ",IF(DC59&lt;4,10*10.2,IF(DC59=4,12*10.2,IF(DC59&lt;10,17.5*10.5,IF(DC59=10,15*10.2,IF(DC59&lt;30,22.5*10.2,IF(DC59=30,35*10.2,IF(DC59&lt;50,40*10.2,IF(DC59=50,50*10.2,55*10.2))))))))))</f>
        <v> </v>
      </c>
      <c r="DO59" s="244" t="str">
        <f aca="false">IF(BR59=0,"",7*SQRT(DC59)*10.1972)</f>
        <v/>
      </c>
      <c r="DP59" s="244" t="str">
        <f aca="false">IF(BR59=0,"",IF(AS59=$AX$4,5*CC59,""))</f>
        <v/>
      </c>
      <c r="DQ59" s="244" t="str">
        <f aca="false">IF(AW59=" "," ",IF(DC59=""," ",IF(DC59&lt;2,4*10.2,IF(DC59=2,6*10.2,IF(DC59&lt;4,12*10.2,IF(DC59=4,20*10.2,IF(DC59&lt;8,30*10.2,IF(DC59=8,35*10.2,IF(DC59&lt;15,40*10.2,IF(DC59=15,42*10.2,IF(DC59&lt;30,45*10.2,IF(DC59=30,50*10.2,70*10.2))))))))))))</f>
        <v> </v>
      </c>
      <c r="DR59" s="244" t="str">
        <f aca="false">IF(BR59=0,"",IF(AS59=$AX$4,220*DP59*0.0101972,""))</f>
        <v/>
      </c>
      <c r="DS59" s="271" t="str">
        <f aca="false">IF(BR59=0,"",IF(AS59=$AX$7,(SUM(DH59:DO59)-MIN(DH59:DO59)-MAX(DH59:DO59))/6,(SUM(DO59:DR59)-MIN(DO59:DR59)-MAX(DO59:DR59))/2))</f>
        <v/>
      </c>
      <c r="DT59" s="244" t="str">
        <f aca="false">IF(AW59=" "," ",IF(DC59=""," ",IF(DC59&lt;4,0.2,IF(DC59=4,0.27,IF(DC59&lt;10,0.33,IF(DC59=10,0.35,IF(DC59&lt;30,0.36,IF(DC59=30,0.37,IF(DC59&lt;50,0.38,IF(DC59=50,0.4,0.45))))))))))</f>
        <v> </v>
      </c>
      <c r="DU59" s="272" t="str">
        <f aca="false">IF(AW59=" "," ",IF(CC59=""," ",IF(CC59&lt;2,0.2,IF(CC59=2,0.23,IF(CC59&lt;4,0.26,IF(CC59=4,0.29,IF(CC59&lt;8,0.32,IF(CC59=8,0.35,IF(CC59&lt;15,0.38,IF(CC59=15,0.41,IF(CC59&lt;30,0.44,IF(CC59=30,0.47,0.5))))))))))))</f>
        <v> </v>
      </c>
      <c r="DV59" s="244" t="str">
        <f aca="false">IF(BR59=0,"",IF(AS59=$AX$3,DT59,DU59))</f>
        <v/>
      </c>
      <c r="DW59" s="244" t="str">
        <f aca="false">IF(BR59=0,"",IF(DC59&gt;15,15+0.5*(DC59-15),DC59))</f>
        <v/>
      </c>
      <c r="DX59" s="244" t="str">
        <f aca="false">IF(BR59=0,"",IF($S$12="SI",IF(CD59="NO",IF($AD$12&gt;(BO59+1.5*$ED$15),1,0.5),0.5),1))</f>
        <v/>
      </c>
      <c r="DY59" s="244" t="str">
        <f aca="false">IF(BR59=0,"",IF($S$12="SI",IF(CD59="NO",IF($AD$12&gt;(BO59+1.5*$EE$15),1,0.5),0.5),1))</f>
        <v/>
      </c>
      <c r="DZ59" s="244" t="str">
        <f aca="false">IF(BR59=0,"",IF($S$12="SI",IF(CD59="NO",IF($AD$12&gt;(BO59+1.5*$EF$15),1,0.5),0.5),1))</f>
        <v/>
      </c>
      <c r="EA59" s="244" t="str">
        <f aca="false">IF(BR59=0,"",IF($S$12="SI",IF(CD59="NO",IF($AD$12&gt;(BO59+1.5*$ED$15),1,0.5),IF($AD$12=BO59,1,0.5)),1))</f>
        <v/>
      </c>
      <c r="EB59" s="244" t="str">
        <f aca="false">IF(BR59=0,"",IF($S$12="SI",IF(CD59="NO",IF($AD$12&gt;(BO59+1.5*$EE$15),1,0.5),IF($AD$12=BO59,1,0.5)),1))</f>
        <v/>
      </c>
      <c r="EC59" s="244" t="str">
        <f aca="false">IF(BR59=0,"",IF($S$12="SI",IF(CD59="NO",IF($AD$12&gt;(BO59+1.5*$EF$15),1,0.5),IF($AD$12=BO59,1,0.5)),1))</f>
        <v/>
      </c>
      <c r="ED59" s="244" t="str">
        <f aca="false">IF(BR59=0,"",(DW59*($ED$15/10)*(DX59+EA59*(BO59/$ED$15))*1)/3)</f>
        <v/>
      </c>
      <c r="EE59" s="244" t="str">
        <f aca="false">IF(BR59=0,"",(DW59*($EE$15/10)*(DY59+EB59*(BO59/$EE$15))*1)/3)</f>
        <v/>
      </c>
      <c r="EF59" s="244" t="str">
        <f aca="false">IF(BR59=0,"",(DW59*($EF$15/10)*(DZ59+EC59*(BO59/$EF$15))*1)/3)</f>
        <v/>
      </c>
      <c r="EG59" s="273" t="str">
        <f aca="false">IF(BR59=0,"",IF(CD59="SI",0.5,1))</f>
        <v/>
      </c>
      <c r="EH59" s="244" t="str">
        <f aca="false">IF(BR59=0,"",IF((1+0.33*(BO59/$ED$15))&lt;=1.33,(1+0.33*(BO59/$ED$15)),1.33))</f>
        <v/>
      </c>
      <c r="EI59" s="244" t="str">
        <f aca="false">IF(BR59=0,"",IF((1+0.33*(BO59/$EE$15))&lt;=1.33,(1+0.33*(BO59/$EE$15)),1.33))</f>
        <v/>
      </c>
      <c r="EJ59" s="244" t="str">
        <f aca="false">IF(BR59=0,"",IF((1+0.33*(BO59/$EF$15))&lt;=1.33,(1+0.33*(BO59/$EF$15)),1.33))</f>
        <v/>
      </c>
      <c r="EK59" s="244" t="str">
        <f aca="false">IF(BR59=0,"",IF($ED$15&lt;=1.2,((20*DC59*EG59*EH59)/3)*0.010197,((12.5*DC59*((($ED$15+0.3)^2)/$ED$15)*EG59*EH59)/3)*0.010197))</f>
        <v/>
      </c>
      <c r="EL59" s="244" t="str">
        <f aca="false">IF(BR59=0,"",IF($EE$15&lt;=1.2,((20*DC59*EG59*EI59)/3)*0.010197,((12.5*DC59*((($EE$15+0.3)^2)/$EE$15)*EG59*EI59)/3)*0.010197))</f>
        <v/>
      </c>
      <c r="EM59" s="244" t="str">
        <f aca="false">IF(BR59=0,"",IF($EF$15&lt;=1.2,((20*DC59*EG59*EJ59)/3)*0.010197,((12.5*DC59*((($EF$15+0.3)^2)/$EF$15)*EG59*EJ59)/3)*0.010197))</f>
        <v/>
      </c>
      <c r="EN59" s="248" t="str">
        <f aca="false">IF(BR59=0,"",SQRT(12*CC59)+25)</f>
        <v/>
      </c>
      <c r="EO59" s="248" t="str">
        <f aca="false">IF(BR59=0,"",28.5+0.25*CC59)</f>
        <v/>
      </c>
      <c r="EP59" s="248" t="str">
        <f aca="false">IF(BR59=0,"",SQRT(20*CC59)+15)</f>
        <v/>
      </c>
      <c r="EQ59" s="248" t="str">
        <f aca="false">IF(BR59=0,"",23.7+0.57*CC59-0.0006*CC59*CC59)</f>
        <v/>
      </c>
      <c r="ER59" s="248" t="str">
        <f aca="false">IF(BR59=0,"",15+SQRT(12.5*DC59))</f>
        <v/>
      </c>
      <c r="ES59" s="248" t="str">
        <f aca="false">IF(BR59=0,"",3.5*SQRT(CC59)+20)</f>
        <v/>
      </c>
      <c r="ET59" s="248" t="str">
        <f aca="false">IF(BR59=0,"",27.1+0.3*DC59-0.00054*DC59*DC59)</f>
        <v/>
      </c>
      <c r="EU59" s="248" t="str">
        <f aca="false">IF(BR59=0,"",SQRT(20*CC59)+20)</f>
        <v/>
      </c>
      <c r="EV59" s="248" t="str">
        <f aca="false">IF(BR59=0,"",12.79+SQRT(25.86*CC59))</f>
        <v/>
      </c>
      <c r="EW59" s="248" t="str">
        <f aca="false">IF(BR59=0,"",DEGREES(_xlfn.ACOT((CC59/(12.2+20.3*CR59))^0.34)))</f>
        <v/>
      </c>
      <c r="EX59" s="248" t="str">
        <f aca="false">IF(BR59=0,"",24+(5.77*LN(0.17*DC59)))</f>
        <v/>
      </c>
      <c r="EY59" s="248" t="str">
        <f aca="false">IF(BR59=0,"",(SUM(EN59:EX59)-MIN(EN59:EX59)-MAX(EN59:EX59))/9)</f>
        <v/>
      </c>
      <c r="EZ59" s="248" t="str">
        <f aca="false">IF(BR59=0,"", -0.0000000034*CC59^6 + 0.0000008305*CC59^5 - 0.0000741842*CC59^4 + 0.0030204278*CC59^3 - 0.0541594733*CC59^2 + 0.8083147848*CC59 - 0.6182191243)</f>
        <v/>
      </c>
      <c r="FA59" s="249" t="str">
        <f aca="false">IF(BR59=0,"",(0.134811827956989*CC59 - 0.0383064516129019)/2)</f>
        <v/>
      </c>
      <c r="FB59" s="249" t="str">
        <f aca="false">IF(BR59=0,"",CC59*0.065)</f>
        <v/>
      </c>
      <c r="FC59" s="249" t="str">
        <f aca="false">IF(BR59=0,"",(CC59*0.12*0.48)*SQRT((1+SIN(EZ59*((2*PI())/360))/(1-SIN(EZ59*((2*PI())/360))))))</f>
        <v/>
      </c>
      <c r="FD59" s="249" t="str">
        <f aca="false">IF(BR59=0,"",(CC59/8)/2)</f>
        <v/>
      </c>
      <c r="FE59" s="249" t="str">
        <f aca="false">IF(BR59=0,"",(SUM(FA59:FD59)-MIN(FA59:FD59)-MAX(FA59:FD59))/2)</f>
        <v/>
      </c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</row>
    <row r="60" customFormat="false" ht="9.75" hidden="false" customHeight="true" outlineLevel="0" collapsed="false">
      <c r="A60" s="197" t="n">
        <f aca="false">ROUND(A59+0.1,1)</f>
        <v>4.3</v>
      </c>
      <c r="B60" s="250"/>
      <c r="C60" s="251"/>
      <c r="D60" s="251"/>
      <c r="E60" s="199"/>
      <c r="F60" s="200"/>
      <c r="G60" s="279"/>
      <c r="H60" s="280"/>
      <c r="I60" s="280"/>
      <c r="J60" s="257"/>
      <c r="K60" s="258"/>
      <c r="L60" s="259"/>
      <c r="M60" s="276"/>
      <c r="N60" s="277"/>
      <c r="O60" s="277"/>
      <c r="P60" s="277"/>
      <c r="Q60" s="293"/>
      <c r="R60" s="294"/>
      <c r="S60" s="294"/>
      <c r="T60" s="295"/>
      <c r="U60" s="295"/>
      <c r="V60" s="296"/>
      <c r="W60" s="296"/>
      <c r="X60" s="296"/>
      <c r="Y60" s="296"/>
      <c r="Z60" s="296"/>
      <c r="AA60" s="296"/>
      <c r="AB60" s="297"/>
      <c r="AC60" s="298"/>
      <c r="AD60" s="299"/>
      <c r="AE60" s="298"/>
      <c r="AF60" s="300"/>
      <c r="AG60" s="267"/>
      <c r="AH60" s="267"/>
      <c r="AI60" s="241"/>
      <c r="AJ60" s="241"/>
      <c r="AK60" s="266"/>
      <c r="AL60" s="266"/>
      <c r="AM60" s="268"/>
      <c r="AN60" s="250"/>
      <c r="AO60" s="251"/>
      <c r="AP60" s="251"/>
      <c r="AQ60" s="199"/>
      <c r="AR60" s="200"/>
      <c r="AS60" s="269" t="s">
        <v>13</v>
      </c>
      <c r="AT60" s="221"/>
      <c r="AU60" s="269"/>
      <c r="AV60" s="269"/>
      <c r="AW60" s="270" t="n">
        <f aca="false">+K60+L60</f>
        <v>0</v>
      </c>
      <c r="AX60" s="270" t="str">
        <f aca="false">IF(AS60="&gt;50","CONSISTENCIA",IF(AS60="&lt;50","COMPACIDAD"," "))</f>
        <v>COMPACIDAD</v>
      </c>
      <c r="AY60" s="225" t="str">
        <f aca="false">IF(AS60="&gt;50",AZ60,IF(AS60="&lt;50",BA60," "))</f>
        <v> </v>
      </c>
      <c r="AZ60" s="224" t="str">
        <f aca="false">IF(AW60=" "," ",IF(CC60=""," ",IF(CC60&lt;2,"MUY BLANDA",IF(CC60=2,"MUY BLANDA A BLANDA",IF(CC60&lt;4,"BLANDA",IF(CC60=4,"BLANDA A MEDIA",IF(CC60&lt;8,"MEDIA",IF(CC60=8,"MEDIA A FIRME",IF(CC60&lt;15,"FIRME",IF(CC60=15,"FIRME A MUY FIRME",IF(CC60&lt;30,"MUY FIRME",IF(CC60=30,"MUY FIRME A DURA","DURA"))))))))))))</f>
        <v> </v>
      </c>
      <c r="BA60" s="225" t="str">
        <f aca="false">IF(AW60=" "," ",IF(DC60=""," ",IF(DC60&lt;4,"MUY SUELTA",IF(DC60=4,"MUY SUELTA A SUELTA",IF(DC60&lt;10,"SUELTA",IF(DC60=10,"SUELTA A MEDIA",IF(DC60&lt;30,"MEDIA",IF(DC60=30,"MEDIA A DENSO",IF(DC60&lt;50,"DENSO",IF(DC60=50,"DENSO MUY DENSO","MUY DENSO"))))))))))</f>
        <v> </v>
      </c>
      <c r="BB60" s="226" t="str">
        <f aca="false">IF(BR61=0,"",CQ61*0.0101972)</f>
        <v/>
      </c>
      <c r="BC60" s="227" t="n">
        <f aca="false">+BC59+0.1</f>
        <v>4.3</v>
      </c>
      <c r="BD60" s="227" t="str">
        <f aca="false">IF(BC60&lt;=$AN$10,BC60,"")</f>
        <v/>
      </c>
      <c r="BE60" s="228" t="n">
        <f aca="false">ISNUMBER(BD60)</f>
        <v>0</v>
      </c>
      <c r="BF60" s="229" t="str">
        <f aca="false">MID(M60,1,1)</f>
        <v/>
      </c>
      <c r="BG60" s="230" t="str">
        <f aca="false">IF(BF60="S","",IF(BF60="G","",MID(M60,2,1)))</f>
        <v/>
      </c>
      <c r="BH60" s="231" t="str">
        <f aca="false">CONCATENATE(BF60,BG60)</f>
        <v/>
      </c>
      <c r="BI60" s="6" t="str">
        <f aca="false">IF(BE60=FALSE(),"",IF(BH60="",BI59,BH60))</f>
        <v/>
      </c>
      <c r="BJ60" s="74" t="str">
        <f aca="false">IF(OR(BI60="S",BI60="G"),BI60,"X")</f>
        <v>X</v>
      </c>
      <c r="BK60" s="74" t="s">
        <v>220</v>
      </c>
      <c r="BL60" s="303" t="e">
        <f aca="false">INDEX(sim_0,MATCH($BJ$60,granular,0))</f>
        <v>#NAME?</v>
      </c>
      <c r="BM60" s="303"/>
      <c r="BN60" s="6"/>
      <c r="BO60" s="191" t="n">
        <f aca="false">BO59+0.1</f>
        <v>4.3</v>
      </c>
      <c r="BP60" s="233" t="e">
        <f aca="false">IF(AW60=0,NA(),IF(AS60=$AX$3,ROUND(DC60,0),NA()))</f>
        <v>#N/A</v>
      </c>
      <c r="BQ60" s="31" t="e">
        <f aca="false">IF(AW60=0,NA(),IF(AS60=$AX$4,ROUND(CC60,0),NA()))</f>
        <v>#N/A</v>
      </c>
      <c r="BR60" s="234" t="n">
        <f aca="false">+AW60</f>
        <v>0</v>
      </c>
      <c r="BS60" s="235" t="str">
        <f aca="false">IF(BR60=0,"", -0.00000000016128755327*CC60^6 + 0.00000006709386362421*CC60^5 - 0.0000106217678052217*CC60^4 + 0.00081068114193385*CC60^3 - 0.0314027378159951*CC60^2 + 0.649796593937842*CC60 + 13.7888866455022)</f>
        <v/>
      </c>
      <c r="BT60" s="235" t="str">
        <f aca="false">IF(BR60=0,"",-0.00000000014625939695*CC60^6 + 0.00000004971732060241*CC60^5 - 0.000006683744342031*CC60^4 + 0.0004563177378098*CC60^3 - 0.0171727530635803*CC60^2 + 0.444529932876435*CC60 + 15.6692518940565)</f>
        <v/>
      </c>
      <c r="BU60" s="236" t="str">
        <f aca="false">IF(BR60=0,"", -0.0000000008152265738*BR60^6 + 0.00000022764320256987*BR60^5 - 0.0000248205675927705*BR60^4 + 0.00133186623684865*BR60^3 - 0.0368442570441677*BR60^2 + 0.580111565569094*BR60 + 14.0417598296107)</f>
        <v/>
      </c>
      <c r="BV60" s="236" t="str">
        <f aca="false">IF(BR60=0,"", -0.00000000004321395721*BR60^6 + 0.00000002531844275498*BR60^5 - 0.00000369428022780862*BR60^4 + 0.00020283665900125*BR60^3 - 0.00462426256803268*BR60^2 + 0.139572935065453*BR60 + 15.4475338156923)</f>
        <v/>
      </c>
      <c r="BW60" s="236" t="str">
        <f aca="false">IF(BR60=0,"",-0.00000000033126390082*BR60^6 + 0.00000010463660614506*BR60^5 - 0.0000129629592998707*BR60^4 + 0.000803946335250767*BR60^3 - 0.0270257140395994*BR60^2 + 0.562590210721552*BR60+ 12.1254107606419)</f>
        <v/>
      </c>
      <c r="BX60" s="236" t="str">
        <f aca="false">IF(BR60=0,"",-0.00000000002593504955*BR60^6 + 0.00000002430495156704*BR60^5 - 0.00000386103271086364*BR60^4 + 0.000214416118986322*BR60^3 - 0.0047271462612021*BR60^2 + 0.156696175741135*BR60 + 15.4598891949502)</f>
        <v/>
      </c>
      <c r="BY60" s="234" t="str">
        <f aca="false">IF(BR60=0,"",$BS$2)</f>
        <v/>
      </c>
      <c r="BZ60" s="234" t="str">
        <f aca="false">IF(BR60=0,"",$BS$3)</f>
        <v/>
      </c>
      <c r="CA60" s="234" t="str">
        <f aca="false">IF(BR60=0,"",$BS$4)</f>
        <v/>
      </c>
      <c r="CB60" s="235" t="str">
        <f aca="false">IF(BR60=0,"",IF(AND(BO60&gt;=0,BO60&lt;4),0.75,IF(AND(BO60&gt;=4,BO60&lt;6),0.85,IF(AND(BO60&gt;=6,BO60&lt;=10),0.95,1))))</f>
        <v/>
      </c>
      <c r="CC60" s="234" t="str">
        <f aca="false">IF(BR60=0,"",BR60*BY60*BZ60*CA60*CB60/60)</f>
        <v/>
      </c>
      <c r="CD60" s="238" t="str">
        <f aca="false">IF(BR60=0,"",IF($S$12="NO","NO",IF($AD$12&lt;=BO60,"SI","NO")))</f>
        <v/>
      </c>
      <c r="CE60" s="235" t="n">
        <f aca="false">IF(BR60=0,0,AB60)</f>
        <v>0</v>
      </c>
      <c r="CF60" s="235" t="n">
        <f aca="false">IF(CE60&gt;0,BO60,0)</f>
        <v>0</v>
      </c>
      <c r="CG60" s="239" t="n">
        <f aca="false">IF(CF60=0,CF60+CG59,CF60)</f>
        <v>0</v>
      </c>
      <c r="CH60" s="239" t="n">
        <f aca="false">IF(CG60=CG59,CH59,ABS(CG60-CG59))</f>
        <v>0</v>
      </c>
      <c r="CI60" s="239" t="n">
        <f aca="false">+CE60*CH60</f>
        <v>0</v>
      </c>
      <c r="CJ60" s="239" t="n">
        <f aca="false">IF(CI60=0,CI60+CJ59,CI60)</f>
        <v>0</v>
      </c>
      <c r="CK60" s="239" t="n">
        <f aca="false">IF(CJ60=CJ59,CK59,ABS(CJ60+CK59))</f>
        <v>0</v>
      </c>
      <c r="CL60" s="241" t="n">
        <f aca="false">IF(CE60=0,0,CK60)</f>
        <v>0</v>
      </c>
      <c r="CM60" s="239" t="n">
        <f aca="false">IF(CE60=0,0,CH60*9.81)</f>
        <v>0</v>
      </c>
      <c r="CN60" s="239" t="n">
        <f aca="false">IF(CM60=0,CM60+CN59,CM60)</f>
        <v>0</v>
      </c>
      <c r="CO60" s="239" t="n">
        <f aca="false">IF(CN60=CN59,CO59,ABS(CN60+CO59))</f>
        <v>0</v>
      </c>
      <c r="CP60" s="241" t="n">
        <f aca="false">IF(CD60="NO",0,IF(CE60=0,0,CO60))</f>
        <v>0</v>
      </c>
      <c r="CQ60" s="244" t="str">
        <f aca="false">IF(BR60=0,"",CL60-CP60)</f>
        <v/>
      </c>
      <c r="CR60" s="244" t="str">
        <f aca="false">IF(BR60=0,"",CQ60/101.3)</f>
        <v/>
      </c>
      <c r="CS60" s="244" t="str">
        <f aca="false">IF(BR60=0,"",LOG(10/CR60))</f>
        <v/>
      </c>
      <c r="CT60" s="243" t="str">
        <f aca="false">IF(BR60=0,"",IF(SQRT(101.3/CQ60)&lt;=1.7,SQRT(101.3/CQ60),2.2/(1.2+(CQ60/101.3))))</f>
        <v/>
      </c>
      <c r="CU60" s="244" t="str">
        <f aca="false">IF(BR60=0,"",1.7/(0.7+CR60))</f>
        <v/>
      </c>
      <c r="CV60" s="244" t="str">
        <f aca="false">IF(BR60=0,"",IF(CR60&gt;=0.25,0.77*LOG(20/CR60),""))</f>
        <v/>
      </c>
      <c r="CW60" s="244" t="str">
        <f aca="false">IF(BR60=0,"",32.5/(10.2+20.3*CR60))</f>
        <v/>
      </c>
      <c r="CX60" s="244" t="str">
        <f aca="false">IF(BR60=0,"",1-1.25*LOG(CR60))</f>
        <v/>
      </c>
      <c r="CY60" s="244" t="str">
        <f aca="false">IF(BR60=0,"",IF(CR60&lt;1,1-1.41*LOG(CR60),1+0.92*LOG(CR60)))</f>
        <v/>
      </c>
      <c r="CZ60" s="244" t="str">
        <f aca="false">IF(BR60=0,"",2/(1+CR60))</f>
        <v/>
      </c>
      <c r="DA60" s="244" t="str">
        <f aca="false">IF(BR60=0,"",IF(CR60&lt;=0.75,4/(1+4*CR60),4/(3.25+CR60)))</f>
        <v/>
      </c>
      <c r="DB60" s="244" t="str">
        <f aca="false">IF(BR60=0,"",CT60)</f>
        <v/>
      </c>
      <c r="DC60" s="244" t="str">
        <f aca="false">IF(BR60=0,"",DB60*CC60)</f>
        <v/>
      </c>
      <c r="DD60" s="244"/>
      <c r="DE60" s="244" t="str">
        <f aca="false">IF(BR60=0,"",0.193*(CC60/(CQ60*0.001))^0.689)</f>
        <v/>
      </c>
      <c r="DF60" s="244" t="str">
        <f aca="false">IF(BR60=0,"",IF(AS60=$AX$4,(0.1348118*CC60 - 0.0383065)*98.0665,""))</f>
        <v/>
      </c>
      <c r="DG60" s="244" t="str">
        <f aca="false">IF(BR60=0,"",IF(AS60=$AX$4,DF60/2,""))</f>
        <v/>
      </c>
      <c r="DH60" s="244" t="str">
        <f aca="false">IF(BR60=0,"",IF(DC60&lt;=15,12*(DC60+6),40+12*(DC60-6)))</f>
        <v/>
      </c>
      <c r="DI60" s="244" t="str">
        <f aca="false">IF(BR60=0,"",IF(CD60="SI",5*(DC60+15),((3.3*(DC60+15))+(4*(DC60+12)))/2))</f>
        <v/>
      </c>
      <c r="DJ60" s="244" t="str">
        <f aca="false">IF(BR60=0,"",8*DC60)</f>
        <v/>
      </c>
      <c r="DK60" s="244" t="str">
        <f aca="false">IF(BR60=0,"",215+(10.6*DC60))</f>
        <v/>
      </c>
      <c r="DL60" s="244" t="str">
        <f aca="false">IF(BR60=0,"",10*(7.5+(0.5*DC60)))</f>
        <v/>
      </c>
      <c r="DM60" s="244" t="str">
        <f aca="false">IF(BR60=0,"",8*DC60)</f>
        <v/>
      </c>
      <c r="DN60" s="244" t="str">
        <f aca="false">IF(AW60=" "," ",IF(DC60=""," ",IF(DC60&lt;4,10*10.2,IF(DC60=4,12*10.2,IF(DC60&lt;10,17.5*10.5,IF(DC60=10,15*10.2,IF(DC60&lt;30,22.5*10.2,IF(DC60=30,35*10.2,IF(DC60&lt;50,40*10.2,IF(DC60=50,50*10.2,55*10.2))))))))))</f>
        <v> </v>
      </c>
      <c r="DO60" s="244" t="str">
        <f aca="false">IF(BR60=0,"",7*SQRT(DC60)*10.1972)</f>
        <v/>
      </c>
      <c r="DP60" s="244" t="str">
        <f aca="false">IF(BR60=0,"",IF(AS60=$AX$4,5*CC60,""))</f>
        <v/>
      </c>
      <c r="DQ60" s="244" t="str">
        <f aca="false">IF(AW60=" "," ",IF(DC60=""," ",IF(DC60&lt;2,4*10.2,IF(DC60=2,6*10.2,IF(DC60&lt;4,12*10.2,IF(DC60=4,20*10.2,IF(DC60&lt;8,30*10.2,IF(DC60=8,35*10.2,IF(DC60&lt;15,40*10.2,IF(DC60=15,42*10.2,IF(DC60&lt;30,45*10.2,IF(DC60=30,50*10.2,70*10.2))))))))))))</f>
        <v> </v>
      </c>
      <c r="DR60" s="244" t="str">
        <f aca="false">IF(BR60=0,"",IF(AS60=$AX$4,220*DP60*0.0101972,""))</f>
        <v/>
      </c>
      <c r="DS60" s="271" t="str">
        <f aca="false">IF(BR60=0,"",IF(AS60=$AX$7,(SUM(DH60:DO60)-MIN(DH60:DO60)-MAX(DH60:DO60))/6,(SUM(DO60:DR60)-MIN(DO60:DR60)-MAX(DO60:DR60))/2))</f>
        <v/>
      </c>
      <c r="DT60" s="244" t="str">
        <f aca="false">IF(AW60=" "," ",IF(DC60=""," ",IF(DC60&lt;4,0.2,IF(DC60=4,0.27,IF(DC60&lt;10,0.33,IF(DC60=10,0.35,IF(DC60&lt;30,0.36,IF(DC60=30,0.37,IF(DC60&lt;50,0.38,IF(DC60=50,0.4,0.45))))))))))</f>
        <v> </v>
      </c>
      <c r="DU60" s="272" t="str">
        <f aca="false">IF(AW60=" "," ",IF(CC60=""," ",IF(CC60&lt;2,0.2,IF(CC60=2,0.23,IF(CC60&lt;4,0.26,IF(CC60=4,0.29,IF(CC60&lt;8,0.32,IF(CC60=8,0.35,IF(CC60&lt;15,0.38,IF(CC60=15,0.41,IF(CC60&lt;30,0.44,IF(CC60=30,0.47,0.5))))))))))))</f>
        <v> </v>
      </c>
      <c r="DV60" s="244" t="str">
        <f aca="false">IF(BR60=0,"",IF(AS60=$AX$3,DT60,DU60))</f>
        <v/>
      </c>
      <c r="DW60" s="244" t="str">
        <f aca="false">IF(BR60=0,"",IF(DC60&gt;15,15+0.5*(DC60-15),DC60))</f>
        <v/>
      </c>
      <c r="DX60" s="244" t="str">
        <f aca="false">IF(BR60=0,"",IF($S$12="SI",IF(CD60="NO",IF($AD$12&gt;(BO60+1.5*$ED$15),1,0.5),0.5),1))</f>
        <v/>
      </c>
      <c r="DY60" s="244" t="str">
        <f aca="false">IF(BR60=0,"",IF($S$12="SI",IF(CD60="NO",IF($AD$12&gt;(BO60+1.5*$EE$15),1,0.5),0.5),1))</f>
        <v/>
      </c>
      <c r="DZ60" s="244" t="str">
        <f aca="false">IF(BR60=0,"",IF($S$12="SI",IF(CD60="NO",IF($AD$12&gt;(BO60+1.5*$EF$15),1,0.5),0.5),1))</f>
        <v/>
      </c>
      <c r="EA60" s="244" t="str">
        <f aca="false">IF(BR60=0,"",IF($S$12="SI",IF(CD60="NO",IF($AD$12&gt;(BO60+1.5*$ED$15),1,0.5),IF($AD$12=BO60,1,0.5)),1))</f>
        <v/>
      </c>
      <c r="EB60" s="244" t="str">
        <f aca="false">IF(BR60=0,"",IF($S$12="SI",IF(CD60="NO",IF($AD$12&gt;(BO60+1.5*$EE$15),1,0.5),IF($AD$12=BO60,1,0.5)),1))</f>
        <v/>
      </c>
      <c r="EC60" s="244" t="str">
        <f aca="false">IF(BR60=0,"",IF($S$12="SI",IF(CD60="NO",IF($AD$12&gt;(BO60+1.5*$EF$15),1,0.5),IF($AD$12=BO60,1,0.5)),1))</f>
        <v/>
      </c>
      <c r="ED60" s="244" t="str">
        <f aca="false">IF(BR60=0,"",(DW60*($ED$15/10)*(DX60+EA60*(BO60/$ED$15))*1)/3)</f>
        <v/>
      </c>
      <c r="EE60" s="244" t="str">
        <f aca="false">IF(BR60=0,"",(DW60*($EE$15/10)*(DY60+EB60*(BO60/$EE$15))*1)/3)</f>
        <v/>
      </c>
      <c r="EF60" s="244" t="str">
        <f aca="false">IF(BR60=0,"",(DW60*($EF$15/10)*(DZ60+EC60*(BO60/$EF$15))*1)/3)</f>
        <v/>
      </c>
      <c r="EG60" s="273" t="str">
        <f aca="false">IF(BR60=0,"",IF(CD60="SI",0.5,1))</f>
        <v/>
      </c>
      <c r="EH60" s="244" t="str">
        <f aca="false">IF(BR60=0,"",IF((1+0.33*(BO60/$ED$15))&lt;=1.33,(1+0.33*(BO60/$ED$15)),1.33))</f>
        <v/>
      </c>
      <c r="EI60" s="244" t="str">
        <f aca="false">IF(BR60=0,"",IF((1+0.33*(BO60/$EE$15))&lt;=1.33,(1+0.33*(BO60/$EE$15)),1.33))</f>
        <v/>
      </c>
      <c r="EJ60" s="244" t="str">
        <f aca="false">IF(BR60=0,"",IF((1+0.33*(BO60/$EF$15))&lt;=1.33,(1+0.33*(BO60/$EF$15)),1.33))</f>
        <v/>
      </c>
      <c r="EK60" s="244" t="str">
        <f aca="false">IF(BR60=0,"",IF($ED$15&lt;=1.2,((20*DC60*EG60*EH60)/3)*0.010197,((12.5*DC60*((($ED$15+0.3)^2)/$ED$15)*EG60*EH60)/3)*0.010197))</f>
        <v/>
      </c>
      <c r="EL60" s="244" t="str">
        <f aca="false">IF(BR60=0,"",IF($EE$15&lt;=1.2,((20*DC60*EG60*EI60)/3)*0.010197,((12.5*DC60*((($EE$15+0.3)^2)/$EE$15)*EG60*EI60)/3)*0.010197))</f>
        <v/>
      </c>
      <c r="EM60" s="244" t="str">
        <f aca="false">IF(BR60=0,"",IF($EF$15&lt;=1.2,((20*DC60*EG60*EJ60)/3)*0.010197,((12.5*DC60*((($EF$15+0.3)^2)/$EF$15)*EG60*EJ60)/3)*0.010197))</f>
        <v/>
      </c>
      <c r="EN60" s="248" t="str">
        <f aca="false">IF(BR60=0,"",SQRT(12*CC60)+25)</f>
        <v/>
      </c>
      <c r="EO60" s="248" t="str">
        <f aca="false">IF(BR60=0,"",28.5+0.25*CC60)</f>
        <v/>
      </c>
      <c r="EP60" s="248" t="str">
        <f aca="false">IF(BR60=0,"",SQRT(20*CC60)+15)</f>
        <v/>
      </c>
      <c r="EQ60" s="248" t="str">
        <f aca="false">IF(BR60=0,"",23.7+0.57*CC60-0.0006*CC60*CC60)</f>
        <v/>
      </c>
      <c r="ER60" s="248" t="str">
        <f aca="false">IF(BR60=0,"",15+SQRT(12.5*DC60))</f>
        <v/>
      </c>
      <c r="ES60" s="248" t="str">
        <f aca="false">IF(BR60=0,"",3.5*SQRT(CC60)+20)</f>
        <v/>
      </c>
      <c r="ET60" s="248" t="str">
        <f aca="false">IF(BR60=0,"",27.1+0.3*DC60-0.00054*DC60*DC60)</f>
        <v/>
      </c>
      <c r="EU60" s="248" t="str">
        <f aca="false">IF(BR60=0,"",SQRT(20*CC60)+20)</f>
        <v/>
      </c>
      <c r="EV60" s="248" t="str">
        <f aca="false">IF(BR60=0,"",12.79+SQRT(25.86*CC60))</f>
        <v/>
      </c>
      <c r="EW60" s="248" t="str">
        <f aca="false">IF(BR60=0,"",DEGREES(_xlfn.ACOT((CC60/(12.2+20.3*CR60))^0.34)))</f>
        <v/>
      </c>
      <c r="EX60" s="248" t="str">
        <f aca="false">IF(BR60=0,"",24+(5.77*LN(0.17*DC60)))</f>
        <v/>
      </c>
      <c r="EY60" s="248" t="str">
        <f aca="false">IF(BR60=0,"",(SUM(EN60:EX60)-MIN(EN60:EX60)-MAX(EN60:EX60))/9)</f>
        <v/>
      </c>
      <c r="EZ60" s="248" t="str">
        <f aca="false">IF(BR60=0,"", -0.0000000034*CC60^6 + 0.0000008305*CC60^5 - 0.0000741842*CC60^4 + 0.0030204278*CC60^3 - 0.0541594733*CC60^2 + 0.8083147848*CC60 - 0.6182191243)</f>
        <v/>
      </c>
      <c r="FA60" s="249" t="str">
        <f aca="false">IF(BR60=0,"",(0.134811827956989*CC60 - 0.0383064516129019)/2)</f>
        <v/>
      </c>
      <c r="FB60" s="249" t="str">
        <f aca="false">IF(BR60=0,"",CC60*0.065)</f>
        <v/>
      </c>
      <c r="FC60" s="249" t="str">
        <f aca="false">IF(BR60=0,"",(CC60*0.12*0.48)*SQRT((1+SIN(EZ60*((2*PI())/360))/(1-SIN(EZ60*((2*PI())/360))))))</f>
        <v/>
      </c>
      <c r="FD60" s="249" t="str">
        <f aca="false">IF(BR60=0,"",(CC60/8)/2)</f>
        <v/>
      </c>
      <c r="FE60" s="249" t="str">
        <f aca="false">IF(BR60=0,"",(SUM(FA60:FD60)-MIN(FA60:FD60)-MAX(FA60:FD60))/2)</f>
        <v/>
      </c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</row>
    <row r="61" customFormat="false" ht="9.75" hidden="false" customHeight="true" outlineLevel="0" collapsed="false">
      <c r="A61" s="197" t="n">
        <f aca="false">ROUND(A60+0.1,1)</f>
        <v>4.4</v>
      </c>
      <c r="B61" s="250" t="n">
        <f aca="false">+A61</f>
        <v>4.4</v>
      </c>
      <c r="C61" s="251"/>
      <c r="D61" s="251"/>
      <c r="E61" s="274"/>
      <c r="F61" s="253"/>
      <c r="G61" s="279"/>
      <c r="H61" s="280"/>
      <c r="I61" s="280"/>
      <c r="J61" s="257"/>
      <c r="K61" s="258"/>
      <c r="L61" s="259"/>
      <c r="M61" s="276"/>
      <c r="N61" s="277"/>
      <c r="O61" s="277"/>
      <c r="P61" s="277"/>
      <c r="Q61" s="293"/>
      <c r="R61" s="294"/>
      <c r="S61" s="294"/>
      <c r="T61" s="295"/>
      <c r="U61" s="295"/>
      <c r="V61" s="296"/>
      <c r="W61" s="296"/>
      <c r="X61" s="296"/>
      <c r="Y61" s="296"/>
      <c r="Z61" s="296"/>
      <c r="AA61" s="296"/>
      <c r="AB61" s="297"/>
      <c r="AC61" s="298"/>
      <c r="AD61" s="299"/>
      <c r="AE61" s="298"/>
      <c r="AF61" s="300"/>
      <c r="AG61" s="267"/>
      <c r="AH61" s="267"/>
      <c r="AI61" s="241"/>
      <c r="AJ61" s="241"/>
      <c r="AK61" s="266"/>
      <c r="AL61" s="266"/>
      <c r="AM61" s="268"/>
      <c r="AN61" s="250" t="n">
        <f aca="false">+AN59+0.2</f>
        <v>4.4</v>
      </c>
      <c r="AO61" s="251"/>
      <c r="AP61" s="251"/>
      <c r="AQ61" s="274"/>
      <c r="AR61" s="253"/>
      <c r="AS61" s="269" t="s">
        <v>21</v>
      </c>
      <c r="AT61" s="221"/>
      <c r="AU61" s="269"/>
      <c r="AV61" s="269"/>
      <c r="AW61" s="270" t="n">
        <f aca="false">+K61+L61</f>
        <v>0</v>
      </c>
      <c r="AX61" s="270" t="str">
        <f aca="false">IF(AS61="&gt;50","CONSISTENCIA",IF(AS61="&lt;50","COMPACIDAD"," "))</f>
        <v>CONSISTENCIA</v>
      </c>
      <c r="AY61" s="225" t="str">
        <f aca="false">IF(AS61="&gt;50",AZ61,IF(AS61="&lt;50",BA61," "))</f>
        <v> </v>
      </c>
      <c r="AZ61" s="224" t="str">
        <f aca="false">IF(AW61=" "," ",IF(CC61=""," ",IF(CC61&lt;2,"MUY BLANDA",IF(CC61=2,"MUY BLANDA A BLANDA",IF(CC61&lt;4,"BLANDA",IF(CC61=4,"BLANDA A MEDIA",IF(CC61&lt;8,"MEDIA",IF(CC61=8,"MEDIA A FIRME",IF(CC61&lt;15,"FIRME",IF(CC61=15,"FIRME A MUY FIRME",IF(CC61&lt;30,"MUY FIRME",IF(CC61=30,"MUY FIRME A DURA","DURA"))))))))))))</f>
        <v> </v>
      </c>
      <c r="BA61" s="225" t="str">
        <f aca="false">IF(AW61=" "," ",IF(DC61=""," ",IF(DC61&lt;4,"MUY SUELTA",IF(DC61=4,"MUY SUELTA A SUELTA",IF(DC61&lt;10,"SUELTA",IF(DC61=10,"SUELTA A MEDIA",IF(DC61&lt;30,"MEDIA",IF(DC61=30,"MEDIA A DENSO",IF(DC61&lt;50,"DENSO",IF(DC61=50,"DENSO MUY DENSO","MUY DENSO"))))))))))</f>
        <v> </v>
      </c>
      <c r="BB61" s="226" t="str">
        <f aca="false">IF(BR62=0,"",CQ62*0.0101972)</f>
        <v/>
      </c>
      <c r="BC61" s="227" t="n">
        <f aca="false">+BC60+0.1</f>
        <v>4.4</v>
      </c>
      <c r="BD61" s="227" t="str">
        <f aca="false">IF(BC61&lt;=$AN$10,BC61,"")</f>
        <v/>
      </c>
      <c r="BE61" s="228" t="n">
        <f aca="false">ISNUMBER(BD61)</f>
        <v>0</v>
      </c>
      <c r="BF61" s="229" t="str">
        <f aca="false">MID(M61,1,1)</f>
        <v/>
      </c>
      <c r="BG61" s="230" t="str">
        <f aca="false">IF(BF61="S","",IF(BF61="G","",MID(M61,2,1)))</f>
        <v/>
      </c>
      <c r="BH61" s="231" t="str">
        <f aca="false">CONCATENATE(BF61,BG61)</f>
        <v/>
      </c>
      <c r="BI61" s="6" t="str">
        <f aca="false">IF(BE61=FALSE(),"",IF(BH61="",BI60,BH61))</f>
        <v/>
      </c>
      <c r="BJ61" s="74" t="str">
        <f aca="false">IF(OR(BI61="S",BI61="G"),BI61,"X")</f>
        <v>X</v>
      </c>
      <c r="BK61" s="74" t="s">
        <v>221</v>
      </c>
      <c r="BL61" s="303" t="e">
        <f aca="false">INDEX(sim_0,MATCH($BJ$61,granular,0))</f>
        <v>#NAME?</v>
      </c>
      <c r="BM61" s="303"/>
      <c r="BN61" s="6"/>
      <c r="BO61" s="191" t="n">
        <f aca="false">BO60+0.1</f>
        <v>4.4</v>
      </c>
      <c r="BP61" s="233" t="e">
        <f aca="false">IF(AW61=0,NA(),IF(AS61=$AX$3,ROUND(DC61,0),NA()))</f>
        <v>#N/A</v>
      </c>
      <c r="BQ61" s="31" t="e">
        <f aca="false">IF(AW61=0,NA(),IF(AS61=$AX$4,ROUND(CC61,0),NA()))</f>
        <v>#N/A</v>
      </c>
      <c r="BR61" s="234" t="n">
        <f aca="false">+AW61</f>
        <v>0</v>
      </c>
      <c r="BS61" s="235" t="str">
        <f aca="false">IF(BR61=0,"", -0.00000000016128755327*CC61^6 + 0.00000006709386362421*CC61^5 - 0.0000106217678052217*CC61^4 + 0.00081068114193385*CC61^3 - 0.0314027378159951*CC61^2 + 0.649796593937842*CC61 + 13.7888866455022)</f>
        <v/>
      </c>
      <c r="BT61" s="235" t="str">
        <f aca="false">IF(BR61=0,"",-0.00000000014625939695*CC61^6 + 0.00000004971732060241*CC61^5 - 0.000006683744342031*CC61^4 + 0.0004563177378098*CC61^3 - 0.0171727530635803*CC61^2 + 0.444529932876435*CC61 + 15.6692518940565)</f>
        <v/>
      </c>
      <c r="BU61" s="236" t="str">
        <f aca="false">IF(BR61=0,"", -0.0000000008152265738*BR61^6 + 0.00000022764320256987*BR61^5 - 0.0000248205675927705*BR61^4 + 0.00133186623684865*BR61^3 - 0.0368442570441677*BR61^2 + 0.580111565569094*BR61 + 14.0417598296107)</f>
        <v/>
      </c>
      <c r="BV61" s="236" t="str">
        <f aca="false">IF(BR61=0,"", -0.00000000004321395721*BR61^6 + 0.00000002531844275498*BR61^5 - 0.00000369428022780862*BR61^4 + 0.00020283665900125*BR61^3 - 0.00462426256803268*BR61^2 + 0.139572935065453*BR61 + 15.4475338156923)</f>
        <v/>
      </c>
      <c r="BW61" s="236" t="str">
        <f aca="false">IF(BR61=0,"",-0.00000000033126390082*BR61^6 + 0.00000010463660614506*BR61^5 - 0.0000129629592998707*BR61^4 + 0.000803946335250767*BR61^3 - 0.0270257140395994*BR61^2 + 0.562590210721552*BR61+ 12.1254107606419)</f>
        <v/>
      </c>
      <c r="BX61" s="236" t="str">
        <f aca="false">IF(BR61=0,"",-0.00000000002593504955*BR61^6 + 0.00000002430495156704*BR61^5 - 0.00000386103271086364*BR61^4 + 0.000214416118986322*BR61^3 - 0.0047271462612021*BR61^2 + 0.156696175741135*BR61 + 15.4598891949502)</f>
        <v/>
      </c>
      <c r="BY61" s="234" t="str">
        <f aca="false">IF(BR61=0,"",$BS$2)</f>
        <v/>
      </c>
      <c r="BZ61" s="234" t="str">
        <f aca="false">IF(BR61=0,"",$BS$3)</f>
        <v/>
      </c>
      <c r="CA61" s="234" t="str">
        <f aca="false">IF(BR61=0,"",$BS$4)</f>
        <v/>
      </c>
      <c r="CB61" s="235" t="str">
        <f aca="false">IF(BR61=0,"",IF(AND(BO61&gt;=0,BO61&lt;4),0.75,IF(AND(BO61&gt;=4,BO61&lt;6),0.85,IF(AND(BO61&gt;=6,BO61&lt;=10),0.95,1))))</f>
        <v/>
      </c>
      <c r="CC61" s="234" t="str">
        <f aca="false">IF(BR61=0,"",BR61*BY61*BZ61*CA61*CB61/60)</f>
        <v/>
      </c>
      <c r="CD61" s="238" t="str">
        <f aca="false">IF(BR61=0,"",IF($S$12="NO","NO",IF($AD$12&lt;=BO61,"SI","NO")))</f>
        <v/>
      </c>
      <c r="CE61" s="235" t="n">
        <f aca="false">IF(BR61=0,0,AB61)</f>
        <v>0</v>
      </c>
      <c r="CF61" s="235" t="n">
        <f aca="false">IF(CE61&gt;0,BO61,0)</f>
        <v>0</v>
      </c>
      <c r="CG61" s="239" t="n">
        <f aca="false">IF(CF61=0,CF61+CG60,CF61)</f>
        <v>0</v>
      </c>
      <c r="CH61" s="239" t="n">
        <f aca="false">IF(CG61=CG60,CH60,ABS(CG61-CG60))</f>
        <v>0</v>
      </c>
      <c r="CI61" s="239" t="n">
        <f aca="false">+CE61*CH61</f>
        <v>0</v>
      </c>
      <c r="CJ61" s="239" t="n">
        <f aca="false">IF(CI61=0,CI61+CJ60,CI61)</f>
        <v>0</v>
      </c>
      <c r="CK61" s="239" t="n">
        <f aca="false">IF(CJ61=CJ60,CK60,ABS(CJ61+CK60))</f>
        <v>0</v>
      </c>
      <c r="CL61" s="241" t="n">
        <f aca="false">IF(CE61=0,0,CK61)</f>
        <v>0</v>
      </c>
      <c r="CM61" s="239" t="n">
        <f aca="false">IF(CE61=0,0,CH61*9.81)</f>
        <v>0</v>
      </c>
      <c r="CN61" s="239" t="n">
        <f aca="false">IF(CM61=0,CM61+CN60,CM61)</f>
        <v>0</v>
      </c>
      <c r="CO61" s="239" t="n">
        <f aca="false">IF(CN61=CN60,CO60,ABS(CN61+CO60))</f>
        <v>0</v>
      </c>
      <c r="CP61" s="241" t="n">
        <f aca="false">IF(CD61="NO",0,IF(CE61=0,0,CO61))</f>
        <v>0</v>
      </c>
      <c r="CQ61" s="244" t="str">
        <f aca="false">IF(BR61=0,"",CL61-CP61)</f>
        <v/>
      </c>
      <c r="CR61" s="244" t="str">
        <f aca="false">IF(BR61=0,"",CQ61/101.3)</f>
        <v/>
      </c>
      <c r="CS61" s="244" t="str">
        <f aca="false">IF(BR61=0,"",LOG(10/CR61))</f>
        <v/>
      </c>
      <c r="CT61" s="243" t="str">
        <f aca="false">IF(BR61=0,"",IF(SQRT(101.3/CQ61)&lt;=1.7,SQRT(101.3/CQ61),2.2/(1.2+(CQ61/101.3))))</f>
        <v/>
      </c>
      <c r="CU61" s="244" t="str">
        <f aca="false">IF(BR61=0,"",1.7/(0.7+CR61))</f>
        <v/>
      </c>
      <c r="CV61" s="244" t="str">
        <f aca="false">IF(BR61=0,"",IF(CR61&gt;=0.25,0.77*LOG(20/CR61),""))</f>
        <v/>
      </c>
      <c r="CW61" s="244" t="str">
        <f aca="false">IF(BR61=0,"",32.5/(10.2+20.3*CR61))</f>
        <v/>
      </c>
      <c r="CX61" s="244" t="str">
        <f aca="false">IF(BR61=0,"",1-1.25*LOG(CR61))</f>
        <v/>
      </c>
      <c r="CY61" s="244" t="str">
        <f aca="false">IF(BR61=0,"",IF(CR61&lt;1,1-1.41*LOG(CR61),1+0.92*LOG(CR61)))</f>
        <v/>
      </c>
      <c r="CZ61" s="244" t="str">
        <f aca="false">IF(BR61=0,"",2/(1+CR61))</f>
        <v/>
      </c>
      <c r="DA61" s="244" t="str">
        <f aca="false">IF(BR61=0,"",IF(CR61&lt;=0.75,4/(1+4*CR61),4/(3.25+CR61)))</f>
        <v/>
      </c>
      <c r="DB61" s="244" t="str">
        <f aca="false">IF(BR61=0,"",CT61)</f>
        <v/>
      </c>
      <c r="DC61" s="244" t="str">
        <f aca="false">IF(BR61=0,"",DB61*CC61)</f>
        <v/>
      </c>
      <c r="DD61" s="244"/>
      <c r="DE61" s="244" t="str">
        <f aca="false">IF(BR61=0,"",0.193*(CC61/(CQ61*0.001))^0.689)</f>
        <v/>
      </c>
      <c r="DF61" s="244" t="str">
        <f aca="false">IF(BR61=0,"",IF(AS61=$AX$4,(0.1348118*CC61 - 0.0383065)*98.0665,""))</f>
        <v/>
      </c>
      <c r="DG61" s="244" t="str">
        <f aca="false">IF(BR61=0,"",IF(AS61=$AX$4,DF61/2,""))</f>
        <v/>
      </c>
      <c r="DH61" s="244" t="str">
        <f aca="false">IF(BR61=0,"",IF(DC61&lt;=15,12*(DC61+6),40+12*(DC61-6)))</f>
        <v/>
      </c>
      <c r="DI61" s="244" t="str">
        <f aca="false">IF(BR61=0,"",IF(CD61="SI",5*(DC61+15),((3.3*(DC61+15))+(4*(DC61+12)))/2))</f>
        <v/>
      </c>
      <c r="DJ61" s="244" t="str">
        <f aca="false">IF(BR61=0,"",8*DC61)</f>
        <v/>
      </c>
      <c r="DK61" s="244" t="str">
        <f aca="false">IF(BR61=0,"",215+(10.6*DC61))</f>
        <v/>
      </c>
      <c r="DL61" s="244" t="str">
        <f aca="false">IF(BR61=0,"",10*(7.5+(0.5*DC61)))</f>
        <v/>
      </c>
      <c r="DM61" s="244" t="str">
        <f aca="false">IF(BR61=0,"",8*DC61)</f>
        <v/>
      </c>
      <c r="DN61" s="244" t="str">
        <f aca="false">IF(AW61=" "," ",IF(DC61=""," ",IF(DC61&lt;4,10*10.2,IF(DC61=4,12*10.2,IF(DC61&lt;10,17.5*10.5,IF(DC61=10,15*10.2,IF(DC61&lt;30,22.5*10.2,IF(DC61=30,35*10.2,IF(DC61&lt;50,40*10.2,IF(DC61=50,50*10.2,55*10.2))))))))))</f>
        <v> </v>
      </c>
      <c r="DO61" s="244" t="str">
        <f aca="false">IF(BR61=0,"",7*SQRT(DC61)*10.1972)</f>
        <v/>
      </c>
      <c r="DP61" s="244" t="str">
        <f aca="false">IF(BR61=0,"",IF(AS61=$AX$4,5*CC61,""))</f>
        <v/>
      </c>
      <c r="DQ61" s="244" t="str">
        <f aca="false">IF(AW61=" "," ",IF(DC61=""," ",IF(DC61&lt;2,4*10.2,IF(DC61=2,6*10.2,IF(DC61&lt;4,12*10.2,IF(DC61=4,20*10.2,IF(DC61&lt;8,30*10.2,IF(DC61=8,35*10.2,IF(DC61&lt;15,40*10.2,IF(DC61=15,42*10.2,IF(DC61&lt;30,45*10.2,IF(DC61=30,50*10.2,70*10.2))))))))))))</f>
        <v> </v>
      </c>
      <c r="DR61" s="244" t="str">
        <f aca="false">IF(BR61=0,"",IF(AS61=$AX$4,220*DP61*0.0101972,""))</f>
        <v/>
      </c>
      <c r="DS61" s="271" t="str">
        <f aca="false">IF(BR61=0,"",IF(AS61=$AX$7,(SUM(DH61:DO61)-MIN(DH61:DO61)-MAX(DH61:DO61))/6,(SUM(DO61:DR61)-MIN(DO61:DR61)-MAX(DO61:DR61))/2))</f>
        <v/>
      </c>
      <c r="DT61" s="244" t="str">
        <f aca="false">IF(AW61=" "," ",IF(DC61=""," ",IF(DC61&lt;4,0.2,IF(DC61=4,0.27,IF(DC61&lt;10,0.33,IF(DC61=10,0.35,IF(DC61&lt;30,0.36,IF(DC61=30,0.37,IF(DC61&lt;50,0.38,IF(DC61=50,0.4,0.45))))))))))</f>
        <v> </v>
      </c>
      <c r="DU61" s="272" t="str">
        <f aca="false">IF(AW61=" "," ",IF(CC61=""," ",IF(CC61&lt;2,0.2,IF(CC61=2,0.23,IF(CC61&lt;4,0.26,IF(CC61=4,0.29,IF(CC61&lt;8,0.32,IF(CC61=8,0.35,IF(CC61&lt;15,0.38,IF(CC61=15,0.41,IF(CC61&lt;30,0.44,IF(CC61=30,0.47,0.5))))))))))))</f>
        <v> </v>
      </c>
      <c r="DV61" s="244" t="str">
        <f aca="false">IF(BR61=0,"",IF(AS61=$AX$3,DT61,DU61))</f>
        <v/>
      </c>
      <c r="DW61" s="244" t="str">
        <f aca="false">IF(BR61=0,"",IF(DC61&gt;15,15+0.5*(DC61-15),DC61))</f>
        <v/>
      </c>
      <c r="DX61" s="244" t="str">
        <f aca="false">IF(BR61=0,"",IF($S$12="SI",IF(CD61="NO",IF($AD$12&gt;(BO61+1.5*$ED$15),1,0.5),0.5),1))</f>
        <v/>
      </c>
      <c r="DY61" s="244" t="str">
        <f aca="false">IF(BR61=0,"",IF($S$12="SI",IF(CD61="NO",IF($AD$12&gt;(BO61+1.5*$EE$15),1,0.5),0.5),1))</f>
        <v/>
      </c>
      <c r="DZ61" s="244" t="str">
        <f aca="false">IF(BR61=0,"",IF($S$12="SI",IF(CD61="NO",IF($AD$12&gt;(BO61+1.5*$EF$15),1,0.5),0.5),1))</f>
        <v/>
      </c>
      <c r="EA61" s="244" t="str">
        <f aca="false">IF(BR61=0,"",IF($S$12="SI",IF(CD61="NO",IF($AD$12&gt;(BO61+1.5*$ED$15),1,0.5),IF($AD$12=BO61,1,0.5)),1))</f>
        <v/>
      </c>
      <c r="EB61" s="244" t="str">
        <f aca="false">IF(BR61=0,"",IF($S$12="SI",IF(CD61="NO",IF($AD$12&gt;(BO61+1.5*$EE$15),1,0.5),IF($AD$12=BO61,1,0.5)),1))</f>
        <v/>
      </c>
      <c r="EC61" s="244" t="str">
        <f aca="false">IF(BR61=0,"",IF($S$12="SI",IF(CD61="NO",IF($AD$12&gt;(BO61+1.5*$EF$15),1,0.5),IF($AD$12=BO61,1,0.5)),1))</f>
        <v/>
      </c>
      <c r="ED61" s="244" t="str">
        <f aca="false">IF(BR61=0,"",(DW61*($ED$15/10)*(DX61+EA61*(BO61/$ED$15))*1)/3)</f>
        <v/>
      </c>
      <c r="EE61" s="244" t="str">
        <f aca="false">IF(BR61=0,"",(DW61*($EE$15/10)*(DY61+EB61*(BO61/$EE$15))*1)/3)</f>
        <v/>
      </c>
      <c r="EF61" s="244" t="str">
        <f aca="false">IF(BR61=0,"",(DW61*($EF$15/10)*(DZ61+EC61*(BO61/$EF$15))*1)/3)</f>
        <v/>
      </c>
      <c r="EG61" s="273" t="str">
        <f aca="false">IF(BR61=0,"",IF(CD61="SI",0.5,1))</f>
        <v/>
      </c>
      <c r="EH61" s="244" t="str">
        <f aca="false">IF(BR61=0,"",IF((1+0.33*(BO61/$ED$15))&lt;=1.33,(1+0.33*(BO61/$ED$15)),1.33))</f>
        <v/>
      </c>
      <c r="EI61" s="244" t="str">
        <f aca="false">IF(BR61=0,"",IF((1+0.33*(BO61/$EE$15))&lt;=1.33,(1+0.33*(BO61/$EE$15)),1.33))</f>
        <v/>
      </c>
      <c r="EJ61" s="244" t="str">
        <f aca="false">IF(BR61=0,"",IF((1+0.33*(BO61/$EF$15))&lt;=1.33,(1+0.33*(BO61/$EF$15)),1.33))</f>
        <v/>
      </c>
      <c r="EK61" s="244" t="str">
        <f aca="false">IF(BR61=0,"",IF($ED$15&lt;=1.2,((20*DC61*EG61*EH61)/3)*0.010197,((12.5*DC61*((($ED$15+0.3)^2)/$ED$15)*EG61*EH61)/3)*0.010197))</f>
        <v/>
      </c>
      <c r="EL61" s="244" t="str">
        <f aca="false">IF(BR61=0,"",IF($EE$15&lt;=1.2,((20*DC61*EG61*EI61)/3)*0.010197,((12.5*DC61*((($EE$15+0.3)^2)/$EE$15)*EG61*EI61)/3)*0.010197))</f>
        <v/>
      </c>
      <c r="EM61" s="244" t="str">
        <f aca="false">IF(BR61=0,"",IF($EF$15&lt;=1.2,((20*DC61*EG61*EJ61)/3)*0.010197,((12.5*DC61*((($EF$15+0.3)^2)/$EF$15)*EG61*EJ61)/3)*0.010197))</f>
        <v/>
      </c>
      <c r="EN61" s="248" t="str">
        <f aca="false">IF(BR61=0,"",SQRT(12*CC61)+25)</f>
        <v/>
      </c>
      <c r="EO61" s="248" t="str">
        <f aca="false">IF(BR61=0,"",28.5+0.25*CC61)</f>
        <v/>
      </c>
      <c r="EP61" s="248" t="str">
        <f aca="false">IF(BR61=0,"",SQRT(20*CC61)+15)</f>
        <v/>
      </c>
      <c r="EQ61" s="248" t="str">
        <f aca="false">IF(BR61=0,"",23.7+0.57*CC61-0.0006*CC61*CC61)</f>
        <v/>
      </c>
      <c r="ER61" s="248" t="str">
        <f aca="false">IF(BR61=0,"",15+SQRT(12.5*DC61))</f>
        <v/>
      </c>
      <c r="ES61" s="248" t="str">
        <f aca="false">IF(BR61=0,"",3.5*SQRT(CC61)+20)</f>
        <v/>
      </c>
      <c r="ET61" s="248" t="str">
        <f aca="false">IF(BR61=0,"",27.1+0.3*DC61-0.00054*DC61*DC61)</f>
        <v/>
      </c>
      <c r="EU61" s="248" t="str">
        <f aca="false">IF(BR61=0,"",SQRT(20*CC61)+20)</f>
        <v/>
      </c>
      <c r="EV61" s="248" t="str">
        <f aca="false">IF(BR61=0,"",12.79+SQRT(25.86*CC61))</f>
        <v/>
      </c>
      <c r="EW61" s="248" t="str">
        <f aca="false">IF(BR61=0,"",DEGREES(_xlfn.ACOT((CC61/(12.2+20.3*CR61))^0.34)))</f>
        <v/>
      </c>
      <c r="EX61" s="248" t="str">
        <f aca="false">IF(BR61=0,"",24+(5.77*LN(0.17*DC61)))</f>
        <v/>
      </c>
      <c r="EY61" s="248" t="str">
        <f aca="false">IF(BR61=0,"",(SUM(EN61:EX61)-MIN(EN61:EX61)-MAX(EN61:EX61))/9)</f>
        <v/>
      </c>
      <c r="EZ61" s="248" t="str">
        <f aca="false">IF(BR61=0,"", -0.0000000034*CC61^6 + 0.0000008305*CC61^5 - 0.0000741842*CC61^4 + 0.0030204278*CC61^3 - 0.0541594733*CC61^2 + 0.8083147848*CC61 - 0.6182191243)</f>
        <v/>
      </c>
      <c r="FA61" s="249" t="str">
        <f aca="false">IF(BR61=0,"",(0.134811827956989*CC61 - 0.0383064516129019)/2)</f>
        <v/>
      </c>
      <c r="FB61" s="249" t="str">
        <f aca="false">IF(BR61=0,"",CC61*0.065)</f>
        <v/>
      </c>
      <c r="FC61" s="249" t="str">
        <f aca="false">IF(BR61=0,"",(CC61*0.12*0.48)*SQRT((1+SIN(EZ61*((2*PI())/360))/(1-SIN(EZ61*((2*PI())/360))))))</f>
        <v/>
      </c>
      <c r="FD61" s="249" t="str">
        <f aca="false">IF(BR61=0,"",(CC61/8)/2)</f>
        <v/>
      </c>
      <c r="FE61" s="249" t="str">
        <f aca="false">IF(BR61=0,"",(SUM(FA61:FD61)-MIN(FA61:FD61)-MAX(FA61:FD61))/2)</f>
        <v/>
      </c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</row>
    <row r="62" customFormat="false" ht="9.75" hidden="false" customHeight="true" outlineLevel="0" collapsed="false">
      <c r="A62" s="197" t="n">
        <f aca="false">ROUND(A61+0.1,1)</f>
        <v>4.5</v>
      </c>
      <c r="B62" s="250"/>
      <c r="C62" s="251"/>
      <c r="D62" s="251"/>
      <c r="E62" s="199"/>
      <c r="F62" s="200"/>
      <c r="G62" s="254"/>
      <c r="H62" s="284"/>
      <c r="I62" s="285"/>
      <c r="J62" s="257"/>
      <c r="K62" s="258"/>
      <c r="L62" s="259"/>
      <c r="M62" s="276"/>
      <c r="N62" s="277"/>
      <c r="O62" s="277"/>
      <c r="P62" s="277"/>
      <c r="Q62" s="293"/>
      <c r="R62" s="294"/>
      <c r="S62" s="294"/>
      <c r="T62" s="295"/>
      <c r="U62" s="295"/>
      <c r="V62" s="296"/>
      <c r="W62" s="296"/>
      <c r="X62" s="296"/>
      <c r="Y62" s="296"/>
      <c r="Z62" s="296"/>
      <c r="AA62" s="296"/>
      <c r="AB62" s="297"/>
      <c r="AC62" s="298"/>
      <c r="AD62" s="299"/>
      <c r="AE62" s="298"/>
      <c r="AF62" s="300"/>
      <c r="AG62" s="267"/>
      <c r="AH62" s="267"/>
      <c r="AI62" s="241"/>
      <c r="AJ62" s="241"/>
      <c r="AK62" s="266"/>
      <c r="AL62" s="266"/>
      <c r="AM62" s="268"/>
      <c r="AN62" s="250"/>
      <c r="AO62" s="251"/>
      <c r="AP62" s="251"/>
      <c r="AQ62" s="199"/>
      <c r="AR62" s="200"/>
      <c r="AS62" s="269" t="s">
        <v>13</v>
      </c>
      <c r="AT62" s="221" t="s">
        <v>54</v>
      </c>
      <c r="AU62" s="269"/>
      <c r="AV62" s="269"/>
      <c r="AW62" s="270" t="n">
        <f aca="false">+K62+L62</f>
        <v>0</v>
      </c>
      <c r="AX62" s="270" t="str">
        <f aca="false">IF(AS62="&gt;50","CONSISTENCIA",IF(AS62="&lt;50","COMPACIDAD"," "))</f>
        <v>COMPACIDAD</v>
      </c>
      <c r="AY62" s="225" t="str">
        <f aca="false">IF(AS62="&gt;50",AZ62,IF(AS62="&lt;50",BA62," "))</f>
        <v> </v>
      </c>
      <c r="AZ62" s="224" t="str">
        <f aca="false">IF(AW62=" "," ",IF(CC62=""," ",IF(CC62&lt;2,"MUY BLANDA",IF(CC62=2,"MUY BLANDA A BLANDA",IF(CC62&lt;4,"BLANDA",IF(CC62=4,"BLANDA A MEDIA",IF(CC62&lt;8,"MEDIA",IF(CC62=8,"MEDIA A FIRME",IF(CC62&lt;15,"FIRME",IF(CC62=15,"FIRME A MUY FIRME",IF(CC62&lt;30,"MUY FIRME",IF(CC62=30,"MUY FIRME A DURA","DURA"))))))))))))</f>
        <v> </v>
      </c>
      <c r="BA62" s="225" t="str">
        <f aca="false">IF(AW62=" "," ",IF(DC62=""," ",IF(DC62&lt;4,"MUY SUELTA",IF(DC62=4,"MUY SUELTA A SUELTA",IF(DC62&lt;10,"SUELTA",IF(DC62=10,"SUELTA A MEDIA",IF(DC62&lt;30,"MEDIA",IF(DC62=30,"MEDIA A DENSO",IF(DC62&lt;50,"DENSO",IF(DC62=50,"DENSO MUY DENSO","MUY DENSO"))))))))))</f>
        <v> </v>
      </c>
      <c r="BB62" s="226" t="str">
        <f aca="false">IF(BR63=0,"",CQ63*0.0101972)</f>
        <v/>
      </c>
      <c r="BC62" s="227" t="n">
        <f aca="false">+BC61+0.1</f>
        <v>4.5</v>
      </c>
      <c r="BD62" s="227" t="str">
        <f aca="false">IF(BC62&lt;=$AN$10,BC62,"")</f>
        <v/>
      </c>
      <c r="BE62" s="228" t="n">
        <f aca="false">ISNUMBER(BD62)</f>
        <v>0</v>
      </c>
      <c r="BF62" s="229" t="str">
        <f aca="false">MID(M62,1,1)</f>
        <v/>
      </c>
      <c r="BG62" s="230" t="str">
        <f aca="false">IF(BF62="S","",IF(BF62="G","",MID(M62,2,1)))</f>
        <v/>
      </c>
      <c r="BH62" s="231" t="str">
        <f aca="false">CONCATENATE(BF62,BG62)</f>
        <v/>
      </c>
      <c r="BI62" s="6" t="str">
        <f aca="false">IF(BE62=FALSE(),"",IF(BH62="",BI61,BH62))</f>
        <v/>
      </c>
      <c r="BJ62" s="74" t="str">
        <f aca="false">IF(OR(BI62="S",BI62="G"),BI62,"X")</f>
        <v>X</v>
      </c>
      <c r="BK62" s="74" t="s">
        <v>222</v>
      </c>
      <c r="BL62" s="303" t="e">
        <f aca="false">INDEX(sim_0,MATCH($BJ$62,granular,0))</f>
        <v>#NAME?</v>
      </c>
      <c r="BM62" s="303"/>
      <c r="BN62" s="6"/>
      <c r="BO62" s="191" t="n">
        <f aca="false">BO61+0.1</f>
        <v>4.5</v>
      </c>
      <c r="BP62" s="233" t="e">
        <f aca="false">IF(AW62=0,NA(),IF(AS62=$AX$3,ROUND(DC62,0),NA()))</f>
        <v>#N/A</v>
      </c>
      <c r="BQ62" s="31" t="e">
        <f aca="false">IF(AW62=0,NA(),IF(AS62=$AX$4,ROUND(CC62,0),NA()))</f>
        <v>#N/A</v>
      </c>
      <c r="BR62" s="234" t="n">
        <f aca="false">+AW62</f>
        <v>0</v>
      </c>
      <c r="BS62" s="235" t="str">
        <f aca="false">IF(BR62=0,"", -0.00000000016128755327*CC62^6 + 0.00000006709386362421*CC62^5 - 0.0000106217678052217*CC62^4 + 0.00081068114193385*CC62^3 - 0.0314027378159951*CC62^2 + 0.649796593937842*CC62 + 13.7888866455022)</f>
        <v/>
      </c>
      <c r="BT62" s="235" t="str">
        <f aca="false">IF(BR62=0,"",-0.00000000014625939695*CC62^6 + 0.00000004971732060241*CC62^5 - 0.000006683744342031*CC62^4 + 0.0004563177378098*CC62^3 - 0.0171727530635803*CC62^2 + 0.444529932876435*CC62 + 15.6692518940565)</f>
        <v/>
      </c>
      <c r="BU62" s="236" t="str">
        <f aca="false">IF(BR62=0,"", -0.0000000008152265738*BR62^6 + 0.00000022764320256987*BR62^5 - 0.0000248205675927705*BR62^4 + 0.00133186623684865*BR62^3 - 0.0368442570441677*BR62^2 + 0.580111565569094*BR62 + 14.0417598296107)</f>
        <v/>
      </c>
      <c r="BV62" s="236" t="str">
        <f aca="false">IF(BR62=0,"", -0.00000000004321395721*BR62^6 + 0.00000002531844275498*BR62^5 - 0.00000369428022780862*BR62^4 + 0.00020283665900125*BR62^3 - 0.00462426256803268*BR62^2 + 0.139572935065453*BR62 + 15.4475338156923)</f>
        <v/>
      </c>
      <c r="BW62" s="236" t="str">
        <f aca="false">IF(BR62=0,"",-0.00000000033126390082*BR62^6 + 0.00000010463660614506*BR62^5 - 0.0000129629592998707*BR62^4 + 0.000803946335250767*BR62^3 - 0.0270257140395994*BR62^2 + 0.562590210721552*BR62+ 12.1254107606419)</f>
        <v/>
      </c>
      <c r="BX62" s="236" t="str">
        <f aca="false">IF(BR62=0,"",-0.00000000002593504955*BR62^6 + 0.00000002430495156704*BR62^5 - 0.00000386103271086364*BR62^4 + 0.000214416118986322*BR62^3 - 0.0047271462612021*BR62^2 + 0.156696175741135*BR62 + 15.4598891949502)</f>
        <v/>
      </c>
      <c r="BY62" s="234" t="str">
        <f aca="false">IF(BR62=0,"",$BS$2)</f>
        <v/>
      </c>
      <c r="BZ62" s="234" t="str">
        <f aca="false">IF(BR62=0,"",$BS$3)</f>
        <v/>
      </c>
      <c r="CA62" s="234" t="str">
        <f aca="false">IF(BR62=0,"",$BS$4)</f>
        <v/>
      </c>
      <c r="CB62" s="235" t="str">
        <f aca="false">IF(BR62=0,"",IF(AND(BO62&gt;=0,BO62&lt;4),0.75,IF(AND(BO62&gt;=4,BO62&lt;6),0.85,IF(AND(BO62&gt;=6,BO62&lt;=10),0.95,1))))</f>
        <v/>
      </c>
      <c r="CC62" s="234" t="str">
        <f aca="false">IF(BR62=0,"",BR62*BY62*BZ62*CA62*CB62/60)</f>
        <v/>
      </c>
      <c r="CD62" s="238" t="str">
        <f aca="false">IF(BR62=0,"",IF($S$12="NO","NO",IF($AD$12&lt;=BO62,"SI","NO")))</f>
        <v/>
      </c>
      <c r="CE62" s="235" t="n">
        <f aca="false">IF(BR62=0,0,AB62)</f>
        <v>0</v>
      </c>
      <c r="CF62" s="235" t="n">
        <f aca="false">IF(CE62&gt;0,BO62,0)</f>
        <v>0</v>
      </c>
      <c r="CG62" s="239" t="n">
        <f aca="false">IF(CF62=0,CF62+CG61,CF62)</f>
        <v>0</v>
      </c>
      <c r="CH62" s="239" t="n">
        <f aca="false">IF(CG62=CG61,CH61,ABS(CG62-CG61))</f>
        <v>0</v>
      </c>
      <c r="CI62" s="239" t="n">
        <f aca="false">+CE62*CH62</f>
        <v>0</v>
      </c>
      <c r="CJ62" s="239" t="n">
        <f aca="false">IF(CI62=0,CI62+CJ61,CI62)</f>
        <v>0</v>
      </c>
      <c r="CK62" s="239" t="n">
        <f aca="false">IF(CJ62=CJ61,CK61,ABS(CJ62+CK61))</f>
        <v>0</v>
      </c>
      <c r="CL62" s="241" t="n">
        <f aca="false">IF(CE62=0,0,CK62)</f>
        <v>0</v>
      </c>
      <c r="CM62" s="239" t="n">
        <f aca="false">IF(CE62=0,0,CH62*9.81)</f>
        <v>0</v>
      </c>
      <c r="CN62" s="239" t="n">
        <f aca="false">IF(CM62=0,CM62+CN61,CM62)</f>
        <v>0</v>
      </c>
      <c r="CO62" s="239" t="n">
        <f aca="false">IF(CN62=CN61,CO61,ABS(CN62+CO61))</f>
        <v>0</v>
      </c>
      <c r="CP62" s="241" t="n">
        <f aca="false">IF(CD62="NO",0,IF(CE62=0,0,CO62))</f>
        <v>0</v>
      </c>
      <c r="CQ62" s="244" t="str">
        <f aca="false">IF(BR62=0,"",CL62-CP62)</f>
        <v/>
      </c>
      <c r="CR62" s="244" t="str">
        <f aca="false">IF(BR62=0,"",CQ62/101.3)</f>
        <v/>
      </c>
      <c r="CS62" s="244" t="str">
        <f aca="false">IF(BR62=0,"",LOG(10/CR62))</f>
        <v/>
      </c>
      <c r="CT62" s="243" t="str">
        <f aca="false">IF(BR62=0,"",IF(SQRT(101.3/CQ62)&lt;=1.7,SQRT(101.3/CQ62),2.2/(1.2+(CQ62/101.3))))</f>
        <v/>
      </c>
      <c r="CU62" s="244" t="str">
        <f aca="false">IF(BR62=0,"",1.7/(0.7+CR62))</f>
        <v/>
      </c>
      <c r="CV62" s="244" t="str">
        <f aca="false">IF(BR62=0,"",IF(CR62&gt;=0.25,0.77*LOG(20/CR62),""))</f>
        <v/>
      </c>
      <c r="CW62" s="244" t="str">
        <f aca="false">IF(BR62=0,"",32.5/(10.2+20.3*CR62))</f>
        <v/>
      </c>
      <c r="CX62" s="244" t="str">
        <f aca="false">IF(BR62=0,"",1-1.25*LOG(CR62))</f>
        <v/>
      </c>
      <c r="CY62" s="244" t="str">
        <f aca="false">IF(BR62=0,"",IF(CR62&lt;1,1-1.41*LOG(CR62),1+0.92*LOG(CR62)))</f>
        <v/>
      </c>
      <c r="CZ62" s="244" t="str">
        <f aca="false">IF(BR62=0,"",2/(1+CR62))</f>
        <v/>
      </c>
      <c r="DA62" s="244" t="str">
        <f aca="false">IF(BR62=0,"",IF(CR62&lt;=0.75,4/(1+4*CR62),4/(3.25+CR62)))</f>
        <v/>
      </c>
      <c r="DB62" s="244" t="str">
        <f aca="false">IF(BR62=0,"",CT62)</f>
        <v/>
      </c>
      <c r="DC62" s="244" t="str">
        <f aca="false">IF(BR62=0,"",DB62*CC62)</f>
        <v/>
      </c>
      <c r="DD62" s="244"/>
      <c r="DE62" s="244" t="str">
        <f aca="false">IF(BR62=0,"",0.193*(CC62/(CQ62*0.001))^0.689)</f>
        <v/>
      </c>
      <c r="DF62" s="244" t="str">
        <f aca="false">IF(BR62=0,"",IF(AS62=$AX$4,(0.1348118*CC62 - 0.0383065)*98.0665,""))</f>
        <v/>
      </c>
      <c r="DG62" s="244" t="str">
        <f aca="false">IF(BR62=0,"",IF(AS62=$AX$4,DF62/2,""))</f>
        <v/>
      </c>
      <c r="DH62" s="244" t="str">
        <f aca="false">IF(BR62=0,"",IF(DC62&lt;=15,12*(DC62+6),40+12*(DC62-6)))</f>
        <v/>
      </c>
      <c r="DI62" s="244" t="str">
        <f aca="false">IF(BR62=0,"",IF(CD62="SI",5*(DC62+15),((3.3*(DC62+15))+(4*(DC62+12)))/2))</f>
        <v/>
      </c>
      <c r="DJ62" s="244" t="str">
        <f aca="false">IF(BR62=0,"",8*DC62)</f>
        <v/>
      </c>
      <c r="DK62" s="244" t="str">
        <f aca="false">IF(BR62=0,"",215+(10.6*DC62))</f>
        <v/>
      </c>
      <c r="DL62" s="244" t="str">
        <f aca="false">IF(BR62=0,"",10*(7.5+(0.5*DC62)))</f>
        <v/>
      </c>
      <c r="DM62" s="244" t="str">
        <f aca="false">IF(BR62=0,"",8*DC62)</f>
        <v/>
      </c>
      <c r="DN62" s="244" t="str">
        <f aca="false">IF(AW62=" "," ",IF(DC62=""," ",IF(DC62&lt;4,10*10.2,IF(DC62=4,12*10.2,IF(DC62&lt;10,17.5*10.5,IF(DC62=10,15*10.2,IF(DC62&lt;30,22.5*10.2,IF(DC62=30,35*10.2,IF(DC62&lt;50,40*10.2,IF(DC62=50,50*10.2,55*10.2))))))))))</f>
        <v> </v>
      </c>
      <c r="DO62" s="244" t="str">
        <f aca="false">IF(BR62=0,"",7*SQRT(DC62)*10.1972)</f>
        <v/>
      </c>
      <c r="DP62" s="244" t="str">
        <f aca="false">IF(BR62=0,"",IF(AS62=$AX$4,5*CC62,""))</f>
        <v/>
      </c>
      <c r="DQ62" s="244" t="str">
        <f aca="false">IF(AW62=" "," ",IF(DC62=""," ",IF(DC62&lt;2,4*10.2,IF(DC62=2,6*10.2,IF(DC62&lt;4,12*10.2,IF(DC62=4,20*10.2,IF(DC62&lt;8,30*10.2,IF(DC62=8,35*10.2,IF(DC62&lt;15,40*10.2,IF(DC62=15,42*10.2,IF(DC62&lt;30,45*10.2,IF(DC62=30,50*10.2,70*10.2))))))))))))</f>
        <v> </v>
      </c>
      <c r="DR62" s="244" t="str">
        <f aca="false">IF(BR62=0,"",IF(AS62=$AX$4,220*DP62*0.0101972,""))</f>
        <v/>
      </c>
      <c r="DS62" s="271" t="str">
        <f aca="false">IF(BR62=0,"",IF(AS62=$AX$7,(SUM(DH62:DO62)-MIN(DH62:DO62)-MAX(DH62:DO62))/6,(SUM(DO62:DR62)-MIN(DO62:DR62)-MAX(DO62:DR62))/2))</f>
        <v/>
      </c>
      <c r="DT62" s="244" t="str">
        <f aca="false">IF(AW62=" "," ",IF(DC62=""," ",IF(DC62&lt;4,0.2,IF(DC62=4,0.27,IF(DC62&lt;10,0.33,IF(DC62=10,0.35,IF(DC62&lt;30,0.36,IF(DC62=30,0.37,IF(DC62&lt;50,0.38,IF(DC62=50,0.4,0.45))))))))))</f>
        <v> </v>
      </c>
      <c r="DU62" s="272" t="str">
        <f aca="false">IF(AW62=" "," ",IF(CC62=""," ",IF(CC62&lt;2,0.2,IF(CC62=2,0.23,IF(CC62&lt;4,0.26,IF(CC62=4,0.29,IF(CC62&lt;8,0.32,IF(CC62=8,0.35,IF(CC62&lt;15,0.38,IF(CC62=15,0.41,IF(CC62&lt;30,0.44,IF(CC62=30,0.47,0.5))))))))))))</f>
        <v> </v>
      </c>
      <c r="DV62" s="244" t="str">
        <f aca="false">IF(BR62=0,"",IF(AS62=$AX$3,DT62,DU62))</f>
        <v/>
      </c>
      <c r="DW62" s="244" t="str">
        <f aca="false">IF(BR62=0,"",IF(DC62&gt;15,15+0.5*(DC62-15),DC62))</f>
        <v/>
      </c>
      <c r="DX62" s="244" t="str">
        <f aca="false">IF(BR62=0,"",IF($S$12="SI",IF(CD62="NO",IF($AD$12&gt;(BO62+1.5*$ED$15),1,0.5),0.5),1))</f>
        <v/>
      </c>
      <c r="DY62" s="244" t="str">
        <f aca="false">IF(BR62=0,"",IF($S$12="SI",IF(CD62="NO",IF($AD$12&gt;(BO62+1.5*$EE$15),1,0.5),0.5),1))</f>
        <v/>
      </c>
      <c r="DZ62" s="244" t="str">
        <f aca="false">IF(BR62=0,"",IF($S$12="SI",IF(CD62="NO",IF($AD$12&gt;(BO62+1.5*$EF$15),1,0.5),0.5),1))</f>
        <v/>
      </c>
      <c r="EA62" s="244" t="str">
        <f aca="false">IF(BR62=0,"",IF($S$12="SI",IF(CD62="NO",IF($AD$12&gt;(BO62+1.5*$ED$15),1,0.5),IF($AD$12=BO62,1,0.5)),1))</f>
        <v/>
      </c>
      <c r="EB62" s="244" t="str">
        <f aca="false">IF(BR62=0,"",IF($S$12="SI",IF(CD62="NO",IF($AD$12&gt;(BO62+1.5*$EE$15),1,0.5),IF($AD$12=BO62,1,0.5)),1))</f>
        <v/>
      </c>
      <c r="EC62" s="244" t="str">
        <f aca="false">IF(BR62=0,"",IF($S$12="SI",IF(CD62="NO",IF($AD$12&gt;(BO62+1.5*$EF$15),1,0.5),IF($AD$12=BO62,1,0.5)),1))</f>
        <v/>
      </c>
      <c r="ED62" s="244" t="str">
        <f aca="false">IF(BR62=0,"",(DW62*($ED$15/10)*(DX62+EA62*(BO62/$ED$15))*1)/3)</f>
        <v/>
      </c>
      <c r="EE62" s="244" t="str">
        <f aca="false">IF(BR62=0,"",(DW62*($EE$15/10)*(DY62+EB62*(BO62/$EE$15))*1)/3)</f>
        <v/>
      </c>
      <c r="EF62" s="244" t="str">
        <f aca="false">IF(BR62=0,"",(DW62*($EF$15/10)*(DZ62+EC62*(BO62/$EF$15))*1)/3)</f>
        <v/>
      </c>
      <c r="EG62" s="273" t="str">
        <f aca="false">IF(BR62=0,"",IF(CD62="SI",0.5,1))</f>
        <v/>
      </c>
      <c r="EH62" s="244" t="str">
        <f aca="false">IF(BR62=0,"",IF((1+0.33*(BO62/$ED$15))&lt;=1.33,(1+0.33*(BO62/$ED$15)),1.33))</f>
        <v/>
      </c>
      <c r="EI62" s="244" t="str">
        <f aca="false">IF(BR62=0,"",IF((1+0.33*(BO62/$EE$15))&lt;=1.33,(1+0.33*(BO62/$EE$15)),1.33))</f>
        <v/>
      </c>
      <c r="EJ62" s="244" t="str">
        <f aca="false">IF(BR62=0,"",IF((1+0.33*(BO62/$EF$15))&lt;=1.33,(1+0.33*(BO62/$EF$15)),1.33))</f>
        <v/>
      </c>
      <c r="EK62" s="244" t="str">
        <f aca="false">IF(BR62=0,"",IF($ED$15&lt;=1.2,((20*DC62*EG62*EH62)/3)*0.010197,((12.5*DC62*((($ED$15+0.3)^2)/$ED$15)*EG62*EH62)/3)*0.010197))</f>
        <v/>
      </c>
      <c r="EL62" s="244" t="str">
        <f aca="false">IF(BR62=0,"",IF($EE$15&lt;=1.2,((20*DC62*EG62*EI62)/3)*0.010197,((12.5*DC62*((($EE$15+0.3)^2)/$EE$15)*EG62*EI62)/3)*0.010197))</f>
        <v/>
      </c>
      <c r="EM62" s="244" t="str">
        <f aca="false">IF(BR62=0,"",IF($EF$15&lt;=1.2,((20*DC62*EG62*EJ62)/3)*0.010197,((12.5*DC62*((($EF$15+0.3)^2)/$EF$15)*EG62*EJ62)/3)*0.010197))</f>
        <v/>
      </c>
      <c r="EN62" s="248" t="str">
        <f aca="false">IF(BR62=0,"",SQRT(12*CC62)+25)</f>
        <v/>
      </c>
      <c r="EO62" s="248" t="str">
        <f aca="false">IF(BR62=0,"",28.5+0.25*CC62)</f>
        <v/>
      </c>
      <c r="EP62" s="248" t="str">
        <f aca="false">IF(BR62=0,"",SQRT(20*CC62)+15)</f>
        <v/>
      </c>
      <c r="EQ62" s="248" t="str">
        <f aca="false">IF(BR62=0,"",23.7+0.57*CC62-0.0006*CC62*CC62)</f>
        <v/>
      </c>
      <c r="ER62" s="248" t="str">
        <f aca="false">IF(BR62=0,"",15+SQRT(12.5*DC62))</f>
        <v/>
      </c>
      <c r="ES62" s="248" t="str">
        <f aca="false">IF(BR62=0,"",3.5*SQRT(CC62)+20)</f>
        <v/>
      </c>
      <c r="ET62" s="248" t="str">
        <f aca="false">IF(BR62=0,"",27.1+0.3*DC62-0.00054*DC62*DC62)</f>
        <v/>
      </c>
      <c r="EU62" s="248" t="str">
        <f aca="false">IF(BR62=0,"",SQRT(20*CC62)+20)</f>
        <v/>
      </c>
      <c r="EV62" s="248" t="str">
        <f aca="false">IF(BR62=0,"",12.79+SQRT(25.86*CC62))</f>
        <v/>
      </c>
      <c r="EW62" s="248" t="str">
        <f aca="false">IF(BR62=0,"",DEGREES(_xlfn.ACOT((CC62/(12.2+20.3*CR62))^0.34)))</f>
        <v/>
      </c>
      <c r="EX62" s="248" t="str">
        <f aca="false">IF(BR62=0,"",24+(5.77*LN(0.17*DC62)))</f>
        <v/>
      </c>
      <c r="EY62" s="248" t="str">
        <f aca="false">IF(BR62=0,"",(SUM(EN62:EX62)-MIN(EN62:EX62)-MAX(EN62:EX62))/9)</f>
        <v/>
      </c>
      <c r="EZ62" s="248" t="str">
        <f aca="false">IF(BR62=0,"", -0.0000000034*CC62^6 + 0.0000008305*CC62^5 - 0.0000741842*CC62^4 + 0.0030204278*CC62^3 - 0.0541594733*CC62^2 + 0.8083147848*CC62 - 0.6182191243)</f>
        <v/>
      </c>
      <c r="FA62" s="249" t="str">
        <f aca="false">IF(BR62=0,"",(0.134811827956989*CC62 - 0.0383064516129019)/2)</f>
        <v/>
      </c>
      <c r="FB62" s="249" t="str">
        <f aca="false">IF(BR62=0,"",CC62*0.065)</f>
        <v/>
      </c>
      <c r="FC62" s="249" t="str">
        <f aca="false">IF(BR62=0,"",(CC62*0.12*0.48)*SQRT((1+SIN(EZ62*((2*PI())/360))/(1-SIN(EZ62*((2*PI())/360))))))</f>
        <v/>
      </c>
      <c r="FD62" s="249" t="str">
        <f aca="false">IF(BR62=0,"",(CC62/8)/2)</f>
        <v/>
      </c>
      <c r="FE62" s="249" t="str">
        <f aca="false">IF(BR62=0,"",(SUM(FA62:FD62)-MIN(FA62:FD62)-MAX(FA62:FD62))/2)</f>
        <v/>
      </c>
      <c r="FF62" s="6" t="e">
        <f aca="false">+FE62*0.1</f>
        <v>#VALUE!</v>
      </c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</row>
    <row r="63" customFormat="false" ht="9.75" hidden="false" customHeight="true" outlineLevel="0" collapsed="false">
      <c r="A63" s="197" t="n">
        <f aca="false">ROUND(A62+0.1,1)</f>
        <v>4.6</v>
      </c>
      <c r="B63" s="250" t="n">
        <f aca="false">+A63</f>
        <v>4.6</v>
      </c>
      <c r="C63" s="251"/>
      <c r="D63" s="275"/>
      <c r="E63" s="252"/>
      <c r="F63" s="253"/>
      <c r="G63" s="254"/>
      <c r="H63" s="284"/>
      <c r="I63" s="285"/>
      <c r="J63" s="257"/>
      <c r="K63" s="258"/>
      <c r="L63" s="259"/>
      <c r="M63" s="276"/>
      <c r="N63" s="277"/>
      <c r="O63" s="277"/>
      <c r="P63" s="277"/>
      <c r="Q63" s="293"/>
      <c r="R63" s="294"/>
      <c r="S63" s="294"/>
      <c r="T63" s="295"/>
      <c r="U63" s="295"/>
      <c r="V63" s="296"/>
      <c r="W63" s="296"/>
      <c r="X63" s="296"/>
      <c r="Y63" s="296"/>
      <c r="Z63" s="296"/>
      <c r="AA63" s="296"/>
      <c r="AB63" s="297"/>
      <c r="AC63" s="298"/>
      <c r="AD63" s="299"/>
      <c r="AE63" s="298"/>
      <c r="AF63" s="300"/>
      <c r="AG63" s="267"/>
      <c r="AH63" s="267"/>
      <c r="AI63" s="241"/>
      <c r="AJ63" s="241"/>
      <c r="AK63" s="266"/>
      <c r="AL63" s="266"/>
      <c r="AM63" s="268"/>
      <c r="AN63" s="250" t="n">
        <f aca="false">+AN61+0.2</f>
        <v>4.6</v>
      </c>
      <c r="AO63" s="251"/>
      <c r="AP63" s="275"/>
      <c r="AQ63" s="252"/>
      <c r="AR63" s="253"/>
      <c r="AS63" s="269" t="s">
        <v>13</v>
      </c>
      <c r="AT63" s="221"/>
      <c r="AU63" s="269"/>
      <c r="AV63" s="269"/>
      <c r="AW63" s="270" t="n">
        <f aca="false">+K63+L63</f>
        <v>0</v>
      </c>
      <c r="AX63" s="270" t="str">
        <f aca="false">IF(AS63="&gt;50","CONSISTENCIA",IF(AS63="&lt;50","COMPACIDAD"," "))</f>
        <v>COMPACIDAD</v>
      </c>
      <c r="AY63" s="225" t="str">
        <f aca="false">IF(AS63="&gt;50",AZ63,IF(AS63="&lt;50",BA63," "))</f>
        <v> </v>
      </c>
      <c r="AZ63" s="224" t="str">
        <f aca="false">IF(AW63=" "," ",IF(CC63=""," ",IF(CC63&lt;2,"MUY BLANDA",IF(CC63=2,"MUY BLANDA A BLANDA",IF(CC63&lt;4,"BLANDA",IF(CC63=4,"BLANDA A MEDIA",IF(CC63&lt;8,"MEDIA",IF(CC63=8,"MEDIA A FIRME",IF(CC63&lt;15,"FIRME",IF(CC63=15,"FIRME A MUY FIRME",IF(CC63&lt;30,"MUY FIRME",IF(CC63=30,"MUY FIRME A DURA","DURA"))))))))))))</f>
        <v> </v>
      </c>
      <c r="BA63" s="225" t="str">
        <f aca="false">IF(AW63=" "," ",IF(DC63=""," ",IF(DC63&lt;4,"MUY SUELTA",IF(DC63=4,"MUY SUELTA A SUELTA",IF(DC63&lt;10,"SUELTA",IF(DC63=10,"SUELTA A MEDIA",IF(DC63&lt;30,"MEDIA",IF(DC63=30,"MEDIA A DENSO",IF(DC63&lt;50,"DENSO",IF(DC63=50,"DENSO MUY DENSO","MUY DENSO"))))))))))</f>
        <v> </v>
      </c>
      <c r="BB63" s="226" t="str">
        <f aca="false">IF(BR64=0,"",CQ64*0.0101972)</f>
        <v/>
      </c>
      <c r="BC63" s="227" t="n">
        <f aca="false">+BC62+0.1</f>
        <v>4.6</v>
      </c>
      <c r="BD63" s="227" t="str">
        <f aca="false">IF(BC63&lt;=$AN$10,BC63,"")</f>
        <v/>
      </c>
      <c r="BE63" s="228" t="n">
        <f aca="false">ISNUMBER(BD63)</f>
        <v>0</v>
      </c>
      <c r="BF63" s="229" t="str">
        <f aca="false">MID(M63,1,1)</f>
        <v/>
      </c>
      <c r="BG63" s="230" t="str">
        <f aca="false">IF(BF63="S","",IF(BF63="G","",MID(M63,2,1)))</f>
        <v/>
      </c>
      <c r="BH63" s="231" t="str">
        <f aca="false">CONCATENATE(BF63,BG63)</f>
        <v/>
      </c>
      <c r="BI63" s="6" t="str">
        <f aca="false">IF(BE63=FALSE(),"",IF(BH63="",BI62,BH63))</f>
        <v/>
      </c>
      <c r="BJ63" s="74" t="str">
        <f aca="false">IF(OR(BI63="S",BI63="G"),BI63,"X")</f>
        <v>X</v>
      </c>
      <c r="BK63" s="74" t="s">
        <v>223</v>
      </c>
      <c r="BL63" s="303" t="e">
        <f aca="false">INDEX(sim_0,MATCH($BJ$63,granular,0))</f>
        <v>#NAME?</v>
      </c>
      <c r="BM63" s="303"/>
      <c r="BN63" s="6"/>
      <c r="BO63" s="191" t="n">
        <f aca="false">BO62+0.1</f>
        <v>4.6</v>
      </c>
      <c r="BP63" s="233" t="e">
        <f aca="false">IF(AW63=0,NA(),IF(AS63=$AX$3,ROUND(DC63,0),NA()))</f>
        <v>#N/A</v>
      </c>
      <c r="BQ63" s="31" t="e">
        <f aca="false">IF(AW63=0,NA(),IF(AS63=$AX$4,ROUND(CC63,0),NA()))</f>
        <v>#N/A</v>
      </c>
      <c r="BR63" s="234" t="n">
        <f aca="false">+AW63</f>
        <v>0</v>
      </c>
      <c r="BS63" s="235" t="str">
        <f aca="false">IF(BR63=0,"", -0.00000000016128755327*CC63^6 + 0.00000006709386362421*CC63^5 - 0.0000106217678052217*CC63^4 + 0.00081068114193385*CC63^3 - 0.0314027378159951*CC63^2 + 0.649796593937842*CC63 + 13.7888866455022)</f>
        <v/>
      </c>
      <c r="BT63" s="235" t="str">
        <f aca="false">IF(BR63=0,"",-0.00000000014625939695*CC63^6 + 0.00000004971732060241*CC63^5 - 0.000006683744342031*CC63^4 + 0.0004563177378098*CC63^3 - 0.0171727530635803*CC63^2 + 0.444529932876435*CC63 + 15.6692518940565)</f>
        <v/>
      </c>
      <c r="BU63" s="236" t="str">
        <f aca="false">IF(BR63=0,"", -0.0000000008152265738*BR63^6 + 0.00000022764320256987*BR63^5 - 0.0000248205675927705*BR63^4 + 0.00133186623684865*BR63^3 - 0.0368442570441677*BR63^2 + 0.580111565569094*BR63 + 14.0417598296107)</f>
        <v/>
      </c>
      <c r="BV63" s="236" t="str">
        <f aca="false">IF(BR63=0,"", -0.00000000004321395721*BR63^6 + 0.00000002531844275498*BR63^5 - 0.00000369428022780862*BR63^4 + 0.00020283665900125*BR63^3 - 0.00462426256803268*BR63^2 + 0.139572935065453*BR63 + 15.4475338156923)</f>
        <v/>
      </c>
      <c r="BW63" s="236" t="str">
        <f aca="false">IF(BR63=0,"",-0.00000000033126390082*BR63^6 + 0.00000010463660614506*BR63^5 - 0.0000129629592998707*BR63^4 + 0.000803946335250767*BR63^3 - 0.0270257140395994*BR63^2 + 0.562590210721552*BR63+ 12.1254107606419)</f>
        <v/>
      </c>
      <c r="BX63" s="236" t="str">
        <f aca="false">IF(BR63=0,"",-0.00000000002593504955*BR63^6 + 0.00000002430495156704*BR63^5 - 0.00000386103271086364*BR63^4 + 0.000214416118986322*BR63^3 - 0.0047271462612021*BR63^2 + 0.156696175741135*BR63 + 15.4598891949502)</f>
        <v/>
      </c>
      <c r="BY63" s="234" t="str">
        <f aca="false">IF(BR63=0,"",$BS$2)</f>
        <v/>
      </c>
      <c r="BZ63" s="234" t="str">
        <f aca="false">IF(BR63=0,"",$BS$3)</f>
        <v/>
      </c>
      <c r="CA63" s="234" t="str">
        <f aca="false">IF(BR63=0,"",$BS$4)</f>
        <v/>
      </c>
      <c r="CB63" s="235" t="str">
        <f aca="false">IF(BR63=0,"",IF(AND(BO63&gt;=0,BO63&lt;4),0.75,IF(AND(BO63&gt;=4,BO63&lt;6),0.85,IF(AND(BO63&gt;=6,BO63&lt;=10),0.95,1))))</f>
        <v/>
      </c>
      <c r="CC63" s="234" t="str">
        <f aca="false">IF(BR63=0,"",BR63*BY63*BZ63*CA63*CB63/60)</f>
        <v/>
      </c>
      <c r="CD63" s="238" t="str">
        <f aca="false">IF(BR63=0,"",IF($S$12="NO","NO",IF($AD$12&lt;=BO63,"SI","NO")))</f>
        <v/>
      </c>
      <c r="CE63" s="235" t="n">
        <f aca="false">IF(BR63=0,0,AB63)</f>
        <v>0</v>
      </c>
      <c r="CF63" s="235" t="n">
        <f aca="false">IF(CE63&gt;0,BO63,0)</f>
        <v>0</v>
      </c>
      <c r="CG63" s="239" t="n">
        <f aca="false">IF(CF63=0,CF63+CG62,CF63)</f>
        <v>0</v>
      </c>
      <c r="CH63" s="239" t="n">
        <f aca="false">IF(CG63=CG62,CH62,ABS(CG63-CG62))</f>
        <v>0</v>
      </c>
      <c r="CI63" s="239" t="n">
        <f aca="false">+CE63*CH63</f>
        <v>0</v>
      </c>
      <c r="CJ63" s="239" t="n">
        <f aca="false">IF(CI63=0,CI63+CJ62,CI63)</f>
        <v>0</v>
      </c>
      <c r="CK63" s="239" t="n">
        <f aca="false">IF(CJ63=CJ62,CK62,ABS(CJ63+CK62))</f>
        <v>0</v>
      </c>
      <c r="CL63" s="241" t="n">
        <f aca="false">IF(CE63=0,0,CK63)</f>
        <v>0</v>
      </c>
      <c r="CM63" s="239" t="n">
        <f aca="false">IF(CE63=0,0,CH63*9.81)</f>
        <v>0</v>
      </c>
      <c r="CN63" s="239" t="n">
        <f aca="false">IF(CM63=0,CM63+CN62,CM63)</f>
        <v>0</v>
      </c>
      <c r="CO63" s="239" t="n">
        <f aca="false">IF(CN63=CN62,CO62,ABS(CN63+CO62))</f>
        <v>0</v>
      </c>
      <c r="CP63" s="241" t="n">
        <f aca="false">IF(CD63="NO",0,IF(CE63=0,0,CO63))</f>
        <v>0</v>
      </c>
      <c r="CQ63" s="244" t="str">
        <f aca="false">IF(BR63=0,"",CL63-CP63)</f>
        <v/>
      </c>
      <c r="CR63" s="244" t="str">
        <f aca="false">IF(BR63=0,"",CQ63/101.3)</f>
        <v/>
      </c>
      <c r="CS63" s="244" t="str">
        <f aca="false">IF(BR63=0,"",LOG(10/CR63))</f>
        <v/>
      </c>
      <c r="CT63" s="243" t="str">
        <f aca="false">IF(BR63=0,"",IF(SQRT(101.3/CQ63)&lt;=1.7,SQRT(101.3/CQ63),2.2/(1.2+(CQ63/101.3))))</f>
        <v/>
      </c>
      <c r="CU63" s="244" t="str">
        <f aca="false">IF(BR63=0,"",1.7/(0.7+CR63))</f>
        <v/>
      </c>
      <c r="CV63" s="244" t="str">
        <f aca="false">IF(BR63=0,"",IF(CR63&gt;=0.25,0.77*LOG(20/CR63),""))</f>
        <v/>
      </c>
      <c r="CW63" s="244" t="str">
        <f aca="false">IF(BR63=0,"",32.5/(10.2+20.3*CR63))</f>
        <v/>
      </c>
      <c r="CX63" s="244" t="str">
        <f aca="false">IF(BR63=0,"",1-1.25*LOG(CR63))</f>
        <v/>
      </c>
      <c r="CY63" s="244" t="str">
        <f aca="false">IF(BR63=0,"",IF(CR63&lt;1,1-1.41*LOG(CR63),1+0.92*LOG(CR63)))</f>
        <v/>
      </c>
      <c r="CZ63" s="244" t="str">
        <f aca="false">IF(BR63=0,"",2/(1+CR63))</f>
        <v/>
      </c>
      <c r="DA63" s="244" t="str">
        <f aca="false">IF(BR63=0,"",IF(CR63&lt;=0.75,4/(1+4*CR63),4/(3.25+CR63)))</f>
        <v/>
      </c>
      <c r="DB63" s="244" t="str">
        <f aca="false">IF(BR63=0,"",CT63)</f>
        <v/>
      </c>
      <c r="DC63" s="244" t="str">
        <f aca="false">IF(BR63=0,"",DB63*CC63)</f>
        <v/>
      </c>
      <c r="DD63" s="244"/>
      <c r="DE63" s="244" t="str">
        <f aca="false">IF(BR63=0,"",0.193*(CC63/(CQ63*0.001))^0.689)</f>
        <v/>
      </c>
      <c r="DF63" s="244" t="str">
        <f aca="false">IF(BR63=0,"",IF(AS63=$AX$4,(0.1348118*CC63 - 0.0383065)*98.0665,""))</f>
        <v/>
      </c>
      <c r="DG63" s="244" t="str">
        <f aca="false">IF(BR63=0,"",IF(AS63=$AX$4,DF63/2,""))</f>
        <v/>
      </c>
      <c r="DH63" s="244" t="str">
        <f aca="false">IF(BR63=0,"",IF(DC63&lt;=15,12*(DC63+6),40+12*(DC63-6)))</f>
        <v/>
      </c>
      <c r="DI63" s="244" t="str">
        <f aca="false">IF(BR63=0,"",IF(CD63="SI",5*(DC63+15),((3.3*(DC63+15))+(4*(DC63+12)))/2))</f>
        <v/>
      </c>
      <c r="DJ63" s="244" t="str">
        <f aca="false">IF(BR63=0,"",8*DC63)</f>
        <v/>
      </c>
      <c r="DK63" s="244" t="str">
        <f aca="false">IF(BR63=0,"",215+(10.6*DC63))</f>
        <v/>
      </c>
      <c r="DL63" s="244" t="str">
        <f aca="false">IF(BR63=0,"",10*(7.5+(0.5*DC63)))</f>
        <v/>
      </c>
      <c r="DM63" s="244" t="str">
        <f aca="false">IF(BR63=0,"",8*DC63)</f>
        <v/>
      </c>
      <c r="DN63" s="244" t="str">
        <f aca="false">IF(AW63=" "," ",IF(DC63=""," ",IF(DC63&lt;4,10*10.2,IF(DC63=4,12*10.2,IF(DC63&lt;10,17.5*10.5,IF(DC63=10,15*10.2,IF(DC63&lt;30,22.5*10.2,IF(DC63=30,35*10.2,IF(DC63&lt;50,40*10.2,IF(DC63=50,50*10.2,55*10.2))))))))))</f>
        <v> </v>
      </c>
      <c r="DO63" s="244" t="str">
        <f aca="false">IF(BR63=0,"",7*SQRT(DC63)*10.1972)</f>
        <v/>
      </c>
      <c r="DP63" s="244" t="str">
        <f aca="false">IF(BR63=0,"",IF(AS63=$AX$4,5*CC63,""))</f>
        <v/>
      </c>
      <c r="DQ63" s="244" t="str">
        <f aca="false">IF(AW63=" "," ",IF(DC63=""," ",IF(DC63&lt;2,4*10.2,IF(DC63=2,6*10.2,IF(DC63&lt;4,12*10.2,IF(DC63=4,20*10.2,IF(DC63&lt;8,30*10.2,IF(DC63=8,35*10.2,IF(DC63&lt;15,40*10.2,IF(DC63=15,42*10.2,IF(DC63&lt;30,45*10.2,IF(DC63=30,50*10.2,70*10.2))))))))))))</f>
        <v> </v>
      </c>
      <c r="DR63" s="244" t="str">
        <f aca="false">IF(BR63=0,"",IF(AS63=$AX$4,220*DP63*0.0101972,""))</f>
        <v/>
      </c>
      <c r="DS63" s="271" t="str">
        <f aca="false">IF(BR63=0,"",IF(AS63=$AX$7,(SUM(DH63:DO63)-MIN(DH63:DO63)-MAX(DH63:DO63))/6,(SUM(DO63:DR63)-MIN(DO63:DR63)-MAX(DO63:DR63))/2))</f>
        <v/>
      </c>
      <c r="DT63" s="244" t="str">
        <f aca="false">IF(AW63=" "," ",IF(DC63=""," ",IF(DC63&lt;4,0.2,IF(DC63=4,0.27,IF(DC63&lt;10,0.33,IF(DC63=10,0.35,IF(DC63&lt;30,0.36,IF(DC63=30,0.37,IF(DC63&lt;50,0.38,IF(DC63=50,0.4,0.45))))))))))</f>
        <v> </v>
      </c>
      <c r="DU63" s="272" t="str">
        <f aca="false">IF(AW63=" "," ",IF(CC63=""," ",IF(CC63&lt;2,0.2,IF(CC63=2,0.23,IF(CC63&lt;4,0.26,IF(CC63=4,0.29,IF(CC63&lt;8,0.32,IF(CC63=8,0.35,IF(CC63&lt;15,0.38,IF(CC63=15,0.41,IF(CC63&lt;30,0.44,IF(CC63=30,0.47,0.5))))))))))))</f>
        <v> </v>
      </c>
      <c r="DV63" s="244" t="str">
        <f aca="false">IF(BR63=0,"",IF(AS63=$AX$3,DT63,DU63))</f>
        <v/>
      </c>
      <c r="DW63" s="244" t="str">
        <f aca="false">IF(BR63=0,"",IF(DC63&gt;15,15+0.5*(DC63-15),DC63))</f>
        <v/>
      </c>
      <c r="DX63" s="244" t="str">
        <f aca="false">IF(BR63=0,"",IF($S$12="SI",IF(CD63="NO",IF($AD$12&gt;(BO63+1.5*$ED$15),1,0.5),0.5),1))</f>
        <v/>
      </c>
      <c r="DY63" s="244" t="str">
        <f aca="false">IF(BR63=0,"",IF($S$12="SI",IF(CD63="NO",IF($AD$12&gt;(BO63+1.5*$EE$15),1,0.5),0.5),1))</f>
        <v/>
      </c>
      <c r="DZ63" s="244" t="str">
        <f aca="false">IF(BR63=0,"",IF($S$12="SI",IF(CD63="NO",IF($AD$12&gt;(BO63+1.5*$EF$15),1,0.5),0.5),1))</f>
        <v/>
      </c>
      <c r="EA63" s="244" t="str">
        <f aca="false">IF(BR63=0,"",IF($S$12="SI",IF(CD63="NO",IF($AD$12&gt;(BO63+1.5*$ED$15),1,0.5),IF($AD$12=BO63,1,0.5)),1))</f>
        <v/>
      </c>
      <c r="EB63" s="244" t="str">
        <f aca="false">IF(BR63=0,"",IF($S$12="SI",IF(CD63="NO",IF($AD$12&gt;(BO63+1.5*$EE$15),1,0.5),IF($AD$12=BO63,1,0.5)),1))</f>
        <v/>
      </c>
      <c r="EC63" s="244" t="str">
        <f aca="false">IF(BR63=0,"",IF($S$12="SI",IF(CD63="NO",IF($AD$12&gt;(BO63+1.5*$EF$15),1,0.5),IF($AD$12=BO63,1,0.5)),1))</f>
        <v/>
      </c>
      <c r="ED63" s="244" t="str">
        <f aca="false">IF(BR63=0,"",(DW63*($ED$15/10)*(DX63+EA63*(BO63/$ED$15))*1)/3)</f>
        <v/>
      </c>
      <c r="EE63" s="244" t="str">
        <f aca="false">IF(BR63=0,"",(DW63*($EE$15/10)*(DY63+EB63*(BO63/$EE$15))*1)/3)</f>
        <v/>
      </c>
      <c r="EF63" s="244" t="str">
        <f aca="false">IF(BR63=0,"",(DW63*($EF$15/10)*(DZ63+EC63*(BO63/$EF$15))*1)/3)</f>
        <v/>
      </c>
      <c r="EG63" s="273" t="str">
        <f aca="false">IF(BR63=0,"",IF(CD63="SI",0.5,1))</f>
        <v/>
      </c>
      <c r="EH63" s="244" t="str">
        <f aca="false">IF(BR63=0,"",IF((1+0.33*(BO63/$ED$15))&lt;=1.33,(1+0.33*(BO63/$ED$15)),1.33))</f>
        <v/>
      </c>
      <c r="EI63" s="244" t="str">
        <f aca="false">IF(BR63=0,"",IF((1+0.33*(BO63/$EE$15))&lt;=1.33,(1+0.33*(BO63/$EE$15)),1.33))</f>
        <v/>
      </c>
      <c r="EJ63" s="244" t="str">
        <f aca="false">IF(BR63=0,"",IF((1+0.33*(BO63/$EF$15))&lt;=1.33,(1+0.33*(BO63/$EF$15)),1.33))</f>
        <v/>
      </c>
      <c r="EK63" s="244" t="str">
        <f aca="false">IF(BR63=0,"",IF($ED$15&lt;=1.2,((20*DC63*EG63*EH63)/3)*0.010197,((12.5*DC63*((($ED$15+0.3)^2)/$ED$15)*EG63*EH63)/3)*0.010197))</f>
        <v/>
      </c>
      <c r="EL63" s="244" t="str">
        <f aca="false">IF(BR63=0,"",IF($EE$15&lt;=1.2,((20*DC63*EG63*EI63)/3)*0.010197,((12.5*DC63*((($EE$15+0.3)^2)/$EE$15)*EG63*EI63)/3)*0.010197))</f>
        <v/>
      </c>
      <c r="EM63" s="244" t="str">
        <f aca="false">IF(BR63=0,"",IF($EF$15&lt;=1.2,((20*DC63*EG63*EJ63)/3)*0.010197,((12.5*DC63*((($EF$15+0.3)^2)/$EF$15)*EG63*EJ63)/3)*0.010197))</f>
        <v/>
      </c>
      <c r="EN63" s="248" t="str">
        <f aca="false">IF(BR63=0,"",SQRT(12*CC63)+25)</f>
        <v/>
      </c>
      <c r="EO63" s="248" t="str">
        <f aca="false">IF(BR63=0,"",28.5+0.25*CC63)</f>
        <v/>
      </c>
      <c r="EP63" s="248" t="str">
        <f aca="false">IF(BR63=0,"",SQRT(20*CC63)+15)</f>
        <v/>
      </c>
      <c r="EQ63" s="248" t="str">
        <f aca="false">IF(BR63=0,"",23.7+0.57*CC63-0.0006*CC63*CC63)</f>
        <v/>
      </c>
      <c r="ER63" s="248" t="str">
        <f aca="false">IF(BR63=0,"",15+SQRT(12.5*DC63))</f>
        <v/>
      </c>
      <c r="ES63" s="248" t="str">
        <f aca="false">IF(BR63=0,"",3.5*SQRT(CC63)+20)</f>
        <v/>
      </c>
      <c r="ET63" s="248" t="str">
        <f aca="false">IF(BR63=0,"",27.1+0.3*DC63-0.00054*DC63*DC63)</f>
        <v/>
      </c>
      <c r="EU63" s="248" t="str">
        <f aca="false">IF(BR63=0,"",SQRT(20*CC63)+20)</f>
        <v/>
      </c>
      <c r="EV63" s="248" t="str">
        <f aca="false">IF(BR63=0,"",12.79+SQRT(25.86*CC63))</f>
        <v/>
      </c>
      <c r="EW63" s="248" t="str">
        <f aca="false">IF(BR63=0,"",DEGREES(_xlfn.ACOT((CC63/(12.2+20.3*CR63))^0.34)))</f>
        <v/>
      </c>
      <c r="EX63" s="248" t="str">
        <f aca="false">IF(BR63=0,"",24+(5.77*LN(0.17*DC63)))</f>
        <v/>
      </c>
      <c r="EY63" s="248" t="str">
        <f aca="false">IF(BR63=0,"",(SUM(EN63:EX63)-MIN(EN63:EX63)-MAX(EN63:EX63))/9)</f>
        <v/>
      </c>
      <c r="EZ63" s="248" t="str">
        <f aca="false">IF(BR63=0,"", -0.0000000034*CC63^6 + 0.0000008305*CC63^5 - 0.0000741842*CC63^4 + 0.0030204278*CC63^3 - 0.0541594733*CC63^2 + 0.8083147848*CC63 - 0.6182191243)</f>
        <v/>
      </c>
      <c r="FA63" s="249" t="str">
        <f aca="false">IF(BR63=0,"",(0.134811827956989*CC63 - 0.0383064516129019)/2)</f>
        <v/>
      </c>
      <c r="FB63" s="249" t="str">
        <f aca="false">IF(BR63=0,"",CC63*0.065)</f>
        <v/>
      </c>
      <c r="FC63" s="249" t="str">
        <f aca="false">IF(BR63=0,"",(CC63*0.12*0.48)*SQRT((1+SIN(EZ63*((2*PI())/360))/(1-SIN(EZ63*((2*PI())/360))))))</f>
        <v/>
      </c>
      <c r="FD63" s="249" t="str">
        <f aca="false">IF(BR63=0,"",(CC63/8)/2)</f>
        <v/>
      </c>
      <c r="FE63" s="249" t="str">
        <f aca="false">IF(BR63=0,"",(SUM(FA63:FD63)-MIN(FA63:FD63)-MAX(FA63:FD63))/2)</f>
        <v/>
      </c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</row>
    <row r="64" customFormat="false" ht="9.75" hidden="false" customHeight="true" outlineLevel="0" collapsed="false">
      <c r="A64" s="197" t="n">
        <f aca="false">ROUND(A63+0.1,1)</f>
        <v>4.7</v>
      </c>
      <c r="B64" s="250"/>
      <c r="C64" s="251"/>
      <c r="D64" s="251"/>
      <c r="E64" s="199"/>
      <c r="F64" s="200"/>
      <c r="G64" s="254"/>
      <c r="H64" s="284"/>
      <c r="I64" s="285"/>
      <c r="J64" s="257"/>
      <c r="K64" s="258"/>
      <c r="L64" s="259"/>
      <c r="M64" s="276"/>
      <c r="N64" s="277"/>
      <c r="O64" s="277"/>
      <c r="P64" s="277"/>
      <c r="Q64" s="293"/>
      <c r="R64" s="294"/>
      <c r="S64" s="294"/>
      <c r="T64" s="295"/>
      <c r="U64" s="295"/>
      <c r="V64" s="296"/>
      <c r="W64" s="296"/>
      <c r="X64" s="296"/>
      <c r="Y64" s="296"/>
      <c r="Z64" s="296"/>
      <c r="AA64" s="296"/>
      <c r="AB64" s="297"/>
      <c r="AC64" s="298"/>
      <c r="AD64" s="299"/>
      <c r="AE64" s="298"/>
      <c r="AF64" s="300"/>
      <c r="AG64" s="267"/>
      <c r="AH64" s="267"/>
      <c r="AI64" s="241"/>
      <c r="AJ64" s="241"/>
      <c r="AK64" s="266"/>
      <c r="AL64" s="266"/>
      <c r="AM64" s="268"/>
      <c r="AN64" s="250"/>
      <c r="AO64" s="251"/>
      <c r="AP64" s="251"/>
      <c r="AQ64" s="199"/>
      <c r="AR64" s="200"/>
      <c r="AS64" s="269" t="s">
        <v>13</v>
      </c>
      <c r="AT64" s="221"/>
      <c r="AU64" s="269"/>
      <c r="AV64" s="269"/>
      <c r="AW64" s="270" t="n">
        <f aca="false">+K64+L64</f>
        <v>0</v>
      </c>
      <c r="AX64" s="270" t="str">
        <f aca="false">IF(AS64="&gt;50","CONSISTENCIA",IF(AS64="&lt;50","COMPACIDAD"," "))</f>
        <v>COMPACIDAD</v>
      </c>
      <c r="AY64" s="225" t="str">
        <f aca="false">IF(AS64="&gt;50",AZ64,IF(AS64="&lt;50",BA64," "))</f>
        <v> </v>
      </c>
      <c r="AZ64" s="224" t="str">
        <f aca="false">IF(AW64=" "," ",IF(CC64=""," ",IF(CC64&lt;2,"MUY BLANDA",IF(CC64=2,"MUY BLANDA A BLANDA",IF(CC64&lt;4,"BLANDA",IF(CC64=4,"BLANDA A MEDIA",IF(CC64&lt;8,"MEDIA",IF(CC64=8,"MEDIA A FIRME",IF(CC64&lt;15,"FIRME",IF(CC64=15,"FIRME A MUY FIRME",IF(CC64&lt;30,"MUY FIRME",IF(CC64=30,"MUY FIRME A DURA","DURA"))))))))))))</f>
        <v> </v>
      </c>
      <c r="BA64" s="225" t="str">
        <f aca="false">IF(AW64=" "," ",IF(DC64=""," ",IF(DC64&lt;4,"MUY SUELTA",IF(DC64=4,"MUY SUELTA A SUELTA",IF(DC64&lt;10,"SUELTA",IF(DC64=10,"SUELTA A MEDIA",IF(DC64&lt;30,"MEDIA",IF(DC64=30,"MEDIA A DENSO",IF(DC64&lt;50,"DENSO",IF(DC64=50,"DENSO MUY DENSO","MUY DENSO"))))))))))</f>
        <v> </v>
      </c>
      <c r="BB64" s="226" t="str">
        <f aca="false">IF(BR65=0,"",CQ65*0.0101972)</f>
        <v/>
      </c>
      <c r="BC64" s="227" t="n">
        <f aca="false">+BC63+0.1</f>
        <v>4.7</v>
      </c>
      <c r="BD64" s="227" t="str">
        <f aca="false">IF(BC64&lt;=$AN$10,BC64,"")</f>
        <v/>
      </c>
      <c r="BE64" s="228" t="n">
        <f aca="false">ISNUMBER(BD64)</f>
        <v>0</v>
      </c>
      <c r="BF64" s="229" t="str">
        <f aca="false">MID(M64,1,1)</f>
        <v/>
      </c>
      <c r="BG64" s="230" t="str">
        <f aca="false">IF(BF64="S","",IF(BF64="G","",MID(M64,2,1)))</f>
        <v/>
      </c>
      <c r="BH64" s="231" t="str">
        <f aca="false">CONCATENATE(BF64,BG64)</f>
        <v/>
      </c>
      <c r="BI64" s="6" t="str">
        <f aca="false">IF(BE64=FALSE(),"",IF(BH64="",BI63,BH64))</f>
        <v/>
      </c>
      <c r="BJ64" s="74" t="str">
        <f aca="false">IF(OR(BI64="S",BI64="G"),BI64,"X")</f>
        <v>X</v>
      </c>
      <c r="BK64" s="74" t="s">
        <v>224</v>
      </c>
      <c r="BL64" s="303" t="e">
        <f aca="false">INDEX(sim_0,MATCH($BJ$64,granular,0))</f>
        <v>#NAME?</v>
      </c>
      <c r="BM64" s="303"/>
      <c r="BN64" s="6"/>
      <c r="BO64" s="191" t="n">
        <f aca="false">BO63+0.1</f>
        <v>4.7</v>
      </c>
      <c r="BP64" s="233" t="e">
        <f aca="false">IF(AW64=0,NA(),IF(AS64=$AX$3,ROUND(DC64,0),NA()))</f>
        <v>#N/A</v>
      </c>
      <c r="BQ64" s="31" t="e">
        <f aca="false">IF(AW64=0,NA(),IF(AS64=$AX$4,ROUND(CC64,0),NA()))</f>
        <v>#N/A</v>
      </c>
      <c r="BR64" s="234" t="n">
        <f aca="false">+AW64</f>
        <v>0</v>
      </c>
      <c r="BS64" s="235" t="str">
        <f aca="false">IF(BR64=0,"", -0.00000000016128755327*CC64^6 + 0.00000006709386362421*CC64^5 - 0.0000106217678052217*CC64^4 + 0.00081068114193385*CC64^3 - 0.0314027378159951*CC64^2 + 0.649796593937842*CC64 + 13.7888866455022)</f>
        <v/>
      </c>
      <c r="BT64" s="235" t="str">
        <f aca="false">IF(BR64=0,"",-0.00000000014625939695*CC64^6 + 0.00000004971732060241*CC64^5 - 0.000006683744342031*CC64^4 + 0.0004563177378098*CC64^3 - 0.0171727530635803*CC64^2 + 0.444529932876435*CC64 + 15.6692518940565)</f>
        <v/>
      </c>
      <c r="BU64" s="236" t="str">
        <f aca="false">IF(BR64=0,"", -0.0000000008152265738*BR64^6 + 0.00000022764320256987*BR64^5 - 0.0000248205675927705*BR64^4 + 0.00133186623684865*BR64^3 - 0.0368442570441677*BR64^2 + 0.580111565569094*BR64 + 14.0417598296107)</f>
        <v/>
      </c>
      <c r="BV64" s="236" t="str">
        <f aca="false">IF(BR64=0,"", -0.00000000004321395721*BR64^6 + 0.00000002531844275498*BR64^5 - 0.00000369428022780862*BR64^4 + 0.00020283665900125*BR64^3 - 0.00462426256803268*BR64^2 + 0.139572935065453*BR64 + 15.4475338156923)</f>
        <v/>
      </c>
      <c r="BW64" s="236" t="str">
        <f aca="false">IF(BR64=0,"",-0.00000000033126390082*BR64^6 + 0.00000010463660614506*BR64^5 - 0.0000129629592998707*BR64^4 + 0.000803946335250767*BR64^3 - 0.0270257140395994*BR64^2 + 0.562590210721552*BR64+ 12.1254107606419)</f>
        <v/>
      </c>
      <c r="BX64" s="236" t="str">
        <f aca="false">IF(BR64=0,"",-0.00000000002593504955*BR64^6 + 0.00000002430495156704*BR64^5 - 0.00000386103271086364*BR64^4 + 0.000214416118986322*BR64^3 - 0.0047271462612021*BR64^2 + 0.156696175741135*BR64 + 15.4598891949502)</f>
        <v/>
      </c>
      <c r="BY64" s="234" t="str">
        <f aca="false">IF(BR64=0,"",$BS$2)</f>
        <v/>
      </c>
      <c r="BZ64" s="234" t="str">
        <f aca="false">IF(BR64=0,"",$BS$3)</f>
        <v/>
      </c>
      <c r="CA64" s="234" t="str">
        <f aca="false">IF(BR64=0,"",$BS$4)</f>
        <v/>
      </c>
      <c r="CB64" s="235" t="str">
        <f aca="false">IF(BR64=0,"",IF(AND(BO64&gt;=0,BO64&lt;4),0.75,IF(AND(BO64&gt;=4,BO64&lt;6),0.85,IF(AND(BO64&gt;=6,BO64&lt;=10),0.95,1))))</f>
        <v/>
      </c>
      <c r="CC64" s="234" t="str">
        <f aca="false">IF(BR64=0,"",BR64*BY64*BZ64*CA64*CB64/60)</f>
        <v/>
      </c>
      <c r="CD64" s="238" t="str">
        <f aca="false">IF(BR64=0,"",IF($S$12="NO","NO",IF($AD$12&lt;=BO64,"SI","NO")))</f>
        <v/>
      </c>
      <c r="CE64" s="235" t="n">
        <f aca="false">IF(BR64=0,0,AB64)</f>
        <v>0</v>
      </c>
      <c r="CF64" s="235" t="n">
        <f aca="false">IF(CE64&gt;0,BO64,0)</f>
        <v>0</v>
      </c>
      <c r="CG64" s="239" t="n">
        <f aca="false">IF(CF64=0,CF64+CG63,CF64)</f>
        <v>0</v>
      </c>
      <c r="CH64" s="239" t="n">
        <f aca="false">IF(CG64=CG63,CH63,ABS(CG64-CG63))</f>
        <v>0</v>
      </c>
      <c r="CI64" s="239" t="n">
        <f aca="false">+CE64*CH64</f>
        <v>0</v>
      </c>
      <c r="CJ64" s="239" t="n">
        <f aca="false">IF(CI64=0,CI64+CJ63,CI64)</f>
        <v>0</v>
      </c>
      <c r="CK64" s="239" t="n">
        <f aca="false">IF(CJ64=CJ63,CK63,ABS(CJ64+CK63))</f>
        <v>0</v>
      </c>
      <c r="CL64" s="241" t="n">
        <f aca="false">IF(CE64=0,0,CK64)</f>
        <v>0</v>
      </c>
      <c r="CM64" s="239" t="n">
        <f aca="false">IF(CE64=0,0,CH64*9.81)</f>
        <v>0</v>
      </c>
      <c r="CN64" s="239" t="n">
        <f aca="false">IF(CM64=0,CM64+CN63,CM64)</f>
        <v>0</v>
      </c>
      <c r="CO64" s="239" t="n">
        <f aca="false">IF(CN64=CN63,CO63,ABS(CN64+CO63))</f>
        <v>0</v>
      </c>
      <c r="CP64" s="241" t="n">
        <f aca="false">IF(CD64="NO",0,IF(CE64=0,0,CO64))</f>
        <v>0</v>
      </c>
      <c r="CQ64" s="244" t="str">
        <f aca="false">IF(BR64=0,"",CL64-CP64)</f>
        <v/>
      </c>
      <c r="CR64" s="244" t="str">
        <f aca="false">IF(BR64=0,"",CQ64/101.3)</f>
        <v/>
      </c>
      <c r="CS64" s="244" t="str">
        <f aca="false">IF(BR64=0,"",LOG(10/CR64))</f>
        <v/>
      </c>
      <c r="CT64" s="243" t="str">
        <f aca="false">IF(BR64=0,"",IF(SQRT(101.3/CQ64)&lt;=1.7,SQRT(101.3/CQ64),2.2/(1.2+(CQ64/101.3))))</f>
        <v/>
      </c>
      <c r="CU64" s="244" t="str">
        <f aca="false">IF(BR64=0,"",1.7/(0.7+CR64))</f>
        <v/>
      </c>
      <c r="CV64" s="244" t="str">
        <f aca="false">IF(BR64=0,"",IF(CR64&gt;=0.25,0.77*LOG(20/CR64),""))</f>
        <v/>
      </c>
      <c r="CW64" s="244" t="str">
        <f aca="false">IF(BR64=0,"",32.5/(10.2+20.3*CR64))</f>
        <v/>
      </c>
      <c r="CX64" s="244" t="str">
        <f aca="false">IF(BR64=0,"",1-1.25*LOG(CR64))</f>
        <v/>
      </c>
      <c r="CY64" s="244" t="str">
        <f aca="false">IF(BR64=0,"",IF(CR64&lt;1,1-1.41*LOG(CR64),1+0.92*LOG(CR64)))</f>
        <v/>
      </c>
      <c r="CZ64" s="244" t="str">
        <f aca="false">IF(BR64=0,"",2/(1+CR64))</f>
        <v/>
      </c>
      <c r="DA64" s="244" t="str">
        <f aca="false">IF(BR64=0,"",IF(CR64&lt;=0.75,4/(1+4*CR64),4/(3.25+CR64)))</f>
        <v/>
      </c>
      <c r="DB64" s="244" t="str">
        <f aca="false">IF(BR64=0,"",CT64)</f>
        <v/>
      </c>
      <c r="DC64" s="244" t="str">
        <f aca="false">IF(BR64=0,"",DB64*CC64)</f>
        <v/>
      </c>
      <c r="DD64" s="244"/>
      <c r="DE64" s="244" t="str">
        <f aca="false">IF(BR64=0,"",0.193*(CC64/(CQ64*0.001))^0.689)</f>
        <v/>
      </c>
      <c r="DF64" s="244" t="str">
        <f aca="false">IF(BR64=0,"",IF(AS64=$AX$4,(0.1348118*CC64 - 0.0383065)*98.0665,""))</f>
        <v/>
      </c>
      <c r="DG64" s="244" t="str">
        <f aca="false">IF(BR64=0,"",IF(AS64=$AX$4,DF64/2,""))</f>
        <v/>
      </c>
      <c r="DH64" s="244" t="str">
        <f aca="false">IF(BR64=0,"",IF(DC64&lt;=15,12*(DC64+6),40+12*(DC64-6)))</f>
        <v/>
      </c>
      <c r="DI64" s="244" t="str">
        <f aca="false">IF(BR64=0,"",IF(CD64="SI",5*(DC64+15),((3.3*(DC64+15))+(4*(DC64+12)))/2))</f>
        <v/>
      </c>
      <c r="DJ64" s="244" t="str">
        <f aca="false">IF(BR64=0,"",8*DC64)</f>
        <v/>
      </c>
      <c r="DK64" s="244" t="str">
        <f aca="false">IF(BR64=0,"",215+(10.6*DC64))</f>
        <v/>
      </c>
      <c r="DL64" s="244" t="str">
        <f aca="false">IF(BR64=0,"",10*(7.5+(0.5*DC64)))</f>
        <v/>
      </c>
      <c r="DM64" s="244" t="str">
        <f aca="false">IF(BR64=0,"",8*DC64)</f>
        <v/>
      </c>
      <c r="DN64" s="244" t="str">
        <f aca="false">IF(AW64=" "," ",IF(DC64=""," ",IF(DC64&lt;4,10*10.2,IF(DC64=4,12*10.2,IF(DC64&lt;10,17.5*10.5,IF(DC64=10,15*10.2,IF(DC64&lt;30,22.5*10.2,IF(DC64=30,35*10.2,IF(DC64&lt;50,40*10.2,IF(DC64=50,50*10.2,55*10.2))))))))))</f>
        <v> </v>
      </c>
      <c r="DO64" s="244" t="str">
        <f aca="false">IF(BR64=0,"",7*SQRT(DC64)*10.1972)</f>
        <v/>
      </c>
      <c r="DP64" s="244" t="str">
        <f aca="false">IF(BR64=0,"",IF(AS64=$AX$4,5*CC64,""))</f>
        <v/>
      </c>
      <c r="DQ64" s="244" t="str">
        <f aca="false">IF(AW64=" "," ",IF(DC64=""," ",IF(DC64&lt;2,4*10.2,IF(DC64=2,6*10.2,IF(DC64&lt;4,12*10.2,IF(DC64=4,20*10.2,IF(DC64&lt;8,30*10.2,IF(DC64=8,35*10.2,IF(DC64&lt;15,40*10.2,IF(DC64=15,42*10.2,IF(DC64&lt;30,45*10.2,IF(DC64=30,50*10.2,70*10.2))))))))))))</f>
        <v> </v>
      </c>
      <c r="DR64" s="244" t="str">
        <f aca="false">IF(BR64=0,"",IF(AS64=$AX$4,220*DP64*0.0101972,""))</f>
        <v/>
      </c>
      <c r="DS64" s="271" t="str">
        <f aca="false">IF(BR64=0,"",IF(AS64=$AX$7,(SUM(DH64:DO64)-MIN(DH64:DO64)-MAX(DH64:DO64))/6,(SUM(DO64:DR64)-MIN(DO64:DR64)-MAX(DO64:DR64))/2))</f>
        <v/>
      </c>
      <c r="DT64" s="244" t="str">
        <f aca="false">IF(AW64=" "," ",IF(DC64=""," ",IF(DC64&lt;4,0.2,IF(DC64=4,0.27,IF(DC64&lt;10,0.33,IF(DC64=10,0.35,IF(DC64&lt;30,0.36,IF(DC64=30,0.37,IF(DC64&lt;50,0.38,IF(DC64=50,0.4,0.45))))))))))</f>
        <v> </v>
      </c>
      <c r="DU64" s="272" t="str">
        <f aca="false">IF(AW64=" "," ",IF(CC64=""," ",IF(CC64&lt;2,0.2,IF(CC64=2,0.23,IF(CC64&lt;4,0.26,IF(CC64=4,0.29,IF(CC64&lt;8,0.32,IF(CC64=8,0.35,IF(CC64&lt;15,0.38,IF(CC64=15,0.41,IF(CC64&lt;30,0.44,IF(CC64=30,0.47,0.5))))))))))))</f>
        <v> </v>
      </c>
      <c r="DV64" s="244" t="str">
        <f aca="false">IF(BR64=0,"",IF(AS64=$AX$3,DT64,DU64))</f>
        <v/>
      </c>
      <c r="DW64" s="244" t="str">
        <f aca="false">IF(BR64=0,"",IF(DC64&gt;15,15+0.5*(DC64-15),DC64))</f>
        <v/>
      </c>
      <c r="DX64" s="244" t="str">
        <f aca="false">IF(BR64=0,"",IF($S$12="SI",IF(CD64="NO",IF($AD$12&gt;(BO64+1.5*$ED$15),1,0.5),0.5),1))</f>
        <v/>
      </c>
      <c r="DY64" s="244" t="str">
        <f aca="false">IF(BR64=0,"",IF($S$12="SI",IF(CD64="NO",IF($AD$12&gt;(BO64+1.5*$EE$15),1,0.5),0.5),1))</f>
        <v/>
      </c>
      <c r="DZ64" s="244" t="str">
        <f aca="false">IF(BR64=0,"",IF($S$12="SI",IF(CD64="NO",IF($AD$12&gt;(BO64+1.5*$EF$15),1,0.5),0.5),1))</f>
        <v/>
      </c>
      <c r="EA64" s="244" t="str">
        <f aca="false">IF(BR64=0,"",IF($S$12="SI",IF(CD64="NO",IF($AD$12&gt;(BO64+1.5*$ED$15),1,0.5),IF($AD$12=BO64,1,0.5)),1))</f>
        <v/>
      </c>
      <c r="EB64" s="244" t="str">
        <f aca="false">IF(BR64=0,"",IF($S$12="SI",IF(CD64="NO",IF($AD$12&gt;(BO64+1.5*$EE$15),1,0.5),IF($AD$12=BO64,1,0.5)),1))</f>
        <v/>
      </c>
      <c r="EC64" s="244" t="str">
        <f aca="false">IF(BR64=0,"",IF($S$12="SI",IF(CD64="NO",IF($AD$12&gt;(BO64+1.5*$EF$15),1,0.5),IF($AD$12=BO64,1,0.5)),1))</f>
        <v/>
      </c>
      <c r="ED64" s="244" t="str">
        <f aca="false">IF(BR64=0,"",(DW64*($ED$15/10)*(DX64+EA64*(BO64/$ED$15))*1)/3)</f>
        <v/>
      </c>
      <c r="EE64" s="244" t="str">
        <f aca="false">IF(BR64=0,"",(DW64*($EE$15/10)*(DY64+EB64*(BO64/$EE$15))*1)/3)</f>
        <v/>
      </c>
      <c r="EF64" s="244" t="str">
        <f aca="false">IF(BR64=0,"",(DW64*($EF$15/10)*(DZ64+EC64*(BO64/$EF$15))*1)/3)</f>
        <v/>
      </c>
      <c r="EG64" s="273" t="str">
        <f aca="false">IF(BR64=0,"",IF(CD64="SI",0.5,1))</f>
        <v/>
      </c>
      <c r="EH64" s="244" t="str">
        <f aca="false">IF(BR64=0,"",IF((1+0.33*(BO64/$ED$15))&lt;=1.33,(1+0.33*(BO64/$ED$15)),1.33))</f>
        <v/>
      </c>
      <c r="EI64" s="244" t="str">
        <f aca="false">IF(BR64=0,"",IF((1+0.33*(BO64/$EE$15))&lt;=1.33,(1+0.33*(BO64/$EE$15)),1.33))</f>
        <v/>
      </c>
      <c r="EJ64" s="244" t="str">
        <f aca="false">IF(BR64=0,"",IF((1+0.33*(BO64/$EF$15))&lt;=1.33,(1+0.33*(BO64/$EF$15)),1.33))</f>
        <v/>
      </c>
      <c r="EK64" s="244" t="str">
        <f aca="false">IF(BR64=0,"",IF($ED$15&lt;=1.2,((20*DC64*EG64*EH64)/3)*0.010197,((12.5*DC64*((($ED$15+0.3)^2)/$ED$15)*EG64*EH64)/3)*0.010197))</f>
        <v/>
      </c>
      <c r="EL64" s="244" t="str">
        <f aca="false">IF(BR64=0,"",IF($EE$15&lt;=1.2,((20*DC64*EG64*EI64)/3)*0.010197,((12.5*DC64*((($EE$15+0.3)^2)/$EE$15)*EG64*EI64)/3)*0.010197))</f>
        <v/>
      </c>
      <c r="EM64" s="244" t="str">
        <f aca="false">IF(BR64=0,"",IF($EF$15&lt;=1.2,((20*DC64*EG64*EJ64)/3)*0.010197,((12.5*DC64*((($EF$15+0.3)^2)/$EF$15)*EG64*EJ64)/3)*0.010197))</f>
        <v/>
      </c>
      <c r="EN64" s="248" t="str">
        <f aca="false">IF(BR64=0,"",SQRT(12*CC64)+25)</f>
        <v/>
      </c>
      <c r="EO64" s="248" t="str">
        <f aca="false">IF(BR64=0,"",28.5+0.25*CC64)</f>
        <v/>
      </c>
      <c r="EP64" s="248" t="str">
        <f aca="false">IF(BR64=0,"",SQRT(20*CC64)+15)</f>
        <v/>
      </c>
      <c r="EQ64" s="248" t="str">
        <f aca="false">IF(BR64=0,"",23.7+0.57*CC64-0.0006*CC64*CC64)</f>
        <v/>
      </c>
      <c r="ER64" s="248" t="str">
        <f aca="false">IF(BR64=0,"",15+SQRT(12.5*DC64))</f>
        <v/>
      </c>
      <c r="ES64" s="248" t="str">
        <f aca="false">IF(BR64=0,"",3.5*SQRT(CC64)+20)</f>
        <v/>
      </c>
      <c r="ET64" s="248" t="str">
        <f aca="false">IF(BR64=0,"",27.1+0.3*DC64-0.00054*DC64*DC64)</f>
        <v/>
      </c>
      <c r="EU64" s="248" t="str">
        <f aca="false">IF(BR64=0,"",SQRT(20*CC64)+20)</f>
        <v/>
      </c>
      <c r="EV64" s="248" t="str">
        <f aca="false">IF(BR64=0,"",12.79+SQRT(25.86*CC64))</f>
        <v/>
      </c>
      <c r="EW64" s="248" t="str">
        <f aca="false">IF(BR64=0,"",DEGREES(_xlfn.ACOT((CC64/(12.2+20.3*CR64))^0.34)))</f>
        <v/>
      </c>
      <c r="EX64" s="248" t="str">
        <f aca="false">IF(BR64=0,"",24+(5.77*LN(0.17*DC64)))</f>
        <v/>
      </c>
      <c r="EY64" s="248" t="str">
        <f aca="false">IF(BR64=0,"",(SUM(EN64:EX64)-MIN(EN64:EX64)-MAX(EN64:EX64))/9)</f>
        <v/>
      </c>
      <c r="EZ64" s="248" t="str">
        <f aca="false">IF(BR64=0,"", -0.0000000034*CC64^6 + 0.0000008305*CC64^5 - 0.0000741842*CC64^4 + 0.0030204278*CC64^3 - 0.0541594733*CC64^2 + 0.8083147848*CC64 - 0.6182191243)</f>
        <v/>
      </c>
      <c r="FA64" s="249" t="str">
        <f aca="false">IF(BR64=0,"",(0.134811827956989*CC64 - 0.0383064516129019)/2)</f>
        <v/>
      </c>
      <c r="FB64" s="249" t="str">
        <f aca="false">IF(BR64=0,"",CC64*0.065)</f>
        <v/>
      </c>
      <c r="FC64" s="249" t="str">
        <f aca="false">IF(BR64=0,"",(CC64*0.12*0.48)*SQRT((1+SIN(EZ64*((2*PI())/360))/(1-SIN(EZ64*((2*PI())/360))))))</f>
        <v/>
      </c>
      <c r="FD64" s="249" t="str">
        <f aca="false">IF(BR64=0,"",(CC64/8)/2)</f>
        <v/>
      </c>
      <c r="FE64" s="249" t="str">
        <f aca="false">IF(BR64=0,"",(SUM(FA64:FD64)-MIN(FA64:FD64)-MAX(FA64:FD64))/2)</f>
        <v/>
      </c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</row>
    <row r="65" customFormat="false" ht="9.75" hidden="false" customHeight="true" outlineLevel="0" collapsed="false">
      <c r="A65" s="197" t="n">
        <f aca="false">ROUND(A64+0.1,1)</f>
        <v>4.8</v>
      </c>
      <c r="B65" s="250" t="n">
        <f aca="false">+A65</f>
        <v>4.8</v>
      </c>
      <c r="C65" s="251"/>
      <c r="D65" s="251"/>
      <c r="E65" s="274"/>
      <c r="F65" s="253"/>
      <c r="G65" s="254"/>
      <c r="H65" s="284"/>
      <c r="I65" s="285"/>
      <c r="J65" s="257"/>
      <c r="K65" s="258"/>
      <c r="L65" s="259"/>
      <c r="M65" s="276"/>
      <c r="N65" s="277"/>
      <c r="O65" s="277"/>
      <c r="P65" s="277"/>
      <c r="Q65" s="293"/>
      <c r="R65" s="294"/>
      <c r="S65" s="294"/>
      <c r="T65" s="295"/>
      <c r="U65" s="295"/>
      <c r="V65" s="296"/>
      <c r="W65" s="296"/>
      <c r="X65" s="296"/>
      <c r="Y65" s="296"/>
      <c r="Z65" s="296"/>
      <c r="AA65" s="296"/>
      <c r="AB65" s="297"/>
      <c r="AC65" s="298"/>
      <c r="AD65" s="299"/>
      <c r="AE65" s="298"/>
      <c r="AF65" s="300"/>
      <c r="AG65" s="267"/>
      <c r="AH65" s="267"/>
      <c r="AI65" s="241"/>
      <c r="AJ65" s="241"/>
      <c r="AK65" s="266"/>
      <c r="AL65" s="266"/>
      <c r="AM65" s="268"/>
      <c r="AN65" s="250" t="n">
        <f aca="false">+AN63+0.2</f>
        <v>4.8</v>
      </c>
      <c r="AO65" s="251"/>
      <c r="AP65" s="251"/>
      <c r="AQ65" s="274"/>
      <c r="AR65" s="253"/>
      <c r="AS65" s="269" t="s">
        <v>13</v>
      </c>
      <c r="AT65" s="221"/>
      <c r="AU65" s="269"/>
      <c r="AV65" s="269"/>
      <c r="AW65" s="270" t="n">
        <f aca="false">+K65+L65</f>
        <v>0</v>
      </c>
      <c r="AX65" s="270" t="str">
        <f aca="false">IF(AS65="&gt;50","CONSISTENCIA",IF(AS65="&lt;50","COMPACIDAD"," "))</f>
        <v>COMPACIDAD</v>
      </c>
      <c r="AY65" s="225" t="str">
        <f aca="false">IF(AS65="&gt;50",AZ65,IF(AS65="&lt;50",BA65," "))</f>
        <v> </v>
      </c>
      <c r="AZ65" s="224" t="str">
        <f aca="false">IF(AW65=" "," ",IF(CC65=""," ",IF(CC65&lt;2,"MUY BLANDA",IF(CC65=2,"MUY BLANDA A BLANDA",IF(CC65&lt;4,"BLANDA",IF(CC65=4,"BLANDA A MEDIA",IF(CC65&lt;8,"MEDIA",IF(CC65=8,"MEDIA A FIRME",IF(CC65&lt;15,"FIRME",IF(CC65=15,"FIRME A MUY FIRME",IF(CC65&lt;30,"MUY FIRME",IF(CC65=30,"MUY FIRME A DURA","DURA"))))))))))))</f>
        <v> </v>
      </c>
      <c r="BA65" s="225" t="str">
        <f aca="false">IF(AW65=" "," ",IF(DC65=""," ",IF(DC65&lt;4,"MUY SUELTA",IF(DC65=4,"MUY SUELTA A SUELTA",IF(DC65&lt;10,"SUELTA",IF(DC65=10,"SUELTA A MEDIA",IF(DC65&lt;30,"MEDIA",IF(DC65=30,"MEDIA A DENSO",IF(DC65&lt;50,"DENSO",IF(DC65=50,"DENSO MUY DENSO","MUY DENSO"))))))))))</f>
        <v> </v>
      </c>
      <c r="BB65" s="226" t="str">
        <f aca="false">IF(BR66=0,"",CQ66*0.0101972)</f>
        <v/>
      </c>
      <c r="BC65" s="227" t="n">
        <f aca="false">+BC64+0.1</f>
        <v>4.8</v>
      </c>
      <c r="BD65" s="227" t="str">
        <f aca="false">IF(BC65&lt;=$AN$10,BC65,"")</f>
        <v/>
      </c>
      <c r="BE65" s="228" t="n">
        <f aca="false">ISNUMBER(BD65)</f>
        <v>0</v>
      </c>
      <c r="BF65" s="229" t="str">
        <f aca="false">MID(M65,1,1)</f>
        <v/>
      </c>
      <c r="BG65" s="230" t="str">
        <f aca="false">IF(BF65="S","",IF(BF65="G","",MID(M65,2,1)))</f>
        <v/>
      </c>
      <c r="BH65" s="231" t="str">
        <f aca="false">CONCATENATE(BF65,BG65)</f>
        <v/>
      </c>
      <c r="BI65" s="6" t="str">
        <f aca="false">IF(BE65=FALSE(),"",IF(BH65="",BI64,BH65))</f>
        <v/>
      </c>
      <c r="BJ65" s="74" t="str">
        <f aca="false">IF(OR(BI65="S",BI65="G"),BI65,"X")</f>
        <v>X</v>
      </c>
      <c r="BK65" s="74" t="s">
        <v>225</v>
      </c>
      <c r="BL65" s="303" t="e">
        <f aca="false">INDEX(sim_0,MATCH($BJ$65,granular,0))</f>
        <v>#NAME?</v>
      </c>
      <c r="BM65" s="303"/>
      <c r="BN65" s="6"/>
      <c r="BO65" s="191" t="n">
        <f aca="false">BO64+0.1</f>
        <v>4.8</v>
      </c>
      <c r="BP65" s="233" t="e">
        <f aca="false">IF(AW65=0,NA(),IF(AS65=$AX$3,ROUND(DC65,0),NA()))</f>
        <v>#N/A</v>
      </c>
      <c r="BQ65" s="31" t="e">
        <f aca="false">IF(AW65=0,NA(),IF(AS65=$AX$4,ROUND(CC65,0),NA()))</f>
        <v>#N/A</v>
      </c>
      <c r="BR65" s="234" t="n">
        <f aca="false">+AW65</f>
        <v>0</v>
      </c>
      <c r="BS65" s="235" t="str">
        <f aca="false">IF(BR65=0,"", -0.00000000016128755327*CC65^6 + 0.00000006709386362421*CC65^5 - 0.0000106217678052217*CC65^4 + 0.00081068114193385*CC65^3 - 0.0314027378159951*CC65^2 + 0.649796593937842*CC65 + 13.7888866455022)</f>
        <v/>
      </c>
      <c r="BT65" s="235" t="str">
        <f aca="false">IF(BR65=0,"",-0.00000000014625939695*CC65^6 + 0.00000004971732060241*CC65^5 - 0.000006683744342031*CC65^4 + 0.0004563177378098*CC65^3 - 0.0171727530635803*CC65^2 + 0.444529932876435*CC65 + 15.6692518940565)</f>
        <v/>
      </c>
      <c r="BU65" s="236" t="str">
        <f aca="false">IF(BR65=0,"", -0.0000000008152265738*BR65^6 + 0.00000022764320256987*BR65^5 - 0.0000248205675927705*BR65^4 + 0.00133186623684865*BR65^3 - 0.0368442570441677*BR65^2 + 0.580111565569094*BR65 + 14.0417598296107)</f>
        <v/>
      </c>
      <c r="BV65" s="236" t="str">
        <f aca="false">IF(BR65=0,"", -0.00000000004321395721*BR65^6 + 0.00000002531844275498*BR65^5 - 0.00000369428022780862*BR65^4 + 0.00020283665900125*BR65^3 - 0.00462426256803268*BR65^2 + 0.139572935065453*BR65 + 15.4475338156923)</f>
        <v/>
      </c>
      <c r="BW65" s="236" t="str">
        <f aca="false">IF(BR65=0,"",-0.00000000033126390082*BR65^6 + 0.00000010463660614506*BR65^5 - 0.0000129629592998707*BR65^4 + 0.000803946335250767*BR65^3 - 0.0270257140395994*BR65^2 + 0.562590210721552*BR65+ 12.1254107606419)</f>
        <v/>
      </c>
      <c r="BX65" s="236" t="str">
        <f aca="false">IF(BR65=0,"",-0.00000000002593504955*BR65^6 + 0.00000002430495156704*BR65^5 - 0.00000386103271086364*BR65^4 + 0.000214416118986322*BR65^3 - 0.0047271462612021*BR65^2 + 0.156696175741135*BR65 + 15.4598891949502)</f>
        <v/>
      </c>
      <c r="BY65" s="234" t="str">
        <f aca="false">IF(BR65=0,"",$BS$2)</f>
        <v/>
      </c>
      <c r="BZ65" s="234" t="str">
        <f aca="false">IF(BR65=0,"",$BS$3)</f>
        <v/>
      </c>
      <c r="CA65" s="234" t="str">
        <f aca="false">IF(BR65=0,"",$BS$4)</f>
        <v/>
      </c>
      <c r="CB65" s="235" t="str">
        <f aca="false">IF(BR65=0,"",IF(AND(BO65&gt;=0,BO65&lt;4),0.75,IF(AND(BO65&gt;=4,BO65&lt;6),0.85,IF(AND(BO65&gt;=6,BO65&lt;=10),0.95,1))))</f>
        <v/>
      </c>
      <c r="CC65" s="234" t="str">
        <f aca="false">IF(BR65=0,"",BR65*BY65*BZ65*CA65*CB65/60)</f>
        <v/>
      </c>
      <c r="CD65" s="238" t="str">
        <f aca="false">IF(BR65=0,"",IF($S$12="NO","NO",IF($AD$12&lt;=BO65,"SI","NO")))</f>
        <v/>
      </c>
      <c r="CE65" s="235" t="n">
        <f aca="false">IF(BR65=0,0,AB65)</f>
        <v>0</v>
      </c>
      <c r="CF65" s="235" t="n">
        <f aca="false">IF(CE65&gt;0,BO65,0)</f>
        <v>0</v>
      </c>
      <c r="CG65" s="239" t="n">
        <f aca="false">IF(CF65=0,CF65+CG64,CF65)</f>
        <v>0</v>
      </c>
      <c r="CH65" s="239" t="n">
        <f aca="false">IF(CG65=CG64,CH64,ABS(CG65-CG64))</f>
        <v>0</v>
      </c>
      <c r="CI65" s="239" t="n">
        <f aca="false">+CE65*CH65</f>
        <v>0</v>
      </c>
      <c r="CJ65" s="239" t="n">
        <f aca="false">IF(CI65=0,CI65+CJ64,CI65)</f>
        <v>0</v>
      </c>
      <c r="CK65" s="239" t="n">
        <f aca="false">IF(CJ65=CJ64,CK64,ABS(CJ65+CK64))</f>
        <v>0</v>
      </c>
      <c r="CL65" s="241" t="n">
        <f aca="false">IF(CE65=0,0,CK65)</f>
        <v>0</v>
      </c>
      <c r="CM65" s="239" t="n">
        <f aca="false">IF(CE65=0,0,CH65*9.81)</f>
        <v>0</v>
      </c>
      <c r="CN65" s="239" t="n">
        <f aca="false">IF(CM65=0,CM65+CN64,CM65)</f>
        <v>0</v>
      </c>
      <c r="CO65" s="239" t="n">
        <f aca="false">IF(CN65=CN64,CO64,ABS(CN65+CO64))</f>
        <v>0</v>
      </c>
      <c r="CP65" s="241" t="n">
        <f aca="false">IF(CD65="NO",0,IF(CE65=0,0,CO65))</f>
        <v>0</v>
      </c>
      <c r="CQ65" s="244" t="str">
        <f aca="false">IF(BR65=0,"",CL65-CP65)</f>
        <v/>
      </c>
      <c r="CR65" s="244" t="str">
        <f aca="false">IF(BR65=0,"",CQ65/101.3)</f>
        <v/>
      </c>
      <c r="CS65" s="244" t="str">
        <f aca="false">IF(BR65=0,"",LOG(10/CR65))</f>
        <v/>
      </c>
      <c r="CT65" s="243" t="str">
        <f aca="false">IF(BR65=0,"",IF(SQRT(101.3/CQ65)&lt;=1.7,SQRT(101.3/CQ65),2.2/(1.2+(CQ65/101.3))))</f>
        <v/>
      </c>
      <c r="CU65" s="244" t="str">
        <f aca="false">IF(BR65=0,"",1.7/(0.7+CR65))</f>
        <v/>
      </c>
      <c r="CV65" s="244" t="str">
        <f aca="false">IF(BR65=0,"",IF(CR65&gt;=0.25,0.77*LOG(20/CR65),""))</f>
        <v/>
      </c>
      <c r="CW65" s="244" t="str">
        <f aca="false">IF(BR65=0,"",32.5/(10.2+20.3*CR65))</f>
        <v/>
      </c>
      <c r="CX65" s="244" t="str">
        <f aca="false">IF(BR65=0,"",1-1.25*LOG(CR65))</f>
        <v/>
      </c>
      <c r="CY65" s="244" t="str">
        <f aca="false">IF(BR65=0,"",IF(CR65&lt;1,1-1.41*LOG(CR65),1+0.92*LOG(CR65)))</f>
        <v/>
      </c>
      <c r="CZ65" s="244" t="str">
        <f aca="false">IF(BR65=0,"",2/(1+CR65))</f>
        <v/>
      </c>
      <c r="DA65" s="244" t="str">
        <f aca="false">IF(BR65=0,"",IF(CR65&lt;=0.75,4/(1+4*CR65),4/(3.25+CR65)))</f>
        <v/>
      </c>
      <c r="DB65" s="244" t="str">
        <f aca="false">IF(BR65=0,"",CT65)</f>
        <v/>
      </c>
      <c r="DC65" s="244" t="str">
        <f aca="false">IF(BR65=0,"",DB65*CC65)</f>
        <v/>
      </c>
      <c r="DD65" s="244"/>
      <c r="DE65" s="244" t="str">
        <f aca="false">IF(BR65=0,"",0.193*(CC65/(CQ65*0.001))^0.689)</f>
        <v/>
      </c>
      <c r="DF65" s="244" t="str">
        <f aca="false">IF(BR65=0,"",IF(AS65=$AX$4,(0.1348118*CC65 - 0.0383065)*98.0665,""))</f>
        <v/>
      </c>
      <c r="DG65" s="244" t="str">
        <f aca="false">IF(BR65=0,"",IF(AS65=$AX$4,DF65/2,""))</f>
        <v/>
      </c>
      <c r="DH65" s="244" t="str">
        <f aca="false">IF(BR65=0,"",IF(DC65&lt;=15,12*(DC65+6),40+12*(DC65-6)))</f>
        <v/>
      </c>
      <c r="DI65" s="244" t="str">
        <f aca="false">IF(BR65=0,"",IF(CD65="SI",5*(DC65+15),((3.3*(DC65+15))+(4*(DC65+12)))/2))</f>
        <v/>
      </c>
      <c r="DJ65" s="244" t="str">
        <f aca="false">IF(BR65=0,"",8*DC65)</f>
        <v/>
      </c>
      <c r="DK65" s="244" t="str">
        <f aca="false">IF(BR65=0,"",215+(10.6*DC65))</f>
        <v/>
      </c>
      <c r="DL65" s="244" t="str">
        <f aca="false">IF(BR65=0,"",10*(7.5+(0.5*DC65)))</f>
        <v/>
      </c>
      <c r="DM65" s="244" t="str">
        <f aca="false">IF(BR65=0,"",8*DC65)</f>
        <v/>
      </c>
      <c r="DN65" s="244" t="str">
        <f aca="false">IF(AW65=" "," ",IF(DC65=""," ",IF(DC65&lt;4,10*10.2,IF(DC65=4,12*10.2,IF(DC65&lt;10,17.5*10.5,IF(DC65=10,15*10.2,IF(DC65&lt;30,22.5*10.2,IF(DC65=30,35*10.2,IF(DC65&lt;50,40*10.2,IF(DC65=50,50*10.2,55*10.2))))))))))</f>
        <v> </v>
      </c>
      <c r="DO65" s="244" t="str">
        <f aca="false">IF(BR65=0,"",7*SQRT(DC65)*10.1972)</f>
        <v/>
      </c>
      <c r="DP65" s="244" t="str">
        <f aca="false">IF(BR65=0,"",IF(AS65=$AX$4,5*CC65,""))</f>
        <v/>
      </c>
      <c r="DQ65" s="244" t="str">
        <f aca="false">IF(AW65=" "," ",IF(DC65=""," ",IF(DC65&lt;2,4*10.2,IF(DC65=2,6*10.2,IF(DC65&lt;4,12*10.2,IF(DC65=4,20*10.2,IF(DC65&lt;8,30*10.2,IF(DC65=8,35*10.2,IF(DC65&lt;15,40*10.2,IF(DC65=15,42*10.2,IF(DC65&lt;30,45*10.2,IF(DC65=30,50*10.2,70*10.2))))))))))))</f>
        <v> </v>
      </c>
      <c r="DR65" s="244" t="str">
        <f aca="false">IF(BR65=0,"",IF(AS65=$AX$4,220*DP65*0.0101972,""))</f>
        <v/>
      </c>
      <c r="DS65" s="271" t="str">
        <f aca="false">IF(BR65=0,"",IF(AS65=$AX$7,(SUM(DH65:DO65)-MIN(DH65:DO65)-MAX(DH65:DO65))/6,(SUM(DO65:DR65)-MIN(DO65:DR65)-MAX(DO65:DR65))/2))</f>
        <v/>
      </c>
      <c r="DT65" s="244" t="str">
        <f aca="false">IF(AW65=" "," ",IF(DC65=""," ",IF(DC65&lt;4,0.2,IF(DC65=4,0.27,IF(DC65&lt;10,0.33,IF(DC65=10,0.35,IF(DC65&lt;30,0.36,IF(DC65=30,0.37,IF(DC65&lt;50,0.38,IF(DC65=50,0.4,0.45))))))))))</f>
        <v> </v>
      </c>
      <c r="DU65" s="272" t="str">
        <f aca="false">IF(AW65=" "," ",IF(CC65=""," ",IF(CC65&lt;2,0.2,IF(CC65=2,0.23,IF(CC65&lt;4,0.26,IF(CC65=4,0.29,IF(CC65&lt;8,0.32,IF(CC65=8,0.35,IF(CC65&lt;15,0.38,IF(CC65=15,0.41,IF(CC65&lt;30,0.44,IF(CC65=30,0.47,0.5))))))))))))</f>
        <v> </v>
      </c>
      <c r="DV65" s="244" t="str">
        <f aca="false">IF(BR65=0,"",IF(AS65=$AX$3,DT65,DU65))</f>
        <v/>
      </c>
      <c r="DW65" s="244" t="str">
        <f aca="false">IF(BR65=0,"",IF(DC65&gt;15,15+0.5*(DC65-15),DC65))</f>
        <v/>
      </c>
      <c r="DX65" s="244" t="str">
        <f aca="false">IF(BR65=0,"",IF($S$12="SI",IF(CD65="NO",IF($AD$12&gt;(BO65+1.5*$ED$15),1,0.5),0.5),1))</f>
        <v/>
      </c>
      <c r="DY65" s="244" t="str">
        <f aca="false">IF(BR65=0,"",IF($S$12="SI",IF(CD65="NO",IF($AD$12&gt;(BO65+1.5*$EE$15),1,0.5),0.5),1))</f>
        <v/>
      </c>
      <c r="DZ65" s="244" t="str">
        <f aca="false">IF(BR65=0,"",IF($S$12="SI",IF(CD65="NO",IF($AD$12&gt;(BO65+1.5*$EF$15),1,0.5),0.5),1))</f>
        <v/>
      </c>
      <c r="EA65" s="244" t="str">
        <f aca="false">IF(BR65=0,"",IF($S$12="SI",IF(CD65="NO",IF($AD$12&gt;(BO65+1.5*$ED$15),1,0.5),IF($AD$12=BO65,1,0.5)),1))</f>
        <v/>
      </c>
      <c r="EB65" s="244" t="str">
        <f aca="false">IF(BR65=0,"",IF($S$12="SI",IF(CD65="NO",IF($AD$12&gt;(BO65+1.5*$EE$15),1,0.5),IF($AD$12=BO65,1,0.5)),1))</f>
        <v/>
      </c>
      <c r="EC65" s="244" t="str">
        <f aca="false">IF(BR65=0,"",IF($S$12="SI",IF(CD65="NO",IF($AD$12&gt;(BO65+1.5*$EF$15),1,0.5),IF($AD$12=BO65,1,0.5)),1))</f>
        <v/>
      </c>
      <c r="ED65" s="244" t="str">
        <f aca="false">IF(BR65=0,"",(DW65*($ED$15/10)*(DX65+EA65*(BO65/$ED$15))*1)/3)</f>
        <v/>
      </c>
      <c r="EE65" s="244" t="str">
        <f aca="false">IF(BR65=0,"",(DW65*($EE$15/10)*(DY65+EB65*(BO65/$EE$15))*1)/3)</f>
        <v/>
      </c>
      <c r="EF65" s="244" t="str">
        <f aca="false">IF(BR65=0,"",(DW65*($EF$15/10)*(DZ65+EC65*(BO65/$EF$15))*1)/3)</f>
        <v/>
      </c>
      <c r="EG65" s="273" t="str">
        <f aca="false">IF(BR65=0,"",IF(CD65="SI",0.5,1))</f>
        <v/>
      </c>
      <c r="EH65" s="244" t="str">
        <f aca="false">IF(BR65=0,"",IF((1+0.33*(BO65/$ED$15))&lt;=1.33,(1+0.33*(BO65/$ED$15)),1.33))</f>
        <v/>
      </c>
      <c r="EI65" s="244" t="str">
        <f aca="false">IF(BR65=0,"",IF((1+0.33*(BO65/$EE$15))&lt;=1.33,(1+0.33*(BO65/$EE$15)),1.33))</f>
        <v/>
      </c>
      <c r="EJ65" s="244" t="str">
        <f aca="false">IF(BR65=0,"",IF((1+0.33*(BO65/$EF$15))&lt;=1.33,(1+0.33*(BO65/$EF$15)),1.33))</f>
        <v/>
      </c>
      <c r="EK65" s="244" t="str">
        <f aca="false">IF(BR65=0,"",IF($ED$15&lt;=1.2,((20*DC65*EG65*EH65)/3)*0.010197,((12.5*DC65*((($ED$15+0.3)^2)/$ED$15)*EG65*EH65)/3)*0.010197))</f>
        <v/>
      </c>
      <c r="EL65" s="244" t="str">
        <f aca="false">IF(BR65=0,"",IF($EE$15&lt;=1.2,((20*DC65*EG65*EI65)/3)*0.010197,((12.5*DC65*((($EE$15+0.3)^2)/$EE$15)*EG65*EI65)/3)*0.010197))</f>
        <v/>
      </c>
      <c r="EM65" s="244" t="str">
        <f aca="false">IF(BR65=0,"",IF($EF$15&lt;=1.2,((20*DC65*EG65*EJ65)/3)*0.010197,((12.5*DC65*((($EF$15+0.3)^2)/$EF$15)*EG65*EJ65)/3)*0.010197))</f>
        <v/>
      </c>
      <c r="EN65" s="248" t="str">
        <f aca="false">IF(BR65=0,"",SQRT(12*CC65)+25)</f>
        <v/>
      </c>
      <c r="EO65" s="248" t="str">
        <f aca="false">IF(BR65=0,"",28.5+0.25*CC65)</f>
        <v/>
      </c>
      <c r="EP65" s="248" t="str">
        <f aca="false">IF(BR65=0,"",SQRT(20*CC65)+15)</f>
        <v/>
      </c>
      <c r="EQ65" s="248" t="str">
        <f aca="false">IF(BR65=0,"",23.7+0.57*CC65-0.0006*CC65*CC65)</f>
        <v/>
      </c>
      <c r="ER65" s="248" t="str">
        <f aca="false">IF(BR65=0,"",15+SQRT(12.5*DC65))</f>
        <v/>
      </c>
      <c r="ES65" s="248" t="str">
        <f aca="false">IF(BR65=0,"",3.5*SQRT(CC65)+20)</f>
        <v/>
      </c>
      <c r="ET65" s="248" t="str">
        <f aca="false">IF(BR65=0,"",27.1+0.3*DC65-0.00054*DC65*DC65)</f>
        <v/>
      </c>
      <c r="EU65" s="248" t="str">
        <f aca="false">IF(BR65=0,"",SQRT(20*CC65)+20)</f>
        <v/>
      </c>
      <c r="EV65" s="248" t="str">
        <f aca="false">IF(BR65=0,"",12.79+SQRT(25.86*CC65))</f>
        <v/>
      </c>
      <c r="EW65" s="248" t="str">
        <f aca="false">IF(BR65=0,"",DEGREES(_xlfn.ACOT((CC65/(12.2+20.3*CR65))^0.34)))</f>
        <v/>
      </c>
      <c r="EX65" s="248" t="str">
        <f aca="false">IF(BR65=0,"",24+(5.77*LN(0.17*DC65)))</f>
        <v/>
      </c>
      <c r="EY65" s="248" t="str">
        <f aca="false">IF(BR65=0,"",(SUM(EN65:EX65)-MIN(EN65:EX65)-MAX(EN65:EX65))/9)</f>
        <v/>
      </c>
      <c r="EZ65" s="248" t="str">
        <f aca="false">IF(BR65=0,"", -0.0000000034*CC65^6 + 0.0000008305*CC65^5 - 0.0000741842*CC65^4 + 0.0030204278*CC65^3 - 0.0541594733*CC65^2 + 0.8083147848*CC65 - 0.6182191243)</f>
        <v/>
      </c>
      <c r="FA65" s="249" t="str">
        <f aca="false">IF(BR65=0,"",(0.134811827956989*CC65 - 0.0383064516129019)/2)</f>
        <v/>
      </c>
      <c r="FB65" s="249" t="str">
        <f aca="false">IF(BR65=0,"",CC65*0.065)</f>
        <v/>
      </c>
      <c r="FC65" s="249" t="str">
        <f aca="false">IF(BR65=0,"",(CC65*0.12*0.48)*SQRT((1+SIN(EZ65*((2*PI())/360))/(1-SIN(EZ65*((2*PI())/360))))))</f>
        <v/>
      </c>
      <c r="FD65" s="249" t="str">
        <f aca="false">IF(BR65=0,"",(CC65/8)/2)</f>
        <v/>
      </c>
      <c r="FE65" s="249" t="str">
        <f aca="false">IF(BR65=0,"",(SUM(FA65:FD65)-MIN(FA65:FD65)-MAX(FA65:FD65))/2)</f>
        <v/>
      </c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</row>
    <row r="66" customFormat="false" ht="9.75" hidden="false" customHeight="true" outlineLevel="0" collapsed="false">
      <c r="A66" s="197" t="n">
        <f aca="false">ROUND(A65+0.1,1)</f>
        <v>4.9</v>
      </c>
      <c r="B66" s="250"/>
      <c r="C66" s="251"/>
      <c r="D66" s="251"/>
      <c r="E66" s="199"/>
      <c r="F66" s="200"/>
      <c r="G66" s="254"/>
      <c r="H66" s="284"/>
      <c r="I66" s="285"/>
      <c r="J66" s="257"/>
      <c r="K66" s="258"/>
      <c r="L66" s="259"/>
      <c r="M66" s="276"/>
      <c r="N66" s="277"/>
      <c r="O66" s="277"/>
      <c r="P66" s="277"/>
      <c r="Q66" s="293"/>
      <c r="R66" s="294"/>
      <c r="S66" s="294"/>
      <c r="T66" s="295"/>
      <c r="U66" s="295"/>
      <c r="V66" s="296"/>
      <c r="W66" s="296"/>
      <c r="X66" s="296"/>
      <c r="Y66" s="296"/>
      <c r="Z66" s="296"/>
      <c r="AA66" s="296"/>
      <c r="AB66" s="297"/>
      <c r="AC66" s="298"/>
      <c r="AD66" s="299"/>
      <c r="AE66" s="298"/>
      <c r="AF66" s="300"/>
      <c r="AG66" s="267"/>
      <c r="AH66" s="267"/>
      <c r="AI66" s="241"/>
      <c r="AJ66" s="241"/>
      <c r="AK66" s="266"/>
      <c r="AL66" s="266"/>
      <c r="AM66" s="268"/>
      <c r="AN66" s="250"/>
      <c r="AO66" s="251"/>
      <c r="AP66" s="251"/>
      <c r="AQ66" s="199"/>
      <c r="AR66" s="200"/>
      <c r="AS66" s="269" t="s">
        <v>13</v>
      </c>
      <c r="AT66" s="221"/>
      <c r="AU66" s="269"/>
      <c r="AV66" s="269"/>
      <c r="AW66" s="270" t="n">
        <f aca="false">+K66+L66</f>
        <v>0</v>
      </c>
      <c r="AX66" s="270" t="str">
        <f aca="false">IF(AS66="&gt;50","CONSISTENCIA",IF(AS66="&lt;50","COMPACIDAD"," "))</f>
        <v>COMPACIDAD</v>
      </c>
      <c r="AY66" s="225" t="str">
        <f aca="false">IF(AS66="&gt;50",AZ66,IF(AS66="&lt;50",BA66," "))</f>
        <v> </v>
      </c>
      <c r="AZ66" s="224" t="str">
        <f aca="false">IF(AW66=" "," ",IF(CC66=""," ",IF(CC66&lt;2,"MUY BLANDA",IF(CC66=2,"MUY BLANDA A BLANDA",IF(CC66&lt;4,"BLANDA",IF(CC66=4,"BLANDA A MEDIA",IF(CC66&lt;8,"MEDIA",IF(CC66=8,"MEDIA A FIRME",IF(CC66&lt;15,"FIRME",IF(CC66=15,"FIRME A MUY FIRME",IF(CC66&lt;30,"MUY FIRME",IF(CC66=30,"MUY FIRME A DURA","DURA"))))))))))))</f>
        <v> </v>
      </c>
      <c r="BA66" s="225" t="str">
        <f aca="false">IF(AW66=" "," ",IF(DC66=""," ",IF(DC66&lt;4,"MUY SUELTA",IF(DC66=4,"MUY SUELTA A SUELTA",IF(DC66&lt;10,"SUELTA",IF(DC66=10,"SUELTA A MEDIA",IF(DC66&lt;30,"MEDIA",IF(DC66=30,"MEDIA A DENSO",IF(DC66&lt;50,"DENSO",IF(DC66=50,"DENSO MUY DENSO","MUY DENSO"))))))))))</f>
        <v> </v>
      </c>
      <c r="BB66" s="290" t="str">
        <f aca="false">IF(BR67=0,"",CQ67*0.0101972)</f>
        <v/>
      </c>
      <c r="BC66" s="227" t="n">
        <f aca="false">+BC65+0.1</f>
        <v>4.9</v>
      </c>
      <c r="BD66" s="227" t="str">
        <f aca="false">IF(BC66&lt;=$AN$10,BC66,"")</f>
        <v/>
      </c>
      <c r="BE66" s="228" t="n">
        <f aca="false">ISNUMBER(BD66)</f>
        <v>0</v>
      </c>
      <c r="BF66" s="229" t="str">
        <f aca="false">MID(M66,1,1)</f>
        <v/>
      </c>
      <c r="BG66" s="230" t="str">
        <f aca="false">IF(BF66="S","",IF(BF66="G","",MID(M66,2,1)))</f>
        <v/>
      </c>
      <c r="BH66" s="231" t="str">
        <f aca="false">CONCATENATE(BF66,BG66)</f>
        <v/>
      </c>
      <c r="BI66" s="6" t="str">
        <f aca="false">IF(BE66=FALSE(),"",IF(BH66="",BI65,BH66))</f>
        <v/>
      </c>
      <c r="BJ66" s="74" t="str">
        <f aca="false">IF(OR(BI66="S",BI66="G"),BI66,"X")</f>
        <v>X</v>
      </c>
      <c r="BK66" s="74" t="s">
        <v>226</v>
      </c>
      <c r="BL66" s="303" t="e">
        <f aca="false">INDEX(sim_0,MATCH($BJ$66,granular,0))</f>
        <v>#NAME?</v>
      </c>
      <c r="BM66" s="303"/>
      <c r="BN66" s="6"/>
      <c r="BO66" s="191" t="n">
        <f aca="false">BO65+0.1</f>
        <v>4.9</v>
      </c>
      <c r="BP66" s="233" t="e">
        <f aca="false">IF(AW66=0,NA(),IF(AS66=$AX$3,ROUND(DC66,0),NA()))</f>
        <v>#N/A</v>
      </c>
      <c r="BQ66" s="31" t="e">
        <f aca="false">IF(AW66=0,NA(),IF(AS66=$AX$4,ROUND(CC66,0),NA()))</f>
        <v>#N/A</v>
      </c>
      <c r="BR66" s="234" t="n">
        <f aca="false">+AW66</f>
        <v>0</v>
      </c>
      <c r="BS66" s="235" t="str">
        <f aca="false">IF(BR66=0,"", -0.00000000016128755327*CC66^6 + 0.00000006709386362421*CC66^5 - 0.0000106217678052217*CC66^4 + 0.00081068114193385*CC66^3 - 0.0314027378159951*CC66^2 + 0.649796593937842*CC66 + 13.7888866455022)</f>
        <v/>
      </c>
      <c r="BT66" s="235" t="str">
        <f aca="false">IF(BR66=0,"",-0.00000000014625939695*CC66^6 + 0.00000004971732060241*CC66^5 - 0.000006683744342031*CC66^4 + 0.0004563177378098*CC66^3 - 0.0171727530635803*CC66^2 + 0.444529932876435*CC66 + 15.6692518940565)</f>
        <v/>
      </c>
      <c r="BU66" s="236" t="str">
        <f aca="false">IF(BR66=0,"", -0.0000000008152265738*BR66^6 + 0.00000022764320256987*BR66^5 - 0.0000248205675927705*BR66^4 + 0.00133186623684865*BR66^3 - 0.0368442570441677*BR66^2 + 0.580111565569094*BR66 + 14.0417598296107)</f>
        <v/>
      </c>
      <c r="BV66" s="236" t="str">
        <f aca="false">IF(BR66=0,"", -0.00000000004321395721*BR66^6 + 0.00000002531844275498*BR66^5 - 0.00000369428022780862*BR66^4 + 0.00020283665900125*BR66^3 - 0.00462426256803268*BR66^2 + 0.139572935065453*BR66 + 15.4475338156923)</f>
        <v/>
      </c>
      <c r="BW66" s="236" t="str">
        <f aca="false">IF(BR66=0,"",-0.00000000033126390082*BR66^6 + 0.00000010463660614506*BR66^5 - 0.0000129629592998707*BR66^4 + 0.000803946335250767*BR66^3 - 0.0270257140395994*BR66^2 + 0.562590210721552*BR66+ 12.1254107606419)</f>
        <v/>
      </c>
      <c r="BX66" s="236" t="str">
        <f aca="false">IF(BR66=0,"",-0.00000000002593504955*BR66^6 + 0.00000002430495156704*BR66^5 - 0.00000386103271086364*BR66^4 + 0.000214416118986322*BR66^3 - 0.0047271462612021*BR66^2 + 0.156696175741135*BR66 + 15.4598891949502)</f>
        <v/>
      </c>
      <c r="BY66" s="234" t="str">
        <f aca="false">IF(BR66=0,"",$BS$2)</f>
        <v/>
      </c>
      <c r="BZ66" s="234" t="str">
        <f aca="false">IF(BR66=0,"",$BS$3)</f>
        <v/>
      </c>
      <c r="CA66" s="234" t="str">
        <f aca="false">IF(BR66=0,"",$BS$4)</f>
        <v/>
      </c>
      <c r="CB66" s="235" t="str">
        <f aca="false">IF(BR66=0,"",IF(AND(BO66&gt;=0,BO66&lt;4),0.75,IF(AND(BO66&gt;=4,BO66&lt;6),0.85,IF(AND(BO66&gt;=6,BO66&lt;=10),0.95,1))))</f>
        <v/>
      </c>
      <c r="CC66" s="234" t="str">
        <f aca="false">IF(BR66=0,"",BR66*BY66*BZ66*CA66*CB66/60)</f>
        <v/>
      </c>
      <c r="CD66" s="238" t="str">
        <f aca="false">IF(BR66=0,"",IF($S$12="NO","NO",IF($AD$12&lt;=BO66,"SI","NO")))</f>
        <v/>
      </c>
      <c r="CE66" s="235" t="n">
        <f aca="false">IF(BR66=0,0,AB66)</f>
        <v>0</v>
      </c>
      <c r="CF66" s="235" t="n">
        <f aca="false">IF(CE66&gt;0,BO66,0)</f>
        <v>0</v>
      </c>
      <c r="CG66" s="239" t="n">
        <f aca="false">IF(CF66=0,CF66+CG65,CF66)</f>
        <v>0</v>
      </c>
      <c r="CH66" s="239" t="n">
        <f aca="false">IF(CG66=CG65,CH65,ABS(CG66-CG65))</f>
        <v>0</v>
      </c>
      <c r="CI66" s="239" t="n">
        <f aca="false">+CE66*CH66</f>
        <v>0</v>
      </c>
      <c r="CJ66" s="239" t="n">
        <f aca="false">IF(CI66=0,CI66+CJ65,CI66)</f>
        <v>0</v>
      </c>
      <c r="CK66" s="239" t="n">
        <f aca="false">IF(CJ66=CJ65,CK65,ABS(CJ66+CK65))</f>
        <v>0</v>
      </c>
      <c r="CL66" s="241" t="n">
        <f aca="false">IF(CE66=0,0,CK66)</f>
        <v>0</v>
      </c>
      <c r="CM66" s="239" t="n">
        <f aca="false">IF(CE66=0,0,CH66*9.81)</f>
        <v>0</v>
      </c>
      <c r="CN66" s="239" t="n">
        <f aca="false">IF(CM66=0,CM66+CN65,CM66)</f>
        <v>0</v>
      </c>
      <c r="CO66" s="239" t="n">
        <f aca="false">IF(CN66=CN65,CO65,ABS(CN66+CO65))</f>
        <v>0</v>
      </c>
      <c r="CP66" s="241" t="n">
        <f aca="false">IF(CD66="NO",0,IF(CE66=0,0,CO66))</f>
        <v>0</v>
      </c>
      <c r="CQ66" s="244" t="str">
        <f aca="false">IF(BR66=0,"",CL66-CP66)</f>
        <v/>
      </c>
      <c r="CR66" s="244" t="str">
        <f aca="false">IF(BR66=0,"",CQ66/101.3)</f>
        <v/>
      </c>
      <c r="CS66" s="244" t="str">
        <f aca="false">IF(BR66=0,"",LOG(10/CR66))</f>
        <v/>
      </c>
      <c r="CT66" s="243" t="str">
        <f aca="false">IF(BR66=0,"",IF(SQRT(101.3/CQ66)&lt;=1.7,SQRT(101.3/CQ66),2.2/(1.2+(CQ66/101.3))))</f>
        <v/>
      </c>
      <c r="CU66" s="244" t="str">
        <f aca="false">IF(BR66=0,"",1.7/(0.7+CR66))</f>
        <v/>
      </c>
      <c r="CV66" s="244" t="str">
        <f aca="false">IF(BR66=0,"",IF(CR66&gt;=0.25,0.77*LOG(20/CR66),""))</f>
        <v/>
      </c>
      <c r="CW66" s="244" t="str">
        <f aca="false">IF(BR66=0,"",32.5/(10.2+20.3*CR66))</f>
        <v/>
      </c>
      <c r="CX66" s="244" t="str">
        <f aca="false">IF(BR66=0,"",1-1.25*LOG(CR66))</f>
        <v/>
      </c>
      <c r="CY66" s="244" t="str">
        <f aca="false">IF(BR66=0,"",IF(CR66&lt;1,1-1.41*LOG(CR66),1+0.92*LOG(CR66)))</f>
        <v/>
      </c>
      <c r="CZ66" s="244" t="str">
        <f aca="false">IF(BR66=0,"",2/(1+CR66))</f>
        <v/>
      </c>
      <c r="DA66" s="244" t="str">
        <f aca="false">IF(BR66=0,"",IF(CR66&lt;=0.75,4/(1+4*CR66),4/(3.25+CR66)))</f>
        <v/>
      </c>
      <c r="DB66" s="244" t="str">
        <f aca="false">IF(BR66=0,"",CT66)</f>
        <v/>
      </c>
      <c r="DC66" s="244" t="str">
        <f aca="false">IF(BR66=0,"",DB66*CC66)</f>
        <v/>
      </c>
      <c r="DD66" s="244"/>
      <c r="DE66" s="244" t="str">
        <f aca="false">IF(BR66=0,"",0.193*(CC66/(CQ66*0.001))^0.689)</f>
        <v/>
      </c>
      <c r="DF66" s="244" t="str">
        <f aca="false">IF(BR66=0,"",IF(AS66=$AX$4,(0.1348118*CC66 - 0.0383065)*98.0665,""))</f>
        <v/>
      </c>
      <c r="DG66" s="244" t="str">
        <f aca="false">IF(BR66=0,"",IF(AS66=$AX$4,DF66/2,""))</f>
        <v/>
      </c>
      <c r="DH66" s="244" t="str">
        <f aca="false">IF(BR66=0,"",IF(DC66&lt;=15,12*(DC66+6),40+12*(DC66-6)))</f>
        <v/>
      </c>
      <c r="DI66" s="244" t="str">
        <f aca="false">IF(BR66=0,"",IF(CD66="SI",5*(DC66+15),((3.3*(DC66+15))+(4*(DC66+12)))/2))</f>
        <v/>
      </c>
      <c r="DJ66" s="244" t="str">
        <f aca="false">IF(BR66=0,"",8*DC66)</f>
        <v/>
      </c>
      <c r="DK66" s="244" t="str">
        <f aca="false">IF(BR66=0,"",215+(10.6*DC66))</f>
        <v/>
      </c>
      <c r="DL66" s="244" t="str">
        <f aca="false">IF(BR66=0,"",10*(7.5+(0.5*DC66)))</f>
        <v/>
      </c>
      <c r="DM66" s="244" t="str">
        <f aca="false">IF(BR66=0,"",8*DC66)</f>
        <v/>
      </c>
      <c r="DN66" s="244" t="str">
        <f aca="false">IF(AW66=" "," ",IF(DC66=""," ",IF(DC66&lt;4,10*10.2,IF(DC66=4,12*10.2,IF(DC66&lt;10,17.5*10.5,IF(DC66=10,15*10.2,IF(DC66&lt;30,22.5*10.2,IF(DC66=30,35*10.2,IF(DC66&lt;50,40*10.2,IF(DC66=50,50*10.2,55*10.2))))))))))</f>
        <v> </v>
      </c>
      <c r="DO66" s="244" t="str">
        <f aca="false">IF(BR66=0,"",7*SQRT(DC66)*10.1972)</f>
        <v/>
      </c>
      <c r="DP66" s="244" t="str">
        <f aca="false">IF(BR66=0,"",IF(AS66=$AX$4,5*CC66,""))</f>
        <v/>
      </c>
      <c r="DQ66" s="244" t="str">
        <f aca="false">IF(AW66=" "," ",IF(DC66=""," ",IF(DC66&lt;2,4*10.2,IF(DC66=2,6*10.2,IF(DC66&lt;4,12*10.2,IF(DC66=4,20*10.2,IF(DC66&lt;8,30*10.2,IF(DC66=8,35*10.2,IF(DC66&lt;15,40*10.2,IF(DC66=15,42*10.2,IF(DC66&lt;30,45*10.2,IF(DC66=30,50*10.2,70*10.2))))))))))))</f>
        <v> </v>
      </c>
      <c r="DR66" s="244" t="str">
        <f aca="false">IF(BR66=0,"",IF(AS66=$AX$4,220*DP66*0.0101972,""))</f>
        <v/>
      </c>
      <c r="DS66" s="271" t="str">
        <f aca="false">IF(BR66=0,"",IF(AS66=$AX$7,(SUM(DH66:DO66)-MIN(DH66:DO66)-MAX(DH66:DO66))/6,(SUM(DO66:DR66)-MIN(DO66:DR66)-MAX(DO66:DR66))/2))</f>
        <v/>
      </c>
      <c r="DT66" s="244" t="str">
        <f aca="false">IF(AW66=" "," ",IF(DC66=""," ",IF(DC66&lt;4,0.2,IF(DC66=4,0.27,IF(DC66&lt;10,0.33,IF(DC66=10,0.35,IF(DC66&lt;30,0.36,IF(DC66=30,0.37,IF(DC66&lt;50,0.38,IF(DC66=50,0.4,0.45))))))))))</f>
        <v> </v>
      </c>
      <c r="DU66" s="272" t="str">
        <f aca="false">IF(AW66=" "," ",IF(CC66=""," ",IF(CC66&lt;2,0.2,IF(CC66=2,0.23,IF(CC66&lt;4,0.26,IF(CC66=4,0.29,IF(CC66&lt;8,0.32,IF(CC66=8,0.35,IF(CC66&lt;15,0.38,IF(CC66=15,0.41,IF(CC66&lt;30,0.44,IF(CC66=30,0.47,0.5))))))))))))</f>
        <v> </v>
      </c>
      <c r="DV66" s="244" t="str">
        <f aca="false">IF(BR66=0,"",IF(AS66=$AX$3,DT66,DU66))</f>
        <v/>
      </c>
      <c r="DW66" s="244" t="str">
        <f aca="false">IF(BR66=0,"",IF(DC66&gt;15,15+0.5*(DC66-15),DC66))</f>
        <v/>
      </c>
      <c r="DX66" s="244" t="str">
        <f aca="false">IF(BR66=0,"",IF($S$12="SI",IF(CD66="NO",IF($AD$12&gt;(BO66+1.5*$ED$15),1,0.5),0.5),1))</f>
        <v/>
      </c>
      <c r="DY66" s="244" t="str">
        <f aca="false">IF(BR66=0,"",IF($S$12="SI",IF(CD66="NO",IF($AD$12&gt;(BO66+1.5*$EE$15),1,0.5),0.5),1))</f>
        <v/>
      </c>
      <c r="DZ66" s="244" t="str">
        <f aca="false">IF(BR66=0,"",IF($S$12="SI",IF(CD66="NO",IF($AD$12&gt;(BO66+1.5*$EF$15),1,0.5),0.5),1))</f>
        <v/>
      </c>
      <c r="EA66" s="244" t="str">
        <f aca="false">IF(BR66=0,"",IF($S$12="SI",IF(CD66="NO",IF($AD$12&gt;(BO66+1.5*$ED$15),1,0.5),IF($AD$12=BO66,1,0.5)),1))</f>
        <v/>
      </c>
      <c r="EB66" s="244" t="str">
        <f aca="false">IF(BR66=0,"",IF($S$12="SI",IF(CD66="NO",IF($AD$12&gt;(BO66+1.5*$EE$15),1,0.5),IF($AD$12=BO66,1,0.5)),1))</f>
        <v/>
      </c>
      <c r="EC66" s="244" t="str">
        <f aca="false">IF(BR66=0,"",IF($S$12="SI",IF(CD66="NO",IF($AD$12&gt;(BO66+1.5*$EF$15),1,0.5),IF($AD$12=BO66,1,0.5)),1))</f>
        <v/>
      </c>
      <c r="ED66" s="244" t="str">
        <f aca="false">IF(BR66=0,"",(DW66*($ED$15/10)*(DX66+EA66*(BO66/$ED$15))*1)/3)</f>
        <v/>
      </c>
      <c r="EE66" s="244" t="str">
        <f aca="false">IF(BR66=0,"",(DW66*($EE$15/10)*(DY66+EB66*(BO66/$EE$15))*1)/3)</f>
        <v/>
      </c>
      <c r="EF66" s="244" t="str">
        <f aca="false">IF(BR66=0,"",(DW66*($EF$15/10)*(DZ66+EC66*(BO66/$EF$15))*1)/3)</f>
        <v/>
      </c>
      <c r="EG66" s="273" t="str">
        <f aca="false">IF(BR66=0,"",IF(CD66="SI",0.5,1))</f>
        <v/>
      </c>
      <c r="EH66" s="244" t="str">
        <f aca="false">IF(BR66=0,"",IF((1+0.33*(BO66/$ED$15))&lt;=1.33,(1+0.33*(BO66/$ED$15)),1.33))</f>
        <v/>
      </c>
      <c r="EI66" s="244" t="str">
        <f aca="false">IF(BR66=0,"",IF((1+0.33*(BO66/$EE$15))&lt;=1.33,(1+0.33*(BO66/$EE$15)),1.33))</f>
        <v/>
      </c>
      <c r="EJ66" s="244" t="str">
        <f aca="false">IF(BR66=0,"",IF((1+0.33*(BO66/$EF$15))&lt;=1.33,(1+0.33*(BO66/$EF$15)),1.33))</f>
        <v/>
      </c>
      <c r="EK66" s="244" t="str">
        <f aca="false">IF(BR66=0,"",IF($ED$15&lt;=1.2,((20*DC66*EG66*EH66)/3)*0.010197,((12.5*DC66*((($ED$15+0.3)^2)/$ED$15)*EG66*EH66)/3)*0.010197))</f>
        <v/>
      </c>
      <c r="EL66" s="244" t="str">
        <f aca="false">IF(BR66=0,"",IF($EE$15&lt;=1.2,((20*DC66*EG66*EI66)/3)*0.010197,((12.5*DC66*((($EE$15+0.3)^2)/$EE$15)*EG66*EI66)/3)*0.010197))</f>
        <v/>
      </c>
      <c r="EM66" s="244" t="str">
        <f aca="false">IF(BR66=0,"",IF($EF$15&lt;=1.2,((20*DC66*EG66*EJ66)/3)*0.010197,((12.5*DC66*((($EF$15+0.3)^2)/$EF$15)*EG66*EJ66)/3)*0.010197))</f>
        <v/>
      </c>
      <c r="EN66" s="248" t="str">
        <f aca="false">IF(BR66=0,"",SQRT(12*CC66)+25)</f>
        <v/>
      </c>
      <c r="EO66" s="248" t="str">
        <f aca="false">IF(BR66=0,"",28.5+0.25*CC66)</f>
        <v/>
      </c>
      <c r="EP66" s="248" t="str">
        <f aca="false">IF(BR66=0,"",SQRT(20*CC66)+15)</f>
        <v/>
      </c>
      <c r="EQ66" s="248" t="str">
        <f aca="false">IF(BR66=0,"",23.7+0.57*CC66-0.0006*CC66*CC66)</f>
        <v/>
      </c>
      <c r="ER66" s="248" t="str">
        <f aca="false">IF(BR66=0,"",15+SQRT(12.5*DC66))</f>
        <v/>
      </c>
      <c r="ES66" s="248" t="str">
        <f aca="false">IF(BR66=0,"",3.5*SQRT(CC66)+20)</f>
        <v/>
      </c>
      <c r="ET66" s="248" t="str">
        <f aca="false">IF(BR66=0,"",27.1+0.3*DC66-0.00054*DC66*DC66)</f>
        <v/>
      </c>
      <c r="EU66" s="248" t="str">
        <f aca="false">IF(BR66=0,"",SQRT(20*CC66)+20)</f>
        <v/>
      </c>
      <c r="EV66" s="248" t="str">
        <f aca="false">IF(BR66=0,"",12.79+SQRT(25.86*CC66))</f>
        <v/>
      </c>
      <c r="EW66" s="248" t="str">
        <f aca="false">IF(BR66=0,"",DEGREES(_xlfn.ACOT((CC66/(12.2+20.3*CR66))^0.34)))</f>
        <v/>
      </c>
      <c r="EX66" s="248" t="str">
        <f aca="false">IF(BR66=0,"",24+(5.77*LN(0.17*DC66)))</f>
        <v/>
      </c>
      <c r="EY66" s="248" t="str">
        <f aca="false">IF(BR66=0,"",(SUM(EN66:EX66)-MIN(EN66:EX66)-MAX(EN66:EX66))/9)</f>
        <v/>
      </c>
      <c r="EZ66" s="248" t="str">
        <f aca="false">IF(BR66=0,"", -0.0000000034*CC66^6 + 0.0000008305*CC66^5 - 0.0000741842*CC66^4 + 0.0030204278*CC66^3 - 0.0541594733*CC66^2 + 0.8083147848*CC66 - 0.6182191243)</f>
        <v/>
      </c>
      <c r="FA66" s="249" t="str">
        <f aca="false">IF(BR66=0,"",(0.134811827956989*CC66 - 0.0383064516129019)/2)</f>
        <v/>
      </c>
      <c r="FB66" s="249" t="str">
        <f aca="false">IF(BR66=0,"",CC66*0.065)</f>
        <v/>
      </c>
      <c r="FC66" s="249" t="str">
        <f aca="false">IF(BR66=0,"",(CC66*0.12*0.48)*SQRT((1+SIN(EZ66*((2*PI())/360))/(1-SIN(EZ66*((2*PI())/360))))))</f>
        <v/>
      </c>
      <c r="FD66" s="249" t="str">
        <f aca="false">IF(BR66=0,"",(CC66/8)/2)</f>
        <v/>
      </c>
      <c r="FE66" s="249" t="str">
        <f aca="false">IF(BR66=0,"",(SUM(FA66:FD66)-MIN(FA66:FD66)-MAX(FA66:FD66))/2)</f>
        <v/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</row>
    <row r="67" customFormat="false" ht="9.75" hidden="false" customHeight="true" outlineLevel="0" collapsed="false">
      <c r="A67" s="197" t="n">
        <f aca="false">ROUND(A66+0.1,1)</f>
        <v>5</v>
      </c>
      <c r="B67" s="281" t="n">
        <f aca="false">+A67</f>
        <v>5</v>
      </c>
      <c r="C67" s="172"/>
      <c r="D67" s="282"/>
      <c r="E67" s="252"/>
      <c r="F67" s="253"/>
      <c r="G67" s="254"/>
      <c r="H67" s="284"/>
      <c r="I67" s="285"/>
      <c r="J67" s="257"/>
      <c r="K67" s="258"/>
      <c r="L67" s="259"/>
      <c r="M67" s="276"/>
      <c r="N67" s="277"/>
      <c r="O67" s="277"/>
      <c r="P67" s="277"/>
      <c r="Q67" s="293"/>
      <c r="R67" s="294"/>
      <c r="S67" s="294"/>
      <c r="T67" s="295"/>
      <c r="U67" s="295"/>
      <c r="V67" s="296"/>
      <c r="W67" s="296"/>
      <c r="X67" s="296"/>
      <c r="Y67" s="296"/>
      <c r="Z67" s="296"/>
      <c r="AA67" s="296"/>
      <c r="AB67" s="297"/>
      <c r="AC67" s="298"/>
      <c r="AD67" s="299"/>
      <c r="AE67" s="298"/>
      <c r="AF67" s="300"/>
      <c r="AG67" s="267"/>
      <c r="AH67" s="267"/>
      <c r="AI67" s="241"/>
      <c r="AJ67" s="241"/>
      <c r="AK67" s="266"/>
      <c r="AL67" s="266"/>
      <c r="AM67" s="268"/>
      <c r="AN67" s="281" t="n">
        <f aca="false">+AN65+0.2</f>
        <v>5</v>
      </c>
      <c r="AO67" s="172"/>
      <c r="AP67" s="282"/>
      <c r="AQ67" s="252"/>
      <c r="AR67" s="253"/>
      <c r="AS67" s="269" t="s">
        <v>13</v>
      </c>
      <c r="AT67" s="221"/>
      <c r="AU67" s="269"/>
      <c r="AV67" s="269"/>
      <c r="AW67" s="270" t="n">
        <f aca="false">+K67+L67</f>
        <v>0</v>
      </c>
      <c r="AX67" s="270" t="str">
        <f aca="false">IF(AS67="&gt;50","CONSISTENCIA",IF(AS67="&lt;50","COMPACIDAD"," "))</f>
        <v>COMPACIDAD</v>
      </c>
      <c r="AY67" s="225" t="str">
        <f aca="false">IF(AS67="&gt;50",AZ67,IF(AS67="&lt;50",BA67," "))</f>
        <v> </v>
      </c>
      <c r="AZ67" s="224" t="str">
        <f aca="false">IF(AW67=" "," ",IF(CC67=""," ",IF(CC67&lt;2,"MUY BLANDA",IF(CC67=2,"MUY BLANDA A BLANDA",IF(CC67&lt;4,"BLANDA",IF(CC67=4,"BLANDA A MEDIA",IF(CC67&lt;8,"MEDIA",IF(CC67=8,"MEDIA A FIRME",IF(CC67&lt;15,"FIRME",IF(CC67=15,"FIRME A MUY FIRME",IF(CC67&lt;30,"MUY FIRME",IF(CC67=30,"MUY FIRME A DURA","DURA"))))))))))))</f>
        <v> </v>
      </c>
      <c r="BA67" s="225" t="str">
        <f aca="false">IF(AW67=" "," ",IF(DC67=""," ",IF(DC67&lt;4,"MUY SUELTA",IF(DC67=4,"MUY SUELTA A SUELTA",IF(DC67&lt;10,"SUELTA",IF(DC67=10,"SUELTA A MEDIA",IF(DC67&lt;30,"MEDIA",IF(DC67=30,"MEDIA A DENSO",IF(DC67&lt;50,"DENSO",IF(DC67=50,"DENSO MUY DENSO","MUY DENSO"))))))))))</f>
        <v> </v>
      </c>
      <c r="BB67" s="190" t="str">
        <f aca="false">IF(BR68=0,"",CQ68*0.0101972)</f>
        <v/>
      </c>
      <c r="BC67" s="227" t="n">
        <f aca="false">+BC66+0.1</f>
        <v>5</v>
      </c>
      <c r="BD67" s="227" t="str">
        <f aca="false">IF(BC67&lt;=$AN$10,BC67,"")</f>
        <v/>
      </c>
      <c r="BE67" s="228" t="n">
        <f aca="false">ISNUMBER(BD67)</f>
        <v>0</v>
      </c>
      <c r="BF67" s="229" t="str">
        <f aca="false">MID(M67,1,1)</f>
        <v/>
      </c>
      <c r="BG67" s="230" t="str">
        <f aca="false">IF(BF67="S","",IF(BF67="G","",MID(M67,2,1)))</f>
        <v/>
      </c>
      <c r="BH67" s="231" t="str">
        <f aca="false">CONCATENATE(BF67,BG67)</f>
        <v/>
      </c>
      <c r="BI67" s="6" t="str">
        <f aca="false">IF(BE67=FALSE(),"",IF(BH67="",BI66,BH67))</f>
        <v/>
      </c>
      <c r="BJ67" s="74" t="str">
        <f aca="false">IF(OR(BI67="S",BI67="G"),BI67,"X")</f>
        <v>X</v>
      </c>
      <c r="BK67" s="74" t="s">
        <v>227</v>
      </c>
      <c r="BL67" s="303" t="e">
        <f aca="false">INDEX(sim_0,MATCH($BJ$67,granular,0))</f>
        <v>#NAME?</v>
      </c>
      <c r="BM67" s="303"/>
      <c r="BN67" s="6"/>
      <c r="BO67" s="191" t="n">
        <f aca="false">BO66+0.1</f>
        <v>5</v>
      </c>
      <c r="BP67" s="233" t="e">
        <f aca="false">IF(AW67=0,NA(),IF(AS67=$AX$3,ROUND(DC67,0),NA()))</f>
        <v>#N/A</v>
      </c>
      <c r="BQ67" s="31" t="e">
        <f aca="false">IF(AW67=0,NA(),IF(AS67=$AX$4,ROUND(CC67,0),NA()))</f>
        <v>#N/A</v>
      </c>
      <c r="BR67" s="234" t="n">
        <f aca="false">+AW67</f>
        <v>0</v>
      </c>
      <c r="BS67" s="235" t="str">
        <f aca="false">IF(BR67=0,"", -0.00000000016128755327*CC67^6 + 0.00000006709386362421*CC67^5 - 0.0000106217678052217*CC67^4 + 0.00081068114193385*CC67^3 - 0.0314027378159951*CC67^2 + 0.649796593937842*CC67 + 13.7888866455022)</f>
        <v/>
      </c>
      <c r="BT67" s="235" t="str">
        <f aca="false">IF(BR67=0,"",-0.00000000014625939695*CC67^6 + 0.00000004971732060241*CC67^5 - 0.000006683744342031*CC67^4 + 0.0004563177378098*CC67^3 - 0.0171727530635803*CC67^2 + 0.444529932876435*CC67 + 15.6692518940565)</f>
        <v/>
      </c>
      <c r="BU67" s="236" t="str">
        <f aca="false">IF(BR67=0,"", -0.0000000008152265738*BR67^6 + 0.00000022764320256987*BR67^5 - 0.0000248205675927705*BR67^4 + 0.00133186623684865*BR67^3 - 0.0368442570441677*BR67^2 + 0.580111565569094*BR67 + 14.0417598296107)</f>
        <v/>
      </c>
      <c r="BV67" s="236" t="str">
        <f aca="false">IF(BR67=0,"", -0.00000000004321395721*BR67^6 + 0.00000002531844275498*BR67^5 - 0.00000369428022780862*BR67^4 + 0.00020283665900125*BR67^3 - 0.00462426256803268*BR67^2 + 0.139572935065453*BR67 + 15.4475338156923)</f>
        <v/>
      </c>
      <c r="BW67" s="236" t="str">
        <f aca="false">IF(BR67=0,"",-0.00000000033126390082*BR67^6 + 0.00000010463660614506*BR67^5 - 0.0000129629592998707*BR67^4 + 0.000803946335250767*BR67^3 - 0.0270257140395994*BR67^2 + 0.562590210721552*BR67+ 12.1254107606419)</f>
        <v/>
      </c>
      <c r="BX67" s="236" t="str">
        <f aca="false">IF(BR67=0,"",-0.00000000002593504955*BR67^6 + 0.00000002430495156704*BR67^5 - 0.00000386103271086364*BR67^4 + 0.000214416118986322*BR67^3 - 0.0047271462612021*BR67^2 + 0.156696175741135*BR67 + 15.4598891949502)</f>
        <v/>
      </c>
      <c r="BY67" s="234" t="str">
        <f aca="false">IF(BR67=0,"",$BS$2)</f>
        <v/>
      </c>
      <c r="BZ67" s="234" t="str">
        <f aca="false">IF(BR67=0,"",$BS$3)</f>
        <v/>
      </c>
      <c r="CA67" s="234" t="str">
        <f aca="false">IF(BR67=0,"",$BS$4)</f>
        <v/>
      </c>
      <c r="CB67" s="235" t="str">
        <f aca="false">IF(BR67=0,"",IF(AND(BO67&gt;=0,BO67&lt;4),0.75,IF(AND(BO67&gt;=4,BO67&lt;6),0.85,IF(AND(BO67&gt;=6,BO67&lt;=10),0.95,1))))</f>
        <v/>
      </c>
      <c r="CC67" s="234" t="str">
        <f aca="false">IF(BR67=0,"",BR67*BY67*BZ67*CA67*CB67/60)</f>
        <v/>
      </c>
      <c r="CD67" s="238" t="str">
        <f aca="false">IF(BR67=0,"",IF($S$12="NO","NO",IF($AD$12&lt;=BO67,"SI","NO")))</f>
        <v/>
      </c>
      <c r="CE67" s="235" t="n">
        <f aca="false">IF(BR67=0,0,AB67)</f>
        <v>0</v>
      </c>
      <c r="CF67" s="235" t="n">
        <f aca="false">IF(CE67&gt;0,BO67,0)</f>
        <v>0</v>
      </c>
      <c r="CG67" s="239" t="n">
        <f aca="false">IF(CF67=0,CF67+CG66,CF67)</f>
        <v>0</v>
      </c>
      <c r="CH67" s="239" t="n">
        <f aca="false">IF(CG67=CG66,CH66,ABS(CG67-CG66))</f>
        <v>0</v>
      </c>
      <c r="CI67" s="239" t="n">
        <f aca="false">+CE67*CH67</f>
        <v>0</v>
      </c>
      <c r="CJ67" s="239" t="n">
        <f aca="false">IF(CI67=0,CI67+CJ66,CI67)</f>
        <v>0</v>
      </c>
      <c r="CK67" s="239" t="n">
        <f aca="false">IF(CJ67=CJ66,CK66,ABS(CJ67+CK66))</f>
        <v>0</v>
      </c>
      <c r="CL67" s="241" t="n">
        <f aca="false">IF(CE67=0,0,CK67)</f>
        <v>0</v>
      </c>
      <c r="CM67" s="239" t="n">
        <f aca="false">IF(CE67=0,0,CH67*9.81)</f>
        <v>0</v>
      </c>
      <c r="CN67" s="239" t="n">
        <f aca="false">IF(CM67=0,CM67+CN66,CM67)</f>
        <v>0</v>
      </c>
      <c r="CO67" s="239" t="n">
        <f aca="false">IF(CN67=CN66,CO66,ABS(CN67+CO66))</f>
        <v>0</v>
      </c>
      <c r="CP67" s="241" t="n">
        <f aca="false">IF(CD67="NO",0,IF(CE67=0,0,CO67))</f>
        <v>0</v>
      </c>
      <c r="CQ67" s="244" t="str">
        <f aca="false">IF(BR67=0,"",CL67-CP67)</f>
        <v/>
      </c>
      <c r="CR67" s="244" t="str">
        <f aca="false">IF(BR67=0,"",CQ67/101.3)</f>
        <v/>
      </c>
      <c r="CS67" s="244" t="str">
        <f aca="false">IF(BR67=0,"",LOG(10/CR67))</f>
        <v/>
      </c>
      <c r="CT67" s="243" t="str">
        <f aca="false">IF(BR67=0,"",IF(SQRT(101.3/CQ67)&lt;=1.7,SQRT(101.3/CQ67),2.2/(1.2+(CQ67/101.3))))</f>
        <v/>
      </c>
      <c r="CU67" s="244" t="str">
        <f aca="false">IF(BR67=0,"",1.7/(0.7+CR67))</f>
        <v/>
      </c>
      <c r="CV67" s="244" t="str">
        <f aca="false">IF(BR67=0,"",IF(CR67&gt;=0.25,0.77*LOG(20/CR67),""))</f>
        <v/>
      </c>
      <c r="CW67" s="244" t="str">
        <f aca="false">IF(BR67=0,"",32.5/(10.2+20.3*CR67))</f>
        <v/>
      </c>
      <c r="CX67" s="244" t="str">
        <f aca="false">IF(BR67=0,"",1-1.25*LOG(CR67))</f>
        <v/>
      </c>
      <c r="CY67" s="244" t="str">
        <f aca="false">IF(BR67=0,"",IF(CR67&lt;1,1-1.41*LOG(CR67),1+0.92*LOG(CR67)))</f>
        <v/>
      </c>
      <c r="CZ67" s="244" t="str">
        <f aca="false">IF(BR67=0,"",2/(1+CR67))</f>
        <v/>
      </c>
      <c r="DA67" s="244" t="str">
        <f aca="false">IF(BR67=0,"",IF(CR67&lt;=0.75,4/(1+4*CR67),4/(3.25+CR67)))</f>
        <v/>
      </c>
      <c r="DB67" s="244" t="str">
        <f aca="false">IF(BR67=0,"",CT67)</f>
        <v/>
      </c>
      <c r="DC67" s="244" t="str">
        <f aca="false">IF(BR67=0,"",DB67*CC67)</f>
        <v/>
      </c>
      <c r="DD67" s="244"/>
      <c r="DE67" s="244" t="str">
        <f aca="false">IF(BR67=0,"",0.193*(CC67/(CQ67*0.001))^0.689)</f>
        <v/>
      </c>
      <c r="DF67" s="244" t="str">
        <f aca="false">IF(BR67=0,"",IF(AS67=$AX$4,(0.1348118*CC67 - 0.0383065)*98.0665,""))</f>
        <v/>
      </c>
      <c r="DG67" s="244" t="str">
        <f aca="false">IF(BR67=0,"",IF(AS67=$AX$4,DF67/2,""))</f>
        <v/>
      </c>
      <c r="DH67" s="244" t="str">
        <f aca="false">IF(BR67=0,"",IF(DC67&lt;=15,12*(DC67+6),40+12*(DC67-6)))</f>
        <v/>
      </c>
      <c r="DI67" s="244" t="str">
        <f aca="false">IF(BR67=0,"",IF(CD67="SI",5*(DC67+15),((3.3*(DC67+15))+(4*(DC67+12)))/2))</f>
        <v/>
      </c>
      <c r="DJ67" s="244" t="str">
        <f aca="false">IF(BR67=0,"",8*DC67)</f>
        <v/>
      </c>
      <c r="DK67" s="244" t="str">
        <f aca="false">IF(BR67=0,"",215+(10.6*DC67))</f>
        <v/>
      </c>
      <c r="DL67" s="244" t="str">
        <f aca="false">IF(BR67=0,"",10*(7.5+(0.5*DC67)))</f>
        <v/>
      </c>
      <c r="DM67" s="244" t="str">
        <f aca="false">IF(BR67=0,"",8*DC67)</f>
        <v/>
      </c>
      <c r="DN67" s="244" t="str">
        <f aca="false">IF(AW67=" "," ",IF(DC67=""," ",IF(DC67&lt;4,10*10.2,IF(DC67=4,12*10.2,IF(DC67&lt;10,17.5*10.5,IF(DC67=10,15*10.2,IF(DC67&lt;30,22.5*10.2,IF(DC67=30,35*10.2,IF(DC67&lt;50,40*10.2,IF(DC67=50,50*10.2,55*10.2))))))))))</f>
        <v> </v>
      </c>
      <c r="DO67" s="244" t="str">
        <f aca="false">IF(BR67=0,"",7*SQRT(DC67)*10.1972)</f>
        <v/>
      </c>
      <c r="DP67" s="244" t="str">
        <f aca="false">IF(BR67=0,"",IF(AS67=$AX$4,5*CC67,""))</f>
        <v/>
      </c>
      <c r="DQ67" s="244" t="str">
        <f aca="false">IF(AW67=" "," ",IF(DC67=""," ",IF(DC67&lt;2,4*10.2,IF(DC67=2,6*10.2,IF(DC67&lt;4,12*10.2,IF(DC67=4,20*10.2,IF(DC67&lt;8,30*10.2,IF(DC67=8,35*10.2,IF(DC67&lt;15,40*10.2,IF(DC67=15,42*10.2,IF(DC67&lt;30,45*10.2,IF(DC67=30,50*10.2,70*10.2))))))))))))</f>
        <v> </v>
      </c>
      <c r="DR67" s="244" t="str">
        <f aca="false">IF(BR67=0,"",IF(AS67=$AX$4,220*DP67*0.0101972,""))</f>
        <v/>
      </c>
      <c r="DS67" s="271" t="str">
        <f aca="false">IF(BR67=0,"",IF(AS67=$AX$7,(SUM(DH67:DO67)-MIN(DH67:DO67)-MAX(DH67:DO67))/6,(SUM(DO67:DR67)-MIN(DO67:DR67)-MAX(DO67:DR67))/2))</f>
        <v/>
      </c>
      <c r="DT67" s="244" t="str">
        <f aca="false">IF(AW67=" "," ",IF(DC67=""," ",IF(DC67&lt;4,0.2,IF(DC67=4,0.27,IF(DC67&lt;10,0.33,IF(DC67=10,0.35,IF(DC67&lt;30,0.36,IF(DC67=30,0.37,IF(DC67&lt;50,0.38,IF(DC67=50,0.4,0.45))))))))))</f>
        <v> </v>
      </c>
      <c r="DU67" s="272" t="str">
        <f aca="false">IF(AW67=" "," ",IF(CC67=""," ",IF(CC67&lt;2,0.2,IF(CC67=2,0.23,IF(CC67&lt;4,0.26,IF(CC67=4,0.29,IF(CC67&lt;8,0.32,IF(CC67=8,0.35,IF(CC67&lt;15,0.38,IF(CC67=15,0.41,IF(CC67&lt;30,0.44,IF(CC67=30,0.47,0.5))))))))))))</f>
        <v> </v>
      </c>
      <c r="DV67" s="244" t="str">
        <f aca="false">IF(BR67=0,"",IF(AS67=$AX$3,DT67,DU67))</f>
        <v/>
      </c>
      <c r="DW67" s="244" t="str">
        <f aca="false">IF(BR67=0,"",IF(DC67&gt;15,15+0.5*(DC67-15),DC67))</f>
        <v/>
      </c>
      <c r="DX67" s="244" t="str">
        <f aca="false">IF(BR67=0,"",IF($S$12="SI",IF(CD67="NO",IF($AD$12&gt;(BO67+1.5*$ED$15),1,0.5),0.5),1))</f>
        <v/>
      </c>
      <c r="DY67" s="244" t="str">
        <f aca="false">IF(BR67=0,"",IF($S$12="SI",IF(CD67="NO",IF($AD$12&gt;(BO67+1.5*$EE$15),1,0.5),0.5),1))</f>
        <v/>
      </c>
      <c r="DZ67" s="244" t="str">
        <f aca="false">IF(BR67=0,"",IF($S$12="SI",IF(CD67="NO",IF($AD$12&gt;(BO67+1.5*$EF$15),1,0.5),0.5),1))</f>
        <v/>
      </c>
      <c r="EA67" s="244" t="str">
        <f aca="false">IF(BR67=0,"",IF($S$12="SI",IF(CD67="NO",IF($AD$12&gt;(BO67+1.5*$ED$15),1,0.5),IF($AD$12=BO67,1,0.5)),1))</f>
        <v/>
      </c>
      <c r="EB67" s="244" t="str">
        <f aca="false">IF(BR67=0,"",IF($S$12="SI",IF(CD67="NO",IF($AD$12&gt;(BO67+1.5*$EE$15),1,0.5),IF($AD$12=BO67,1,0.5)),1))</f>
        <v/>
      </c>
      <c r="EC67" s="244" t="str">
        <f aca="false">IF(BR67=0,"",IF($S$12="SI",IF(CD67="NO",IF($AD$12&gt;(BO67+1.5*$EF$15),1,0.5),IF($AD$12=BO67,1,0.5)),1))</f>
        <v/>
      </c>
      <c r="ED67" s="244" t="str">
        <f aca="false">IF(BR67=0,"",(DW67*($ED$15/10)*(DX67+EA67*(BO67/$ED$15))*1)/3)</f>
        <v/>
      </c>
      <c r="EE67" s="244" t="str">
        <f aca="false">IF(BR67=0,"",(DW67*($EE$15/10)*(DY67+EB67*(BO67/$EE$15))*1)/3)</f>
        <v/>
      </c>
      <c r="EF67" s="244" t="str">
        <f aca="false">IF(BR67=0,"",(DW67*($EF$15/10)*(DZ67+EC67*(BO67/$EF$15))*1)/3)</f>
        <v/>
      </c>
      <c r="EG67" s="273" t="str">
        <f aca="false">IF(BR67=0,"",IF(CD67="SI",0.5,1))</f>
        <v/>
      </c>
      <c r="EH67" s="244" t="str">
        <f aca="false">IF(BR67=0,"",IF((1+0.33*(BO67/$ED$15))&lt;=1.33,(1+0.33*(BO67/$ED$15)),1.33))</f>
        <v/>
      </c>
      <c r="EI67" s="244" t="str">
        <f aca="false">IF(BR67=0,"",IF((1+0.33*(BO67/$EE$15))&lt;=1.33,(1+0.33*(BO67/$EE$15)),1.33))</f>
        <v/>
      </c>
      <c r="EJ67" s="244" t="str">
        <f aca="false">IF(BR67=0,"",IF((1+0.33*(BO67/$EF$15))&lt;=1.33,(1+0.33*(BO67/$EF$15)),1.33))</f>
        <v/>
      </c>
      <c r="EK67" s="244" t="str">
        <f aca="false">IF(BR67=0,"",IF($ED$15&lt;=1.2,((20*DC67*EG67*EH67)/3)*0.010197,((12.5*DC67*((($ED$15+0.3)^2)/$ED$15)*EG67*EH67)/3)*0.010197))</f>
        <v/>
      </c>
      <c r="EL67" s="244" t="str">
        <f aca="false">IF(BR67=0,"",IF($EE$15&lt;=1.2,((20*DC67*EG67*EI67)/3)*0.010197,((12.5*DC67*((($EE$15+0.3)^2)/$EE$15)*EG67*EI67)/3)*0.010197))</f>
        <v/>
      </c>
      <c r="EM67" s="244" t="str">
        <f aca="false">IF(BR67=0,"",IF($EF$15&lt;=1.2,((20*DC67*EG67*EJ67)/3)*0.010197,((12.5*DC67*((($EF$15+0.3)^2)/$EF$15)*EG67*EJ67)/3)*0.010197))</f>
        <v/>
      </c>
      <c r="EN67" s="248" t="str">
        <f aca="false">IF(BR67=0,"",SQRT(12*CC67)+25)</f>
        <v/>
      </c>
      <c r="EO67" s="248" t="str">
        <f aca="false">IF(BR67=0,"",28.5+0.25*CC67)</f>
        <v/>
      </c>
      <c r="EP67" s="248" t="str">
        <f aca="false">IF(BR67=0,"",SQRT(20*CC67)+15)</f>
        <v/>
      </c>
      <c r="EQ67" s="248" t="str">
        <f aca="false">IF(BR67=0,"",23.7+0.57*CC67-0.0006*CC67*CC67)</f>
        <v/>
      </c>
      <c r="ER67" s="248" t="str">
        <f aca="false">IF(BR67=0,"",15+SQRT(12.5*DC67))</f>
        <v/>
      </c>
      <c r="ES67" s="248" t="str">
        <f aca="false">IF(BR67=0,"",3.5*SQRT(CC67)+20)</f>
        <v/>
      </c>
      <c r="ET67" s="248" t="str">
        <f aca="false">IF(BR67=0,"",27.1+0.3*DC67-0.00054*DC67*DC67)</f>
        <v/>
      </c>
      <c r="EU67" s="248" t="str">
        <f aca="false">IF(BR67=0,"",SQRT(20*CC67)+20)</f>
        <v/>
      </c>
      <c r="EV67" s="248" t="str">
        <f aca="false">IF(BR67=0,"",12.79+SQRT(25.86*CC67))</f>
        <v/>
      </c>
      <c r="EW67" s="248" t="str">
        <f aca="false">IF(BR67=0,"",DEGREES(_xlfn.ACOT((CC67/(12.2+20.3*CR67))^0.34)))</f>
        <v/>
      </c>
      <c r="EX67" s="248" t="str">
        <f aca="false">IF(BR67=0,"",24+(5.77*LN(0.17*DC67)))</f>
        <v/>
      </c>
      <c r="EY67" s="248" t="str">
        <f aca="false">IF(BR67=0,"",(SUM(EN67:EX67)-MIN(EN67:EX67)-MAX(EN67:EX67))/9)</f>
        <v/>
      </c>
      <c r="EZ67" s="248" t="str">
        <f aca="false">IF(BR67=0,"", -0.0000000034*CC67^6 + 0.0000008305*CC67^5 - 0.0000741842*CC67^4 + 0.0030204278*CC67^3 - 0.0541594733*CC67^2 + 0.8083147848*CC67 - 0.6182191243)</f>
        <v/>
      </c>
      <c r="FA67" s="249" t="str">
        <f aca="false">IF(BR67=0,"",(0.134811827956989*CC67 - 0.0383064516129019)/2)</f>
        <v/>
      </c>
      <c r="FB67" s="249" t="str">
        <f aca="false">IF(BR67=0,"",CC67*0.065)</f>
        <v/>
      </c>
      <c r="FC67" s="249" t="str">
        <f aca="false">IF(BR67=0,"",(CC67*0.12*0.48)*SQRT((1+SIN(EZ67*((2*PI())/360))/(1-SIN(EZ67*((2*PI())/360))))))</f>
        <v/>
      </c>
      <c r="FD67" s="249" t="str">
        <f aca="false">IF(BR67=0,"",(CC67/8)/2)</f>
        <v/>
      </c>
      <c r="FE67" s="249" t="str">
        <f aca="false">IF(BR67=0,"",(SUM(FA67:FD67)-MIN(FA67:FD67)-MAX(FA67:FD67))/2)</f>
        <v/>
      </c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</row>
    <row r="68" customFormat="false" ht="9.75" hidden="false" customHeight="true" outlineLevel="0" collapsed="false">
      <c r="A68" s="197" t="n">
        <f aca="false">ROUND(A67+0.1,1)</f>
        <v>5.1</v>
      </c>
      <c r="B68" s="281"/>
      <c r="C68" s="251"/>
      <c r="D68" s="283"/>
      <c r="E68" s="199"/>
      <c r="F68" s="200"/>
      <c r="G68" s="254"/>
      <c r="H68" s="255"/>
      <c r="I68" s="256"/>
      <c r="J68" s="257"/>
      <c r="K68" s="258"/>
      <c r="L68" s="259"/>
      <c r="M68" s="276"/>
      <c r="N68" s="277"/>
      <c r="O68" s="277"/>
      <c r="P68" s="277"/>
      <c r="Q68" s="293"/>
      <c r="R68" s="304"/>
      <c r="S68" s="305"/>
      <c r="T68" s="295"/>
      <c r="U68" s="295"/>
      <c r="V68" s="296"/>
      <c r="W68" s="296"/>
      <c r="X68" s="296"/>
      <c r="Y68" s="296"/>
      <c r="Z68" s="296"/>
      <c r="AA68" s="296"/>
      <c r="AB68" s="297"/>
      <c r="AC68" s="298"/>
      <c r="AD68" s="299"/>
      <c r="AE68" s="298"/>
      <c r="AF68" s="300"/>
      <c r="AG68" s="267"/>
      <c r="AH68" s="267"/>
      <c r="AI68" s="241"/>
      <c r="AJ68" s="241"/>
      <c r="AK68" s="266"/>
      <c r="AL68" s="266"/>
      <c r="AM68" s="268"/>
      <c r="AN68" s="281"/>
      <c r="AO68" s="251"/>
      <c r="AP68" s="283"/>
      <c r="AQ68" s="199"/>
      <c r="AR68" s="200"/>
      <c r="AS68" s="269" t="s">
        <v>13</v>
      </c>
      <c r="AT68" s="221"/>
      <c r="AU68" s="269"/>
      <c r="AV68" s="269"/>
      <c r="AW68" s="270" t="n">
        <f aca="false">+K68+L68</f>
        <v>0</v>
      </c>
      <c r="AX68" s="270" t="str">
        <f aca="false">IF(AS68="&gt;50","CONSISTENCIA",IF(AS68="&lt;50","COMPACIDAD"," "))</f>
        <v>COMPACIDAD</v>
      </c>
      <c r="AY68" s="225" t="str">
        <f aca="false">IF(AS68="&gt;50",AZ68,IF(AS68="&lt;50",BA68," "))</f>
        <v> </v>
      </c>
      <c r="AZ68" s="224" t="str">
        <f aca="false">IF(AW68=" "," ",IF(CC68=""," ",IF(CC68&lt;2,"MUY BLANDA",IF(CC68=2,"MUY BLANDA A BLANDA",IF(CC68&lt;4,"BLANDA",IF(CC68=4,"BLANDA A MEDIA",IF(CC68&lt;8,"MEDIA",IF(CC68=8,"MEDIA A FIRME",IF(CC68&lt;15,"FIRME",IF(CC68=15,"FIRME A MUY FIRME",IF(CC68&lt;30,"MUY FIRME",IF(CC68=30,"MUY FIRME A DURA","DURA"))))))))))))</f>
        <v> </v>
      </c>
      <c r="BA68" s="225" t="str">
        <f aca="false">IF(AW68=" "," ",IF(DC68=""," ",IF(DC68&lt;4,"MUY SUELTA",IF(DC68=4,"MUY SUELTA A SUELTA",IF(DC68&lt;10,"SUELTA",IF(DC68=10,"SUELTA A MEDIA",IF(DC68&lt;30,"MEDIA",IF(DC68=30,"MEDIA A DENSO",IF(DC68&lt;50,"DENSO",IF(DC68=50,"DENSO MUY DENSO","MUY DENSO"))))))))))</f>
        <v> </v>
      </c>
      <c r="BB68" s="226" t="str">
        <f aca="false">IF(BR69=0,"",CQ69*0.0101972)</f>
        <v/>
      </c>
      <c r="BC68" s="227" t="n">
        <f aca="false">+BC67+0.1</f>
        <v>5.1</v>
      </c>
      <c r="BD68" s="227" t="str">
        <f aca="false">IF(BC68&lt;=$AN$10,BC68,"")</f>
        <v/>
      </c>
      <c r="BE68" s="228" t="n">
        <f aca="false">ISNUMBER(BD68)</f>
        <v>0</v>
      </c>
      <c r="BF68" s="229" t="str">
        <f aca="false">MID(M68,1,1)</f>
        <v/>
      </c>
      <c r="BG68" s="230" t="str">
        <f aca="false">IF(BF68="S","",IF(BF68="G","",MID(M68,2,1)))</f>
        <v/>
      </c>
      <c r="BH68" s="231" t="str">
        <f aca="false">CONCATENATE(BF68,BG68)</f>
        <v/>
      </c>
      <c r="BI68" s="6" t="str">
        <f aca="false">IF(BE68=FALSE(),"",IF(BH68="",BI67,BH68))</f>
        <v/>
      </c>
      <c r="BJ68" s="74" t="str">
        <f aca="false">IF(OR(BI68="S",BI68="G"),BI68,"X")</f>
        <v>X</v>
      </c>
      <c r="BK68" s="74" t="s">
        <v>228</v>
      </c>
      <c r="BL68" s="306" t="e">
        <f aca="false">INDEX(sim_0,MATCH($BJ$68,granular,0))</f>
        <v>#NAME?</v>
      </c>
      <c r="BM68" s="306"/>
      <c r="BN68" s="6"/>
      <c r="BO68" s="191" t="n">
        <f aca="false">BO67+0.1</f>
        <v>5.1</v>
      </c>
      <c r="BP68" s="233" t="e">
        <f aca="false">IF(AW68=0,NA(),IF(AS68=$AX$3,ROUND(DC68,0),NA()))</f>
        <v>#N/A</v>
      </c>
      <c r="BQ68" s="31" t="e">
        <f aca="false">IF(AW68=0,NA(),IF(AS68=$AX$4,ROUND(CC68,0),NA()))</f>
        <v>#N/A</v>
      </c>
      <c r="BR68" s="234" t="n">
        <f aca="false">+AW68</f>
        <v>0</v>
      </c>
      <c r="BS68" s="235" t="str">
        <f aca="false">IF(BR68=0,"", -0.00000000016128755327*CC68^6 + 0.00000006709386362421*CC68^5 - 0.0000106217678052217*CC68^4 + 0.00081068114193385*CC68^3 - 0.0314027378159951*CC68^2 + 0.649796593937842*CC68 + 13.7888866455022)</f>
        <v/>
      </c>
      <c r="BT68" s="235" t="str">
        <f aca="false">IF(BR68=0,"",-0.00000000014625939695*CC68^6 + 0.00000004971732060241*CC68^5 - 0.000006683744342031*CC68^4 + 0.0004563177378098*CC68^3 - 0.0171727530635803*CC68^2 + 0.444529932876435*CC68 + 15.6692518940565)</f>
        <v/>
      </c>
      <c r="BU68" s="236" t="str">
        <f aca="false">IF(BR68=0,"", -0.0000000008152265738*BR68^6 + 0.00000022764320256987*BR68^5 - 0.0000248205675927705*BR68^4 + 0.00133186623684865*BR68^3 - 0.0368442570441677*BR68^2 + 0.580111565569094*BR68 + 14.0417598296107)</f>
        <v/>
      </c>
      <c r="BV68" s="236" t="str">
        <f aca="false">IF(BR68=0,"", -0.00000000004321395721*BR68^6 + 0.00000002531844275498*BR68^5 - 0.00000369428022780862*BR68^4 + 0.00020283665900125*BR68^3 - 0.00462426256803268*BR68^2 + 0.139572935065453*BR68 + 15.4475338156923)</f>
        <v/>
      </c>
      <c r="BW68" s="236" t="str">
        <f aca="false">IF(BR68=0,"",-0.00000000033126390082*BR68^6 + 0.00000010463660614506*BR68^5 - 0.0000129629592998707*BR68^4 + 0.000803946335250767*BR68^3 - 0.0270257140395994*BR68^2 + 0.562590210721552*BR68+ 12.1254107606419)</f>
        <v/>
      </c>
      <c r="BX68" s="236" t="str">
        <f aca="false">IF(BR68=0,"",-0.00000000002593504955*BR68^6 + 0.00000002430495156704*BR68^5 - 0.00000386103271086364*BR68^4 + 0.000214416118986322*BR68^3 - 0.0047271462612021*BR68^2 + 0.156696175741135*BR68 + 15.4598891949502)</f>
        <v/>
      </c>
      <c r="BY68" s="234" t="str">
        <f aca="false">IF(BR68=0,"",$BS$2)</f>
        <v/>
      </c>
      <c r="BZ68" s="234" t="str">
        <f aca="false">IF(BR68=0,"",$BS$3)</f>
        <v/>
      </c>
      <c r="CA68" s="234" t="str">
        <f aca="false">IF(BR68=0,"",$BS$4)</f>
        <v/>
      </c>
      <c r="CB68" s="235" t="str">
        <f aca="false">IF(BR68=0,"",IF(AND(BO68&gt;=0,BO68&lt;4),0.75,IF(AND(BO68&gt;=4,BO68&lt;6),0.85,IF(AND(BO68&gt;=6,BO68&lt;=10),0.95,1))))</f>
        <v/>
      </c>
      <c r="CC68" s="234" t="str">
        <f aca="false">IF(BR68=0,"",BR68*BY68*BZ68*CA68*CB68/60)</f>
        <v/>
      </c>
      <c r="CD68" s="238" t="str">
        <f aca="false">IF(BR68=0,"",IF($S$12="NO","NO",IF($AD$12&lt;=BO68,"SI","NO")))</f>
        <v/>
      </c>
      <c r="CE68" s="235" t="n">
        <f aca="false">IF(BR68=0,0,AB68)</f>
        <v>0</v>
      </c>
      <c r="CF68" s="235" t="n">
        <f aca="false">IF(CE68&gt;0,BO68,0)</f>
        <v>0</v>
      </c>
      <c r="CG68" s="239" t="n">
        <f aca="false">IF(CF68=0,CF68+CG67,CF68)</f>
        <v>0</v>
      </c>
      <c r="CH68" s="239" t="n">
        <f aca="false">IF(CG68=CG67,CH67,ABS(CG68-CG67))</f>
        <v>0</v>
      </c>
      <c r="CI68" s="239" t="n">
        <f aca="false">+CE68*CH68</f>
        <v>0</v>
      </c>
      <c r="CJ68" s="239" t="n">
        <f aca="false">IF(CI68=0,CI68+CJ67,CI68)</f>
        <v>0</v>
      </c>
      <c r="CK68" s="239" t="n">
        <f aca="false">IF(CJ68=CJ67,CK67,ABS(CJ68+CK67))</f>
        <v>0</v>
      </c>
      <c r="CL68" s="241" t="n">
        <f aca="false">IF(CE68=0,0,CK68)</f>
        <v>0</v>
      </c>
      <c r="CM68" s="239" t="n">
        <f aca="false">IF(CE68=0,0,CH68*9.81)</f>
        <v>0</v>
      </c>
      <c r="CN68" s="239" t="n">
        <f aca="false">IF(CM68=0,CM68+CN67,CM68)</f>
        <v>0</v>
      </c>
      <c r="CO68" s="239" t="n">
        <f aca="false">IF(CN68=CN67,CO67,ABS(CN68+CO67))</f>
        <v>0</v>
      </c>
      <c r="CP68" s="241" t="n">
        <f aca="false">IF(CD68="NO",0,IF(CE68=0,0,CO68))</f>
        <v>0</v>
      </c>
      <c r="CQ68" s="244" t="str">
        <f aca="false">IF(BR68=0,"",CL68-CP68)</f>
        <v/>
      </c>
      <c r="CR68" s="244" t="str">
        <f aca="false">IF(BR68=0,"",CQ68/101.3)</f>
        <v/>
      </c>
      <c r="CS68" s="244" t="str">
        <f aca="false">IF(BR68=0,"",LOG(10/CR68))</f>
        <v/>
      </c>
      <c r="CT68" s="243" t="str">
        <f aca="false">IF(BR68=0,"",IF(SQRT(101.3/CQ68)&lt;=1.7,SQRT(101.3/CQ68),2.2/(1.2+(CQ68/101.3))))</f>
        <v/>
      </c>
      <c r="CU68" s="244" t="str">
        <f aca="false">IF(BR68=0,"",1.7/(0.7+CR68))</f>
        <v/>
      </c>
      <c r="CV68" s="244" t="str">
        <f aca="false">IF(BR68=0,"",IF(CR68&gt;=0.25,0.77*LOG(20/CR68),""))</f>
        <v/>
      </c>
      <c r="CW68" s="244" t="str">
        <f aca="false">IF(BR68=0,"",32.5/(10.2+20.3*CR68))</f>
        <v/>
      </c>
      <c r="CX68" s="244" t="str">
        <f aca="false">IF(BR68=0,"",1-1.25*LOG(CR68))</f>
        <v/>
      </c>
      <c r="CY68" s="244" t="str">
        <f aca="false">IF(BR68=0,"",IF(CR68&lt;1,1-1.41*LOG(CR68),1+0.92*LOG(CR68)))</f>
        <v/>
      </c>
      <c r="CZ68" s="244" t="str">
        <f aca="false">IF(BR68=0,"",2/(1+CR68))</f>
        <v/>
      </c>
      <c r="DA68" s="244" t="str">
        <f aca="false">IF(BR68=0,"",IF(CR68&lt;=0.75,4/(1+4*CR68),4/(3.25+CR68)))</f>
        <v/>
      </c>
      <c r="DB68" s="244" t="str">
        <f aca="false">IF(BR68=0,"",CT68)</f>
        <v/>
      </c>
      <c r="DC68" s="244" t="str">
        <f aca="false">IF(BR68=0,"",DB68*CC68)</f>
        <v/>
      </c>
      <c r="DD68" s="244"/>
      <c r="DE68" s="244" t="str">
        <f aca="false">IF(BR68=0,"",0.193*(CC68/(CQ68*0.001))^0.689)</f>
        <v/>
      </c>
      <c r="DF68" s="244" t="str">
        <f aca="false">IF(BR68=0,"",IF(AS68=$AX$4,(0.1348118*CC68 - 0.0383065)*98.0665,""))</f>
        <v/>
      </c>
      <c r="DG68" s="244" t="str">
        <f aca="false">IF(BR68=0,"",IF(AS68=$AX$4,DF68/2,""))</f>
        <v/>
      </c>
      <c r="DH68" s="244" t="str">
        <f aca="false">IF(BR68=0,"",IF(DC68&lt;=15,12*(DC68+6),40+12*(DC68-6)))</f>
        <v/>
      </c>
      <c r="DI68" s="244" t="str">
        <f aca="false">IF(BR68=0,"",IF(CD68="SI",5*(DC68+15),((3.3*(DC68+15))+(4*(DC68+12)))/2))</f>
        <v/>
      </c>
      <c r="DJ68" s="244" t="str">
        <f aca="false">IF(BR68=0,"",8*DC68)</f>
        <v/>
      </c>
      <c r="DK68" s="244" t="str">
        <f aca="false">IF(BR68=0,"",215+(10.6*DC68))</f>
        <v/>
      </c>
      <c r="DL68" s="244" t="str">
        <f aca="false">IF(BR68=0,"",10*(7.5+(0.5*DC68)))</f>
        <v/>
      </c>
      <c r="DM68" s="244" t="str">
        <f aca="false">IF(BR68=0,"",8*DC68)</f>
        <v/>
      </c>
      <c r="DN68" s="244" t="str">
        <f aca="false">IF(AW68=" "," ",IF(DC68=""," ",IF(DC68&lt;4,10*10.2,IF(DC68=4,12*10.2,IF(DC68&lt;10,17.5*10.5,IF(DC68=10,15*10.2,IF(DC68&lt;30,22.5*10.2,IF(DC68=30,35*10.2,IF(DC68&lt;50,40*10.2,IF(DC68=50,50*10.2,55*10.2))))))))))</f>
        <v> </v>
      </c>
      <c r="DO68" s="244" t="str">
        <f aca="false">IF(BR68=0,"",7*SQRT(DC68)*10.1972)</f>
        <v/>
      </c>
      <c r="DP68" s="244" t="str">
        <f aca="false">IF(BR68=0,"",IF(AS68=$AX$4,5*CC68,""))</f>
        <v/>
      </c>
      <c r="DQ68" s="244" t="str">
        <f aca="false">IF(AW68=" "," ",IF(DC68=""," ",IF(DC68&lt;2,4*10.2,IF(DC68=2,6*10.2,IF(DC68&lt;4,12*10.2,IF(DC68=4,20*10.2,IF(DC68&lt;8,30*10.2,IF(DC68=8,35*10.2,IF(DC68&lt;15,40*10.2,IF(DC68=15,42*10.2,IF(DC68&lt;30,45*10.2,IF(DC68=30,50*10.2,70*10.2))))))))))))</f>
        <v> </v>
      </c>
      <c r="DR68" s="244" t="str">
        <f aca="false">IF(BR68=0,"",IF(AS68=$AX$4,220*DP68*0.0101972,""))</f>
        <v/>
      </c>
      <c r="DS68" s="271" t="str">
        <f aca="false">IF(BR68=0,"",IF(AS68=$AX$7,(SUM(DH68:DO68)-MIN(DH68:DO68)-MAX(DH68:DO68))/6,(SUM(DO68:DR68)-MIN(DO68:DR68)-MAX(DO68:DR68))/2))</f>
        <v/>
      </c>
      <c r="DT68" s="244" t="str">
        <f aca="false">IF(AW68=" "," ",IF(DC68=""," ",IF(DC68&lt;4,0.2,IF(DC68=4,0.27,IF(DC68&lt;10,0.33,IF(DC68=10,0.35,IF(DC68&lt;30,0.36,IF(DC68=30,0.37,IF(DC68&lt;50,0.38,IF(DC68=50,0.4,0.45))))))))))</f>
        <v> </v>
      </c>
      <c r="DU68" s="272" t="str">
        <f aca="false">IF(AW68=" "," ",IF(CC68=""," ",IF(CC68&lt;2,0.2,IF(CC68=2,0.23,IF(CC68&lt;4,0.26,IF(CC68=4,0.29,IF(CC68&lt;8,0.32,IF(CC68=8,0.35,IF(CC68&lt;15,0.38,IF(CC68=15,0.41,IF(CC68&lt;30,0.44,IF(CC68=30,0.47,0.5))))))))))))</f>
        <v> </v>
      </c>
      <c r="DV68" s="244" t="str">
        <f aca="false">IF(BR68=0,"",IF(AS68=$AX$3,DT68,DU68))</f>
        <v/>
      </c>
      <c r="DW68" s="244" t="str">
        <f aca="false">IF(BR68=0,"",IF(DC68&gt;15,15+0.5*(DC68-15),DC68))</f>
        <v/>
      </c>
      <c r="DX68" s="244" t="str">
        <f aca="false">IF(BR68=0,"",IF($S$12="SI",IF(CD68="NO",IF($AD$12&gt;(BO68+1.5*$ED$15),1,0.5),0.5),1))</f>
        <v/>
      </c>
      <c r="DY68" s="244" t="str">
        <f aca="false">IF(BR68=0,"",IF($S$12="SI",IF(CD68="NO",IF($AD$12&gt;(BO68+1.5*$EE$15),1,0.5),0.5),1))</f>
        <v/>
      </c>
      <c r="DZ68" s="244" t="str">
        <f aca="false">IF(BR68=0,"",IF($S$12="SI",IF(CD68="NO",IF($AD$12&gt;(BO68+1.5*$EF$15),1,0.5),0.5),1))</f>
        <v/>
      </c>
      <c r="EA68" s="244" t="str">
        <f aca="false">IF(BR68=0,"",IF($S$12="SI",IF(CD68="NO",IF($AD$12&gt;(BO68+1.5*$ED$15),1,0.5),IF($AD$12=BO68,1,0.5)),1))</f>
        <v/>
      </c>
      <c r="EB68" s="244" t="str">
        <f aca="false">IF(BR68=0,"",IF($S$12="SI",IF(CD68="NO",IF($AD$12&gt;(BO68+1.5*$EE$15),1,0.5),IF($AD$12=BO68,1,0.5)),1))</f>
        <v/>
      </c>
      <c r="EC68" s="244" t="str">
        <f aca="false">IF(BR68=0,"",IF($S$12="SI",IF(CD68="NO",IF($AD$12&gt;(BO68+1.5*$EF$15),1,0.5),IF($AD$12=BO68,1,0.5)),1))</f>
        <v/>
      </c>
      <c r="ED68" s="244" t="str">
        <f aca="false">IF(BR68=0,"",(DW68*($ED$15/10)*(DX68+EA68*(BO68/$ED$15))*1)/3)</f>
        <v/>
      </c>
      <c r="EE68" s="244" t="str">
        <f aca="false">IF(BR68=0,"",(DW68*($EE$15/10)*(DY68+EB68*(BO68/$EE$15))*1)/3)</f>
        <v/>
      </c>
      <c r="EF68" s="244" t="str">
        <f aca="false">IF(BR68=0,"",(DW68*($EF$15/10)*(DZ68+EC68*(BO68/$EF$15))*1)/3)</f>
        <v/>
      </c>
      <c r="EG68" s="273" t="str">
        <f aca="false">IF(BR68=0,"",IF(CD68="SI",0.5,1))</f>
        <v/>
      </c>
      <c r="EH68" s="244" t="str">
        <f aca="false">IF(BR68=0,"",IF((1+0.33*(BO68/$ED$15))&lt;=1.33,(1+0.33*(BO68/$ED$15)),1.33))</f>
        <v/>
      </c>
      <c r="EI68" s="244" t="str">
        <f aca="false">IF(BR68=0,"",IF((1+0.33*(BO68/$EE$15))&lt;=1.33,(1+0.33*(BO68/$EE$15)),1.33))</f>
        <v/>
      </c>
      <c r="EJ68" s="244" t="str">
        <f aca="false">IF(BR68=0,"",IF((1+0.33*(BO68/$EF$15))&lt;=1.33,(1+0.33*(BO68/$EF$15)),1.33))</f>
        <v/>
      </c>
      <c r="EK68" s="244" t="str">
        <f aca="false">IF(BR68=0,"",IF($ED$15&lt;=1.2,((20*DC68*EG68*EH68)/3)*0.010197,((12.5*DC68*((($ED$15+0.3)^2)/$ED$15)*EG68*EH68)/3)*0.010197))</f>
        <v/>
      </c>
      <c r="EL68" s="244" t="str">
        <f aca="false">IF(BR68=0,"",IF($EE$15&lt;=1.2,((20*DC68*EG68*EI68)/3)*0.010197,((12.5*DC68*((($EE$15+0.3)^2)/$EE$15)*EG68*EI68)/3)*0.010197))</f>
        <v/>
      </c>
      <c r="EM68" s="244" t="str">
        <f aca="false">IF(BR68=0,"",IF($EF$15&lt;=1.2,((20*DC68*EG68*EJ68)/3)*0.010197,((12.5*DC68*((($EF$15+0.3)^2)/$EF$15)*EG68*EJ68)/3)*0.010197))</f>
        <v/>
      </c>
      <c r="EN68" s="248" t="str">
        <f aca="false">IF(BR68=0,"",SQRT(12*CC68)+25)</f>
        <v/>
      </c>
      <c r="EO68" s="248" t="str">
        <f aca="false">IF(BR68=0,"",28.5+0.25*CC68)</f>
        <v/>
      </c>
      <c r="EP68" s="248" t="str">
        <f aca="false">IF(BR68=0,"",SQRT(20*CC68)+15)</f>
        <v/>
      </c>
      <c r="EQ68" s="248" t="str">
        <f aca="false">IF(BR68=0,"",23.7+0.57*CC68-0.0006*CC68*CC68)</f>
        <v/>
      </c>
      <c r="ER68" s="248" t="str">
        <f aca="false">IF(BR68=0,"",15+SQRT(12.5*DC68))</f>
        <v/>
      </c>
      <c r="ES68" s="248" t="str">
        <f aca="false">IF(BR68=0,"",3.5*SQRT(CC68)+20)</f>
        <v/>
      </c>
      <c r="ET68" s="248" t="str">
        <f aca="false">IF(BR68=0,"",27.1+0.3*DC68-0.00054*DC68*DC68)</f>
        <v/>
      </c>
      <c r="EU68" s="248" t="str">
        <f aca="false">IF(BR68=0,"",SQRT(20*CC68)+20)</f>
        <v/>
      </c>
      <c r="EV68" s="248" t="str">
        <f aca="false">IF(BR68=0,"",12.79+SQRT(25.86*CC68))</f>
        <v/>
      </c>
      <c r="EW68" s="248" t="str">
        <f aca="false">IF(BR68=0,"",DEGREES(_xlfn.ACOT((CC68/(12.2+20.3*CR68))^0.34)))</f>
        <v/>
      </c>
      <c r="EX68" s="248" t="str">
        <f aca="false">IF(BR68=0,"",24+(5.77*LN(0.17*DC68)))</f>
        <v/>
      </c>
      <c r="EY68" s="248" t="str">
        <f aca="false">IF(BR68=0,"",(SUM(EN68:EX68)-MIN(EN68:EX68)-MAX(EN68:EX68))/9)</f>
        <v/>
      </c>
      <c r="EZ68" s="248" t="str">
        <f aca="false">IF(BR68=0,"", -0.0000000034*CC68^6 + 0.0000008305*CC68^5 - 0.0000741842*CC68^4 + 0.0030204278*CC68^3 - 0.0541594733*CC68^2 + 0.8083147848*CC68 - 0.6182191243)</f>
        <v/>
      </c>
      <c r="FA68" s="249" t="str">
        <f aca="false">IF(BR68=0,"",(0.134811827956989*CC68 - 0.0383064516129019)/2)</f>
        <v/>
      </c>
      <c r="FB68" s="249" t="str">
        <f aca="false">IF(BR68=0,"",CC68*0.065)</f>
        <v/>
      </c>
      <c r="FC68" s="249" t="str">
        <f aca="false">IF(BR68=0,"",(CC68*0.12*0.48)*SQRT((1+SIN(EZ68*((2*PI())/360))/(1-SIN(EZ68*((2*PI())/360))))))</f>
        <v/>
      </c>
      <c r="FD68" s="249" t="str">
        <f aca="false">IF(BR68=0,"",(CC68/8)/2)</f>
        <v/>
      </c>
      <c r="FE68" s="249" t="str">
        <f aca="false">IF(BR68=0,"",(SUM(FA68:FD68)-MIN(FA68:FD68)-MAX(FA68:FD68))/2)</f>
        <v/>
      </c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</row>
    <row r="69" customFormat="false" ht="9.75" hidden="false" customHeight="true" outlineLevel="0" collapsed="false">
      <c r="A69" s="197" t="n">
        <f aca="false">ROUND(A68+0.1,1)</f>
        <v>5.2</v>
      </c>
      <c r="B69" s="250" t="n">
        <f aca="false">+A69</f>
        <v>5.2</v>
      </c>
      <c r="C69" s="251"/>
      <c r="D69" s="251"/>
      <c r="E69" s="252"/>
      <c r="F69" s="253"/>
      <c r="G69" s="254"/>
      <c r="H69" s="255"/>
      <c r="I69" s="256"/>
      <c r="J69" s="257"/>
      <c r="K69" s="258"/>
      <c r="L69" s="259"/>
      <c r="M69" s="276"/>
      <c r="N69" s="277"/>
      <c r="O69" s="277"/>
      <c r="P69" s="277"/>
      <c r="Q69" s="293"/>
      <c r="R69" s="304"/>
      <c r="S69" s="305"/>
      <c r="T69" s="295"/>
      <c r="U69" s="295"/>
      <c r="V69" s="296"/>
      <c r="W69" s="296"/>
      <c r="X69" s="296"/>
      <c r="Y69" s="296"/>
      <c r="Z69" s="296"/>
      <c r="AA69" s="296"/>
      <c r="AB69" s="297"/>
      <c r="AC69" s="298"/>
      <c r="AD69" s="299"/>
      <c r="AE69" s="298"/>
      <c r="AF69" s="300"/>
      <c r="AG69" s="267"/>
      <c r="AH69" s="267"/>
      <c r="AI69" s="241"/>
      <c r="AJ69" s="241"/>
      <c r="AK69" s="266"/>
      <c r="AL69" s="266"/>
      <c r="AM69" s="268"/>
      <c r="AN69" s="250" t="n">
        <f aca="false">+AN67+0.2</f>
        <v>5.2</v>
      </c>
      <c r="AO69" s="251"/>
      <c r="AP69" s="251"/>
      <c r="AQ69" s="252"/>
      <c r="AR69" s="253"/>
      <c r="AS69" s="269" t="s">
        <v>13</v>
      </c>
      <c r="AT69" s="221"/>
      <c r="AU69" s="269"/>
      <c r="AV69" s="269"/>
      <c r="AW69" s="270" t="n">
        <f aca="false">+K69+L69</f>
        <v>0</v>
      </c>
      <c r="AX69" s="270" t="str">
        <f aca="false">IF(AS69="&gt;50","CONSISTENCIA",IF(AS69="&lt;50","COMPACIDAD"," "))</f>
        <v>COMPACIDAD</v>
      </c>
      <c r="AY69" s="225" t="str">
        <f aca="false">IF(AS69="&gt;50",AZ69,IF(AS69="&lt;50",BA69," "))</f>
        <v> </v>
      </c>
      <c r="AZ69" s="224" t="str">
        <f aca="false">IF(AW69=" "," ",IF(CC69=""," ",IF(CC69&lt;2,"MUY BLANDA",IF(CC69=2,"MUY BLANDA A BLANDA",IF(CC69&lt;4,"BLANDA",IF(CC69=4,"BLANDA A MEDIA",IF(CC69&lt;8,"MEDIA",IF(CC69=8,"MEDIA A FIRME",IF(CC69&lt;15,"FIRME",IF(CC69=15,"FIRME A MUY FIRME",IF(CC69&lt;30,"MUY FIRME",IF(CC69=30,"MUY FIRME A DURA","DURA"))))))))))))</f>
        <v> </v>
      </c>
      <c r="BA69" s="225" t="str">
        <f aca="false">IF(AW69=" "," ",IF(DC69=""," ",IF(DC69&lt;4,"MUY SUELTA",IF(DC69=4,"MUY SUELTA A SUELTA",IF(DC69&lt;10,"SUELTA",IF(DC69=10,"SUELTA A MEDIA",IF(DC69&lt;30,"MEDIA",IF(DC69=30,"MEDIA A DENSO",IF(DC69&lt;50,"DENSO",IF(DC69=50,"DENSO MUY DENSO","MUY DENSO"))))))))))</f>
        <v> </v>
      </c>
      <c r="BB69" s="226" t="str">
        <f aca="false">IF(BR70=0,"",CQ70*0.0101972)</f>
        <v/>
      </c>
      <c r="BC69" s="227" t="n">
        <f aca="false">+BC68+0.1</f>
        <v>5.2</v>
      </c>
      <c r="BD69" s="227" t="str">
        <f aca="false">IF(BC69&lt;=$AN$10,BC69,"")</f>
        <v/>
      </c>
      <c r="BE69" s="228" t="n">
        <f aca="false">ISNUMBER(BD69)</f>
        <v>0</v>
      </c>
      <c r="BF69" s="229" t="str">
        <f aca="false">MID(M69,1,1)</f>
        <v/>
      </c>
      <c r="BG69" s="230" t="str">
        <f aca="false">IF(BF69="S","",IF(BF69="G","",MID(M69,2,1)))</f>
        <v/>
      </c>
      <c r="BH69" s="231" t="str">
        <f aca="false">CONCATENATE(BF69,BG69)</f>
        <v/>
      </c>
      <c r="BI69" s="6" t="str">
        <f aca="false">IF(BE69=FALSE(),"",IF(BH69="",BI68,BH69))</f>
        <v/>
      </c>
      <c r="BJ69" s="74" t="str">
        <f aca="false">IF(OR(BI69="S",BI69="G"),BI69,"X")</f>
        <v>X</v>
      </c>
      <c r="BK69" s="74" t="s">
        <v>229</v>
      </c>
      <c r="BL69" s="306" t="e">
        <f aca="false">INDEX(sim_0,MATCH($BJ$69,granular,0))</f>
        <v>#NAME?</v>
      </c>
      <c r="BM69" s="306"/>
      <c r="BN69" s="6"/>
      <c r="BO69" s="191" t="n">
        <f aca="false">BO68+0.1</f>
        <v>5.2</v>
      </c>
      <c r="BP69" s="233" t="e">
        <f aca="false">IF(AW69=0,NA(),IF(AS69=$AX$3,ROUND(DC69,0),NA()))</f>
        <v>#N/A</v>
      </c>
      <c r="BQ69" s="31" t="e">
        <f aca="false">IF(AW69=0,NA(),IF(AS69=$AX$4,ROUND(CC69,0),NA()))</f>
        <v>#N/A</v>
      </c>
      <c r="BR69" s="234" t="n">
        <f aca="false">+AW69</f>
        <v>0</v>
      </c>
      <c r="BS69" s="235" t="str">
        <f aca="false">IF(BR69=0,"", -0.00000000016128755327*CC69^6 + 0.00000006709386362421*CC69^5 - 0.0000106217678052217*CC69^4 + 0.00081068114193385*CC69^3 - 0.0314027378159951*CC69^2 + 0.649796593937842*CC69 + 13.7888866455022)</f>
        <v/>
      </c>
      <c r="BT69" s="235" t="str">
        <f aca="false">IF(BR69=0,"",-0.00000000014625939695*CC69^6 + 0.00000004971732060241*CC69^5 - 0.000006683744342031*CC69^4 + 0.0004563177378098*CC69^3 - 0.0171727530635803*CC69^2 + 0.444529932876435*CC69 + 15.6692518940565)</f>
        <v/>
      </c>
      <c r="BU69" s="236" t="str">
        <f aca="false">IF(BR69=0,"", -0.0000000008152265738*BR69^6 + 0.00000022764320256987*BR69^5 - 0.0000248205675927705*BR69^4 + 0.00133186623684865*BR69^3 - 0.0368442570441677*BR69^2 + 0.580111565569094*BR69 + 14.0417598296107)</f>
        <v/>
      </c>
      <c r="BV69" s="236" t="str">
        <f aca="false">IF(BR69=0,"", -0.00000000004321395721*BR69^6 + 0.00000002531844275498*BR69^5 - 0.00000369428022780862*BR69^4 + 0.00020283665900125*BR69^3 - 0.00462426256803268*BR69^2 + 0.139572935065453*BR69 + 15.4475338156923)</f>
        <v/>
      </c>
      <c r="BW69" s="236" t="str">
        <f aca="false">IF(BR69=0,"",-0.00000000033126390082*BR69^6 + 0.00000010463660614506*BR69^5 - 0.0000129629592998707*BR69^4 + 0.000803946335250767*BR69^3 - 0.0270257140395994*BR69^2 + 0.562590210721552*BR69+ 12.1254107606419)</f>
        <v/>
      </c>
      <c r="BX69" s="236" t="str">
        <f aca="false">IF(BR69=0,"",-0.00000000002593504955*BR69^6 + 0.00000002430495156704*BR69^5 - 0.00000386103271086364*BR69^4 + 0.000214416118986322*BR69^3 - 0.0047271462612021*BR69^2 + 0.156696175741135*BR69 + 15.4598891949502)</f>
        <v/>
      </c>
      <c r="BY69" s="234" t="str">
        <f aca="false">IF(BR69=0,"",$BS$2)</f>
        <v/>
      </c>
      <c r="BZ69" s="234" t="str">
        <f aca="false">IF(BR69=0,"",$BS$3)</f>
        <v/>
      </c>
      <c r="CA69" s="234" t="str">
        <f aca="false">IF(BR69=0,"",$BS$4)</f>
        <v/>
      </c>
      <c r="CB69" s="235" t="str">
        <f aca="false">IF(BR69=0,"",IF(AND(BO69&gt;=0,BO69&lt;4),0.75,IF(AND(BO69&gt;=4,BO69&lt;6),0.85,IF(AND(BO69&gt;=6,BO69&lt;=10),0.95,1))))</f>
        <v/>
      </c>
      <c r="CC69" s="234" t="str">
        <f aca="false">IF(BR69=0,"",BR69*BY69*BZ69*CA69*CB69/60)</f>
        <v/>
      </c>
      <c r="CD69" s="238" t="str">
        <f aca="false">IF(BR69=0,"",IF($S$12="NO","NO",IF($AD$12&lt;=BO69,"SI","NO")))</f>
        <v/>
      </c>
      <c r="CE69" s="235" t="n">
        <f aca="false">IF(BR69=0,0,AB69)</f>
        <v>0</v>
      </c>
      <c r="CF69" s="235" t="n">
        <f aca="false">IF(CE69&gt;0,BO69,0)</f>
        <v>0</v>
      </c>
      <c r="CG69" s="239" t="n">
        <f aca="false">IF(CF69=0,CF69+CG68,CF69)</f>
        <v>0</v>
      </c>
      <c r="CH69" s="239" t="n">
        <f aca="false">IF(CG69=CG68,CH68,ABS(CG69-CG68))</f>
        <v>0</v>
      </c>
      <c r="CI69" s="239" t="n">
        <f aca="false">+CE69*CH69</f>
        <v>0</v>
      </c>
      <c r="CJ69" s="239" t="n">
        <f aca="false">IF(CI69=0,CI69+CJ68,CI69)</f>
        <v>0</v>
      </c>
      <c r="CK69" s="239" t="n">
        <f aca="false">IF(CJ69=CJ68,CK68,ABS(CJ69+CK68))</f>
        <v>0</v>
      </c>
      <c r="CL69" s="241" t="n">
        <f aca="false">IF(CE69=0,0,CK69)</f>
        <v>0</v>
      </c>
      <c r="CM69" s="239" t="n">
        <f aca="false">IF(CE69=0,0,CH69*9.81)</f>
        <v>0</v>
      </c>
      <c r="CN69" s="239" t="n">
        <f aca="false">IF(CM69=0,CM69+CN68,CM69)</f>
        <v>0</v>
      </c>
      <c r="CO69" s="239" t="n">
        <f aca="false">IF(CN69=CN68,CO68,ABS(CN69+CO68))</f>
        <v>0</v>
      </c>
      <c r="CP69" s="241" t="n">
        <f aca="false">IF(CD69="NO",0,IF(CE69=0,0,CO69))</f>
        <v>0</v>
      </c>
      <c r="CQ69" s="244" t="str">
        <f aca="false">IF(BR69=0,"",CL69-CP69)</f>
        <v/>
      </c>
      <c r="CR69" s="244" t="str">
        <f aca="false">IF(BR69=0,"",CQ69/101.3)</f>
        <v/>
      </c>
      <c r="CS69" s="244" t="str">
        <f aca="false">IF(BR69=0,"",LOG(10/CR69))</f>
        <v/>
      </c>
      <c r="CT69" s="243" t="str">
        <f aca="false">IF(BR69=0,"",IF(SQRT(101.3/CQ69)&lt;=1.7,SQRT(101.3/CQ69),2.2/(1.2+(CQ69/101.3))))</f>
        <v/>
      </c>
      <c r="CU69" s="244" t="str">
        <f aca="false">IF(BR69=0,"",1.7/(0.7+CR69))</f>
        <v/>
      </c>
      <c r="CV69" s="244" t="str">
        <f aca="false">IF(BR69=0,"",IF(CR69&gt;=0.25,0.77*LOG(20/CR69),""))</f>
        <v/>
      </c>
      <c r="CW69" s="244" t="str">
        <f aca="false">IF(BR69=0,"",32.5/(10.2+20.3*CR69))</f>
        <v/>
      </c>
      <c r="CX69" s="244" t="str">
        <f aca="false">IF(BR69=0,"",1-1.25*LOG(CR69))</f>
        <v/>
      </c>
      <c r="CY69" s="244" t="str">
        <f aca="false">IF(BR69=0,"",IF(CR69&lt;1,1-1.41*LOG(CR69),1+0.92*LOG(CR69)))</f>
        <v/>
      </c>
      <c r="CZ69" s="244" t="str">
        <f aca="false">IF(BR69=0,"",2/(1+CR69))</f>
        <v/>
      </c>
      <c r="DA69" s="244" t="str">
        <f aca="false">IF(BR69=0,"",IF(CR69&lt;=0.75,4/(1+4*CR69),4/(3.25+CR69)))</f>
        <v/>
      </c>
      <c r="DB69" s="244" t="str">
        <f aca="false">IF(BR69=0,"",CT69)</f>
        <v/>
      </c>
      <c r="DC69" s="244" t="str">
        <f aca="false">IF(BR69=0,"",DB69*CC69)</f>
        <v/>
      </c>
      <c r="DD69" s="244"/>
      <c r="DE69" s="244" t="str">
        <f aca="false">IF(BR69=0,"",0.193*(CC69/(CQ69*0.001))^0.689)</f>
        <v/>
      </c>
      <c r="DF69" s="244" t="str">
        <f aca="false">IF(BR69=0,"",IF(AS69=$AX$4,(0.1348118*CC69 - 0.0383065)*98.0665,""))</f>
        <v/>
      </c>
      <c r="DG69" s="244" t="str">
        <f aca="false">IF(BR69=0,"",IF(AS69=$AX$4,DF69/2,""))</f>
        <v/>
      </c>
      <c r="DH69" s="244" t="str">
        <f aca="false">IF(BR69=0,"",IF(DC69&lt;=15,12*(DC69+6),40+12*(DC69-6)))</f>
        <v/>
      </c>
      <c r="DI69" s="244" t="str">
        <f aca="false">IF(BR69=0,"",IF(CD69="SI",5*(DC69+15),((3.3*(DC69+15))+(4*(DC69+12)))/2))</f>
        <v/>
      </c>
      <c r="DJ69" s="244" t="str">
        <f aca="false">IF(BR69=0,"",8*DC69)</f>
        <v/>
      </c>
      <c r="DK69" s="244" t="str">
        <f aca="false">IF(BR69=0,"",215+(10.6*DC69))</f>
        <v/>
      </c>
      <c r="DL69" s="244" t="str">
        <f aca="false">IF(BR69=0,"",10*(7.5+(0.5*DC69)))</f>
        <v/>
      </c>
      <c r="DM69" s="244" t="str">
        <f aca="false">IF(BR69=0,"",8*DC69)</f>
        <v/>
      </c>
      <c r="DN69" s="244" t="str">
        <f aca="false">IF(AW69=" "," ",IF(DC69=""," ",IF(DC69&lt;4,10*10.2,IF(DC69=4,12*10.2,IF(DC69&lt;10,17.5*10.5,IF(DC69=10,15*10.2,IF(DC69&lt;30,22.5*10.2,IF(DC69=30,35*10.2,IF(DC69&lt;50,40*10.2,IF(DC69=50,50*10.2,55*10.2))))))))))</f>
        <v> </v>
      </c>
      <c r="DO69" s="244" t="str">
        <f aca="false">IF(BR69=0,"",7*SQRT(DC69)*10.1972)</f>
        <v/>
      </c>
      <c r="DP69" s="244" t="str">
        <f aca="false">IF(BR69=0,"",IF(AS69=$AX$4,5*CC69,""))</f>
        <v/>
      </c>
      <c r="DQ69" s="244" t="str">
        <f aca="false">IF(AW69=" "," ",IF(DC69=""," ",IF(DC69&lt;2,4*10.2,IF(DC69=2,6*10.2,IF(DC69&lt;4,12*10.2,IF(DC69=4,20*10.2,IF(DC69&lt;8,30*10.2,IF(DC69=8,35*10.2,IF(DC69&lt;15,40*10.2,IF(DC69=15,42*10.2,IF(DC69&lt;30,45*10.2,IF(DC69=30,50*10.2,70*10.2))))))))))))</f>
        <v> </v>
      </c>
      <c r="DR69" s="244" t="str">
        <f aca="false">IF(BR69=0,"",IF(AS69=$AX$4,220*DP69*0.0101972,""))</f>
        <v/>
      </c>
      <c r="DS69" s="271" t="str">
        <f aca="false">IF(BR69=0,"",IF(AS69=$AX$7,(SUM(DH69:DO69)-MIN(DH69:DO69)-MAX(DH69:DO69))/6,(SUM(DO69:DR69)-MIN(DO69:DR69)-MAX(DO69:DR69))/2))</f>
        <v/>
      </c>
      <c r="DT69" s="244" t="str">
        <f aca="false">IF(AW69=" "," ",IF(DC69=""," ",IF(DC69&lt;4,0.2,IF(DC69=4,0.27,IF(DC69&lt;10,0.33,IF(DC69=10,0.35,IF(DC69&lt;30,0.36,IF(DC69=30,0.37,IF(DC69&lt;50,0.38,IF(DC69=50,0.4,0.45))))))))))</f>
        <v> </v>
      </c>
      <c r="DU69" s="272" t="str">
        <f aca="false">IF(AW69=" "," ",IF(CC69=""," ",IF(CC69&lt;2,0.2,IF(CC69=2,0.23,IF(CC69&lt;4,0.26,IF(CC69=4,0.29,IF(CC69&lt;8,0.32,IF(CC69=8,0.35,IF(CC69&lt;15,0.38,IF(CC69=15,0.41,IF(CC69&lt;30,0.44,IF(CC69=30,0.47,0.5))))))))))))</f>
        <v> </v>
      </c>
      <c r="DV69" s="244" t="str">
        <f aca="false">IF(BR69=0,"",IF(AS69=$AX$3,DT69,DU69))</f>
        <v/>
      </c>
      <c r="DW69" s="244" t="str">
        <f aca="false">IF(BR69=0,"",IF(DC69&gt;15,15+0.5*(DC69-15),DC69))</f>
        <v/>
      </c>
      <c r="DX69" s="244" t="str">
        <f aca="false">IF(BR69=0,"",IF($S$12="SI",IF(CD69="NO",IF($AD$12&gt;(BO69+1.5*$ED$15),1,0.5),0.5),1))</f>
        <v/>
      </c>
      <c r="DY69" s="244" t="str">
        <f aca="false">IF(BR69=0,"",IF($S$12="SI",IF(CD69="NO",IF($AD$12&gt;(BO69+1.5*$EE$15),1,0.5),0.5),1))</f>
        <v/>
      </c>
      <c r="DZ69" s="244" t="str">
        <f aca="false">IF(BR69=0,"",IF($S$12="SI",IF(CD69="NO",IF($AD$12&gt;(BO69+1.5*$EF$15),1,0.5),0.5),1))</f>
        <v/>
      </c>
      <c r="EA69" s="244" t="str">
        <f aca="false">IF(BR69=0,"",IF($S$12="SI",IF(CD69="NO",IF($AD$12&gt;(BO69+1.5*$ED$15),1,0.5),IF($AD$12=BO69,1,0.5)),1))</f>
        <v/>
      </c>
      <c r="EB69" s="244" t="str">
        <f aca="false">IF(BR69=0,"",IF($S$12="SI",IF(CD69="NO",IF($AD$12&gt;(BO69+1.5*$EE$15),1,0.5),IF($AD$12=BO69,1,0.5)),1))</f>
        <v/>
      </c>
      <c r="EC69" s="244" t="str">
        <f aca="false">IF(BR69=0,"",IF($S$12="SI",IF(CD69="NO",IF($AD$12&gt;(BO69+1.5*$EF$15),1,0.5),IF($AD$12=BO69,1,0.5)),1))</f>
        <v/>
      </c>
      <c r="ED69" s="244" t="str">
        <f aca="false">IF(BR69=0,"",(DW69*($ED$15/10)*(DX69+EA69*(BO69/$ED$15))*1)/3)</f>
        <v/>
      </c>
      <c r="EE69" s="244" t="str">
        <f aca="false">IF(BR69=0,"",(DW69*($EE$15/10)*(DY69+EB69*(BO69/$EE$15))*1)/3)</f>
        <v/>
      </c>
      <c r="EF69" s="244" t="str">
        <f aca="false">IF(BR69=0,"",(DW69*($EF$15/10)*(DZ69+EC69*(BO69/$EF$15))*1)/3)</f>
        <v/>
      </c>
      <c r="EG69" s="273" t="str">
        <f aca="false">IF(BR69=0,"",IF(CD69="SI",0.5,1))</f>
        <v/>
      </c>
      <c r="EH69" s="244" t="str">
        <f aca="false">IF(BR69=0,"",IF((1+0.33*(BO69/$ED$15))&lt;=1.33,(1+0.33*(BO69/$ED$15)),1.33))</f>
        <v/>
      </c>
      <c r="EI69" s="244" t="str">
        <f aca="false">IF(BR69=0,"",IF((1+0.33*(BO69/$EE$15))&lt;=1.33,(1+0.33*(BO69/$EE$15)),1.33))</f>
        <v/>
      </c>
      <c r="EJ69" s="244" t="str">
        <f aca="false">IF(BR69=0,"",IF((1+0.33*(BO69/$EF$15))&lt;=1.33,(1+0.33*(BO69/$EF$15)),1.33))</f>
        <v/>
      </c>
      <c r="EK69" s="244" t="str">
        <f aca="false">IF(BR69=0,"",IF($ED$15&lt;=1.2,((20*DC69*EG69*EH69)/3)*0.010197,((12.5*DC69*((($ED$15+0.3)^2)/$ED$15)*EG69*EH69)/3)*0.010197))</f>
        <v/>
      </c>
      <c r="EL69" s="244" t="str">
        <f aca="false">IF(BR69=0,"",IF($EE$15&lt;=1.2,((20*DC69*EG69*EI69)/3)*0.010197,((12.5*DC69*((($EE$15+0.3)^2)/$EE$15)*EG69*EI69)/3)*0.010197))</f>
        <v/>
      </c>
      <c r="EM69" s="244" t="str">
        <f aca="false">IF(BR69=0,"",IF($EF$15&lt;=1.2,((20*DC69*EG69*EJ69)/3)*0.010197,((12.5*DC69*((($EF$15+0.3)^2)/$EF$15)*EG69*EJ69)/3)*0.010197))</f>
        <v/>
      </c>
      <c r="EN69" s="248" t="str">
        <f aca="false">IF(BR69=0,"",SQRT(12*CC69)+25)</f>
        <v/>
      </c>
      <c r="EO69" s="248" t="str">
        <f aca="false">IF(BR69=0,"",28.5+0.25*CC69)</f>
        <v/>
      </c>
      <c r="EP69" s="248" t="str">
        <f aca="false">IF(BR69=0,"",SQRT(20*CC69)+15)</f>
        <v/>
      </c>
      <c r="EQ69" s="248" t="str">
        <f aca="false">IF(BR69=0,"",23.7+0.57*CC69-0.0006*CC69*CC69)</f>
        <v/>
      </c>
      <c r="ER69" s="248" t="str">
        <f aca="false">IF(BR69=0,"",15+SQRT(12.5*DC69))</f>
        <v/>
      </c>
      <c r="ES69" s="248" t="str">
        <f aca="false">IF(BR69=0,"",3.5*SQRT(CC69)+20)</f>
        <v/>
      </c>
      <c r="ET69" s="248" t="str">
        <f aca="false">IF(BR69=0,"",27.1+0.3*DC69-0.00054*DC69*DC69)</f>
        <v/>
      </c>
      <c r="EU69" s="248" t="str">
        <f aca="false">IF(BR69=0,"",SQRT(20*CC69)+20)</f>
        <v/>
      </c>
      <c r="EV69" s="248" t="str">
        <f aca="false">IF(BR69=0,"",12.79+SQRT(25.86*CC69))</f>
        <v/>
      </c>
      <c r="EW69" s="248" t="str">
        <f aca="false">IF(BR69=0,"",DEGREES(_xlfn.ACOT((CC69/(12.2+20.3*CR69))^0.34)))</f>
        <v/>
      </c>
      <c r="EX69" s="248" t="str">
        <f aca="false">IF(BR69=0,"",24+(5.77*LN(0.17*DC69)))</f>
        <v/>
      </c>
      <c r="EY69" s="248" t="str">
        <f aca="false">IF(BR69=0,"",(SUM(EN69:EX69)-MIN(EN69:EX69)-MAX(EN69:EX69))/9)</f>
        <v/>
      </c>
      <c r="EZ69" s="248" t="str">
        <f aca="false">IF(BR69=0,"", -0.0000000034*CC69^6 + 0.0000008305*CC69^5 - 0.0000741842*CC69^4 + 0.0030204278*CC69^3 - 0.0541594733*CC69^2 + 0.8083147848*CC69 - 0.6182191243)</f>
        <v/>
      </c>
      <c r="FA69" s="249" t="str">
        <f aca="false">IF(BR69=0,"",(0.134811827956989*CC69 - 0.0383064516129019)/2)</f>
        <v/>
      </c>
      <c r="FB69" s="249" t="str">
        <f aca="false">IF(BR69=0,"",CC69*0.065)</f>
        <v/>
      </c>
      <c r="FC69" s="249" t="str">
        <f aca="false">IF(BR69=0,"",(CC69*0.12*0.48)*SQRT((1+SIN(EZ69*((2*PI())/360))/(1-SIN(EZ69*((2*PI())/360))))))</f>
        <v/>
      </c>
      <c r="FD69" s="249" t="str">
        <f aca="false">IF(BR69=0,"",(CC69/8)/2)</f>
        <v/>
      </c>
      <c r="FE69" s="249" t="str">
        <f aca="false">IF(BR69=0,"",(SUM(FA69:FD69)-MIN(FA69:FD69)-MAX(FA69:FD69))/2)</f>
        <v/>
      </c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</row>
    <row r="70" customFormat="false" ht="9.75" hidden="false" customHeight="true" outlineLevel="0" collapsed="false">
      <c r="A70" s="197" t="n">
        <f aca="false">ROUND(A69+0.1,1)</f>
        <v>5.3</v>
      </c>
      <c r="B70" s="250"/>
      <c r="C70" s="251"/>
      <c r="D70" s="251"/>
      <c r="E70" s="199"/>
      <c r="F70" s="200"/>
      <c r="G70" s="279"/>
      <c r="H70" s="280"/>
      <c r="I70" s="280"/>
      <c r="J70" s="257"/>
      <c r="K70" s="258"/>
      <c r="L70" s="259"/>
      <c r="M70" s="276"/>
      <c r="N70" s="277"/>
      <c r="O70" s="277"/>
      <c r="P70" s="277"/>
      <c r="Q70" s="293"/>
      <c r="R70" s="304"/>
      <c r="S70" s="305"/>
      <c r="T70" s="295"/>
      <c r="U70" s="295"/>
      <c r="V70" s="296"/>
      <c r="W70" s="296"/>
      <c r="X70" s="296"/>
      <c r="Y70" s="296"/>
      <c r="Z70" s="296"/>
      <c r="AA70" s="296"/>
      <c r="AB70" s="297"/>
      <c r="AC70" s="298"/>
      <c r="AD70" s="299"/>
      <c r="AE70" s="298"/>
      <c r="AF70" s="300"/>
      <c r="AG70" s="267"/>
      <c r="AH70" s="267"/>
      <c r="AI70" s="241"/>
      <c r="AJ70" s="241"/>
      <c r="AK70" s="266"/>
      <c r="AL70" s="266"/>
      <c r="AM70" s="268"/>
      <c r="AN70" s="250"/>
      <c r="AO70" s="251"/>
      <c r="AP70" s="251"/>
      <c r="AQ70" s="199"/>
      <c r="AR70" s="200"/>
      <c r="AS70" s="269" t="s">
        <v>13</v>
      </c>
      <c r="AT70" s="221"/>
      <c r="AU70" s="269"/>
      <c r="AV70" s="269"/>
      <c r="AW70" s="270" t="n">
        <f aca="false">+K70+L70</f>
        <v>0</v>
      </c>
      <c r="AX70" s="270" t="str">
        <f aca="false">IF(AS70="&gt;50","CONSISTENCIA",IF(AS70="&lt;50","COMPACIDAD"," "))</f>
        <v>COMPACIDAD</v>
      </c>
      <c r="AY70" s="225" t="str">
        <f aca="false">IF(AS70="&gt;50",AZ70,IF(AS70="&lt;50",BA70," "))</f>
        <v> </v>
      </c>
      <c r="AZ70" s="224" t="str">
        <f aca="false">IF(AW70=" "," ",IF(CC70=""," ",IF(CC70&lt;2,"MUY BLANDA",IF(CC70=2,"MUY BLANDA A BLANDA",IF(CC70&lt;4,"BLANDA",IF(CC70=4,"BLANDA A MEDIA",IF(CC70&lt;8,"MEDIA",IF(CC70=8,"MEDIA A FIRME",IF(CC70&lt;15,"FIRME",IF(CC70=15,"FIRME A MUY FIRME",IF(CC70&lt;30,"MUY FIRME",IF(CC70=30,"MUY FIRME A DURA","DURA"))))))))))))</f>
        <v> </v>
      </c>
      <c r="BA70" s="225" t="str">
        <f aca="false">IF(AW70=" "," ",IF(DC70=""," ",IF(DC70&lt;4,"MUY SUELTA",IF(DC70=4,"MUY SUELTA A SUELTA",IF(DC70&lt;10,"SUELTA",IF(DC70=10,"SUELTA A MEDIA",IF(DC70&lt;30,"MEDIA",IF(DC70=30,"MEDIA A DENSO",IF(DC70&lt;50,"DENSO",IF(DC70=50,"DENSO MUY DENSO","MUY DENSO"))))))))))</f>
        <v> </v>
      </c>
      <c r="BB70" s="226" t="str">
        <f aca="false">IF(BR71=0,"",CQ71*0.0101972)</f>
        <v/>
      </c>
      <c r="BC70" s="227" t="n">
        <f aca="false">+BC69+0.1</f>
        <v>5.3</v>
      </c>
      <c r="BD70" s="227" t="str">
        <f aca="false">IF(BC70&lt;=$AN$10,BC70,"")</f>
        <v/>
      </c>
      <c r="BE70" s="228" t="n">
        <f aca="false">ISNUMBER(BD70)</f>
        <v>0</v>
      </c>
      <c r="BF70" s="229" t="str">
        <f aca="false">MID(M70,1,1)</f>
        <v/>
      </c>
      <c r="BG70" s="230" t="str">
        <f aca="false">IF(BF70="S","",IF(BF70="G","",MID(M70,2,1)))</f>
        <v/>
      </c>
      <c r="BH70" s="231" t="str">
        <f aca="false">CONCATENATE(BF70,BG70)</f>
        <v/>
      </c>
      <c r="BI70" s="6" t="str">
        <f aca="false">IF(BE70=FALSE(),"",IF(BH70="",BI69,BH70))</f>
        <v/>
      </c>
      <c r="BJ70" s="74" t="str">
        <f aca="false">IF(OR(BI70="S",BI70="G"),BI70,"X")</f>
        <v>X</v>
      </c>
      <c r="BK70" s="74" t="s">
        <v>230</v>
      </c>
      <c r="BL70" s="306" t="e">
        <f aca="false">INDEX(sim_0,MATCH($BJ$70,granular,0))</f>
        <v>#NAME?</v>
      </c>
      <c r="BM70" s="306"/>
      <c r="BN70" s="6"/>
      <c r="BO70" s="191" t="n">
        <f aca="false">BO69+0.1</f>
        <v>5.3</v>
      </c>
      <c r="BP70" s="233" t="e">
        <f aca="false">IF(AW70=0,NA(),IF(AS70=$AX$3,ROUND(DC70,0),NA()))</f>
        <v>#N/A</v>
      </c>
      <c r="BQ70" s="31" t="e">
        <f aca="false">IF(AW70=0,NA(),IF(AS70=$AX$4,ROUND(CC70,0),NA()))</f>
        <v>#N/A</v>
      </c>
      <c r="BR70" s="234" t="n">
        <f aca="false">+AW70</f>
        <v>0</v>
      </c>
      <c r="BS70" s="235" t="str">
        <f aca="false">IF(BR70=0,"", -0.00000000016128755327*CC70^6 + 0.00000006709386362421*CC70^5 - 0.0000106217678052217*CC70^4 + 0.00081068114193385*CC70^3 - 0.0314027378159951*CC70^2 + 0.649796593937842*CC70 + 13.7888866455022)</f>
        <v/>
      </c>
      <c r="BT70" s="235" t="str">
        <f aca="false">IF(BR70=0,"",-0.00000000014625939695*CC70^6 + 0.00000004971732060241*CC70^5 - 0.000006683744342031*CC70^4 + 0.0004563177378098*CC70^3 - 0.0171727530635803*CC70^2 + 0.444529932876435*CC70 + 15.6692518940565)</f>
        <v/>
      </c>
      <c r="BU70" s="236" t="str">
        <f aca="false">IF(BR70=0,"", -0.0000000008152265738*BR70^6 + 0.00000022764320256987*BR70^5 - 0.0000248205675927705*BR70^4 + 0.00133186623684865*BR70^3 - 0.0368442570441677*BR70^2 + 0.580111565569094*BR70 + 14.0417598296107)</f>
        <v/>
      </c>
      <c r="BV70" s="236" t="str">
        <f aca="false">IF(BR70=0,"", -0.00000000004321395721*BR70^6 + 0.00000002531844275498*BR70^5 - 0.00000369428022780862*BR70^4 + 0.00020283665900125*BR70^3 - 0.00462426256803268*BR70^2 + 0.139572935065453*BR70 + 15.4475338156923)</f>
        <v/>
      </c>
      <c r="BW70" s="236" t="str">
        <f aca="false">IF(BR70=0,"",-0.00000000033126390082*BR70^6 + 0.00000010463660614506*BR70^5 - 0.0000129629592998707*BR70^4 + 0.000803946335250767*BR70^3 - 0.0270257140395994*BR70^2 + 0.562590210721552*BR70+ 12.1254107606419)</f>
        <v/>
      </c>
      <c r="BX70" s="236" t="str">
        <f aca="false">IF(BR70=0,"",-0.00000000002593504955*BR70^6 + 0.00000002430495156704*BR70^5 - 0.00000386103271086364*BR70^4 + 0.000214416118986322*BR70^3 - 0.0047271462612021*BR70^2 + 0.156696175741135*BR70 + 15.4598891949502)</f>
        <v/>
      </c>
      <c r="BY70" s="234" t="str">
        <f aca="false">IF(BR70=0,"",$BS$2)</f>
        <v/>
      </c>
      <c r="BZ70" s="234" t="str">
        <f aca="false">IF(BR70=0,"",$BS$3)</f>
        <v/>
      </c>
      <c r="CA70" s="234" t="str">
        <f aca="false">IF(BR70=0,"",$BS$4)</f>
        <v/>
      </c>
      <c r="CB70" s="235" t="str">
        <f aca="false">IF(BR70=0,"",IF(AND(BO70&gt;=0,BO70&lt;4),0.75,IF(AND(BO70&gt;=4,BO70&lt;6),0.85,IF(AND(BO70&gt;=6,BO70&lt;=10),0.95,1))))</f>
        <v/>
      </c>
      <c r="CC70" s="234" t="str">
        <f aca="false">IF(BR70=0,"",BR70*BY70*BZ70*CA70*CB70/60)</f>
        <v/>
      </c>
      <c r="CD70" s="238" t="str">
        <f aca="false">IF(BR70=0,"",IF($S$12="NO","NO",IF($AD$12&lt;=BO70,"SI","NO")))</f>
        <v/>
      </c>
      <c r="CE70" s="235" t="n">
        <f aca="false">IF(BR70=0,0,AB70)</f>
        <v>0</v>
      </c>
      <c r="CF70" s="235" t="n">
        <f aca="false">IF(CE70&gt;0,BO70,0)</f>
        <v>0</v>
      </c>
      <c r="CG70" s="239" t="n">
        <f aca="false">IF(CF70=0,CF70+CG69,CF70)</f>
        <v>0</v>
      </c>
      <c r="CH70" s="239" t="n">
        <f aca="false">IF(CG70=CG69,CH69,ABS(CG70-CG69))</f>
        <v>0</v>
      </c>
      <c r="CI70" s="239" t="n">
        <f aca="false">+CE70*CH70</f>
        <v>0</v>
      </c>
      <c r="CJ70" s="239" t="n">
        <f aca="false">IF(CI70=0,CI70+CJ69,CI70)</f>
        <v>0</v>
      </c>
      <c r="CK70" s="239" t="n">
        <f aca="false">IF(CJ70=CJ69,CK69,ABS(CJ70+CK69))</f>
        <v>0</v>
      </c>
      <c r="CL70" s="241" t="n">
        <f aca="false">IF(CE70=0,0,CK70)</f>
        <v>0</v>
      </c>
      <c r="CM70" s="239" t="n">
        <f aca="false">IF(CE70=0,0,CH70*9.81)</f>
        <v>0</v>
      </c>
      <c r="CN70" s="239" t="n">
        <f aca="false">IF(CM70=0,CM70+CN69,CM70)</f>
        <v>0</v>
      </c>
      <c r="CO70" s="239" t="n">
        <f aca="false">IF(CN70=CN69,CO69,ABS(CN70+CO69))</f>
        <v>0</v>
      </c>
      <c r="CP70" s="241" t="n">
        <f aca="false">IF(CD70="NO",0,IF(CE70=0,0,CO70))</f>
        <v>0</v>
      </c>
      <c r="CQ70" s="244" t="str">
        <f aca="false">IF(BR70=0,"",CL70-CP70)</f>
        <v/>
      </c>
      <c r="CR70" s="244" t="str">
        <f aca="false">IF(BR70=0,"",CQ70/101.3)</f>
        <v/>
      </c>
      <c r="CS70" s="244" t="str">
        <f aca="false">IF(BR70=0,"",LOG(10/CR70))</f>
        <v/>
      </c>
      <c r="CT70" s="243" t="str">
        <f aca="false">IF(BR70=0,"",IF(SQRT(101.3/CQ70)&lt;=1.7,SQRT(101.3/CQ70),2.2/(1.2+(CQ70/101.3))))</f>
        <v/>
      </c>
      <c r="CU70" s="244" t="str">
        <f aca="false">IF(BR70=0,"",1.7/(0.7+CR70))</f>
        <v/>
      </c>
      <c r="CV70" s="244" t="str">
        <f aca="false">IF(BR70=0,"",IF(CR70&gt;=0.25,0.77*LOG(20/CR70),""))</f>
        <v/>
      </c>
      <c r="CW70" s="244" t="str">
        <f aca="false">IF(BR70=0,"",32.5/(10.2+20.3*CR70))</f>
        <v/>
      </c>
      <c r="CX70" s="244" t="str">
        <f aca="false">IF(BR70=0,"",1-1.25*LOG(CR70))</f>
        <v/>
      </c>
      <c r="CY70" s="244" t="str">
        <f aca="false">IF(BR70=0,"",IF(CR70&lt;1,1-1.41*LOG(CR70),1+0.92*LOG(CR70)))</f>
        <v/>
      </c>
      <c r="CZ70" s="244" t="str">
        <f aca="false">IF(BR70=0,"",2/(1+CR70))</f>
        <v/>
      </c>
      <c r="DA70" s="244" t="str">
        <f aca="false">IF(BR70=0,"",IF(CR70&lt;=0.75,4/(1+4*CR70),4/(3.25+CR70)))</f>
        <v/>
      </c>
      <c r="DB70" s="244" t="str">
        <f aca="false">IF(BR70=0,"",CT70)</f>
        <v/>
      </c>
      <c r="DC70" s="244" t="str">
        <f aca="false">IF(BR70=0,"",DB70*CC70)</f>
        <v/>
      </c>
      <c r="DD70" s="244"/>
      <c r="DE70" s="244" t="str">
        <f aca="false">IF(BR70=0,"",0.193*(CC70/(CQ70*0.001))^0.689)</f>
        <v/>
      </c>
      <c r="DF70" s="244" t="str">
        <f aca="false">IF(BR70=0,"",IF(AS70=$AX$4,(0.1348118*CC70 - 0.0383065)*98.0665,""))</f>
        <v/>
      </c>
      <c r="DG70" s="244" t="str">
        <f aca="false">IF(BR70=0,"",IF(AS70=$AX$4,DF70/2,""))</f>
        <v/>
      </c>
      <c r="DH70" s="244" t="str">
        <f aca="false">IF(BR70=0,"",IF(DC70&lt;=15,12*(DC70+6),40+12*(DC70-6)))</f>
        <v/>
      </c>
      <c r="DI70" s="244" t="str">
        <f aca="false">IF(BR70=0,"",IF(CD70="SI",5*(DC70+15),((3.3*(DC70+15))+(4*(DC70+12)))/2))</f>
        <v/>
      </c>
      <c r="DJ70" s="244" t="str">
        <f aca="false">IF(BR70=0,"",8*DC70)</f>
        <v/>
      </c>
      <c r="DK70" s="244" t="str">
        <f aca="false">IF(BR70=0,"",215+(10.6*DC70))</f>
        <v/>
      </c>
      <c r="DL70" s="244" t="str">
        <f aca="false">IF(BR70=0,"",10*(7.5+(0.5*DC70)))</f>
        <v/>
      </c>
      <c r="DM70" s="244" t="str">
        <f aca="false">IF(BR70=0,"",8*DC70)</f>
        <v/>
      </c>
      <c r="DN70" s="244" t="str">
        <f aca="false">IF(AW70=" "," ",IF(DC70=""," ",IF(DC70&lt;4,10*10.2,IF(DC70=4,12*10.2,IF(DC70&lt;10,17.5*10.5,IF(DC70=10,15*10.2,IF(DC70&lt;30,22.5*10.2,IF(DC70=30,35*10.2,IF(DC70&lt;50,40*10.2,IF(DC70=50,50*10.2,55*10.2))))))))))</f>
        <v> </v>
      </c>
      <c r="DO70" s="244" t="str">
        <f aca="false">IF(BR70=0,"",7*SQRT(DC70)*10.1972)</f>
        <v/>
      </c>
      <c r="DP70" s="244" t="str">
        <f aca="false">IF(BR70=0,"",IF(AS70=$AX$4,5*CC70,""))</f>
        <v/>
      </c>
      <c r="DQ70" s="244" t="str">
        <f aca="false">IF(AW70=" "," ",IF(DC70=""," ",IF(DC70&lt;2,4*10.2,IF(DC70=2,6*10.2,IF(DC70&lt;4,12*10.2,IF(DC70=4,20*10.2,IF(DC70&lt;8,30*10.2,IF(DC70=8,35*10.2,IF(DC70&lt;15,40*10.2,IF(DC70=15,42*10.2,IF(DC70&lt;30,45*10.2,IF(DC70=30,50*10.2,70*10.2))))))))))))</f>
        <v> </v>
      </c>
      <c r="DR70" s="244" t="str">
        <f aca="false">IF(BR70=0,"",IF(AS70=$AX$4,220*DP70*0.0101972,""))</f>
        <v/>
      </c>
      <c r="DS70" s="271" t="str">
        <f aca="false">IF(BR70=0,"",IF(AS70=$AX$7,(SUM(DH70:DO70)-MIN(DH70:DO70)-MAX(DH70:DO70))/6,(SUM(DO70:DR70)-MIN(DO70:DR70)-MAX(DO70:DR70))/2))</f>
        <v/>
      </c>
      <c r="DT70" s="244" t="str">
        <f aca="false">IF(AW70=" "," ",IF(DC70=""," ",IF(DC70&lt;4,0.2,IF(DC70=4,0.27,IF(DC70&lt;10,0.33,IF(DC70=10,0.35,IF(DC70&lt;30,0.36,IF(DC70=30,0.37,IF(DC70&lt;50,0.38,IF(DC70=50,0.4,0.45))))))))))</f>
        <v> </v>
      </c>
      <c r="DU70" s="272" t="str">
        <f aca="false">IF(AW70=" "," ",IF(CC70=""," ",IF(CC70&lt;2,0.2,IF(CC70=2,0.23,IF(CC70&lt;4,0.26,IF(CC70=4,0.29,IF(CC70&lt;8,0.32,IF(CC70=8,0.35,IF(CC70&lt;15,0.38,IF(CC70=15,0.41,IF(CC70&lt;30,0.44,IF(CC70=30,0.47,0.5))))))))))))</f>
        <v> </v>
      </c>
      <c r="DV70" s="244" t="str">
        <f aca="false">IF(BR70=0,"",IF(AS70=$AX$3,DT70,DU70))</f>
        <v/>
      </c>
      <c r="DW70" s="244" t="str">
        <f aca="false">IF(BR70=0,"",IF(DC70&gt;15,15+0.5*(DC70-15),DC70))</f>
        <v/>
      </c>
      <c r="DX70" s="244" t="str">
        <f aca="false">IF(BR70=0,"",IF($S$12="SI",IF(CD70="NO",IF($AD$12&gt;(BO70+1.5*$ED$15),1,0.5),0.5),1))</f>
        <v/>
      </c>
      <c r="DY70" s="244" t="str">
        <f aca="false">IF(BR70=0,"",IF($S$12="SI",IF(CD70="NO",IF($AD$12&gt;(BO70+1.5*$EE$15),1,0.5),0.5),1))</f>
        <v/>
      </c>
      <c r="DZ70" s="244" t="str">
        <f aca="false">IF(BR70=0,"",IF($S$12="SI",IF(CD70="NO",IF($AD$12&gt;(BO70+1.5*$EF$15),1,0.5),0.5),1))</f>
        <v/>
      </c>
      <c r="EA70" s="244" t="str">
        <f aca="false">IF(BR70=0,"",IF($S$12="SI",IF(CD70="NO",IF($AD$12&gt;(BO70+1.5*$ED$15),1,0.5),IF($AD$12=BO70,1,0.5)),1))</f>
        <v/>
      </c>
      <c r="EB70" s="244" t="str">
        <f aca="false">IF(BR70=0,"",IF($S$12="SI",IF(CD70="NO",IF($AD$12&gt;(BO70+1.5*$EE$15),1,0.5),IF($AD$12=BO70,1,0.5)),1))</f>
        <v/>
      </c>
      <c r="EC70" s="244" t="str">
        <f aca="false">IF(BR70=0,"",IF($S$12="SI",IF(CD70="NO",IF($AD$12&gt;(BO70+1.5*$EF$15),1,0.5),IF($AD$12=BO70,1,0.5)),1))</f>
        <v/>
      </c>
      <c r="ED70" s="244" t="str">
        <f aca="false">IF(BR70=0,"",(DW70*($ED$15/10)*(DX70+EA70*(BO70/$ED$15))*1)/3)</f>
        <v/>
      </c>
      <c r="EE70" s="244" t="str">
        <f aca="false">IF(BR70=0,"",(DW70*($EE$15/10)*(DY70+EB70*(BO70/$EE$15))*1)/3)</f>
        <v/>
      </c>
      <c r="EF70" s="244" t="str">
        <f aca="false">IF(BR70=0,"",(DW70*($EF$15/10)*(DZ70+EC70*(BO70/$EF$15))*1)/3)</f>
        <v/>
      </c>
      <c r="EG70" s="273" t="str">
        <f aca="false">IF(BR70=0,"",IF(CD70="SI",0.5,1))</f>
        <v/>
      </c>
      <c r="EH70" s="244" t="str">
        <f aca="false">IF(BR70=0,"",IF((1+0.33*(BO70/$ED$15))&lt;=1.33,(1+0.33*(BO70/$ED$15)),1.33))</f>
        <v/>
      </c>
      <c r="EI70" s="244" t="str">
        <f aca="false">IF(BR70=0,"",IF((1+0.33*(BO70/$EE$15))&lt;=1.33,(1+0.33*(BO70/$EE$15)),1.33))</f>
        <v/>
      </c>
      <c r="EJ70" s="244" t="str">
        <f aca="false">IF(BR70=0,"",IF((1+0.33*(BO70/$EF$15))&lt;=1.33,(1+0.33*(BO70/$EF$15)),1.33))</f>
        <v/>
      </c>
      <c r="EK70" s="244" t="str">
        <f aca="false">IF(BR70=0,"",IF($ED$15&lt;=1.2,((20*DC70*EG70*EH70)/3)*0.010197,((12.5*DC70*((($ED$15+0.3)^2)/$ED$15)*EG70*EH70)/3)*0.010197))</f>
        <v/>
      </c>
      <c r="EL70" s="244" t="str">
        <f aca="false">IF(BR70=0,"",IF($EE$15&lt;=1.2,((20*DC70*EG70*EI70)/3)*0.010197,((12.5*DC70*((($EE$15+0.3)^2)/$EE$15)*EG70*EI70)/3)*0.010197))</f>
        <v/>
      </c>
      <c r="EM70" s="244" t="str">
        <f aca="false">IF(BR70=0,"",IF($EF$15&lt;=1.2,((20*DC70*EG70*EJ70)/3)*0.010197,((12.5*DC70*((($EF$15+0.3)^2)/$EF$15)*EG70*EJ70)/3)*0.010197))</f>
        <v/>
      </c>
      <c r="EN70" s="248" t="str">
        <f aca="false">IF(BR70=0,"",SQRT(12*CC70)+25)</f>
        <v/>
      </c>
      <c r="EO70" s="248" t="str">
        <f aca="false">IF(BR70=0,"",28.5+0.25*CC70)</f>
        <v/>
      </c>
      <c r="EP70" s="248" t="str">
        <f aca="false">IF(BR70=0,"",SQRT(20*CC70)+15)</f>
        <v/>
      </c>
      <c r="EQ70" s="248" t="str">
        <f aca="false">IF(BR70=0,"",23.7+0.57*CC70-0.0006*CC70*CC70)</f>
        <v/>
      </c>
      <c r="ER70" s="248" t="str">
        <f aca="false">IF(BR70=0,"",15+SQRT(12.5*DC70))</f>
        <v/>
      </c>
      <c r="ES70" s="248" t="str">
        <f aca="false">IF(BR70=0,"",3.5*SQRT(CC70)+20)</f>
        <v/>
      </c>
      <c r="ET70" s="248" t="str">
        <f aca="false">IF(BR70=0,"",27.1+0.3*DC70-0.00054*DC70*DC70)</f>
        <v/>
      </c>
      <c r="EU70" s="248" t="str">
        <f aca="false">IF(BR70=0,"",SQRT(20*CC70)+20)</f>
        <v/>
      </c>
      <c r="EV70" s="248" t="str">
        <f aca="false">IF(BR70=0,"",12.79+SQRT(25.86*CC70))</f>
        <v/>
      </c>
      <c r="EW70" s="248" t="str">
        <f aca="false">IF(BR70=0,"",DEGREES(_xlfn.ACOT((CC70/(12.2+20.3*CR70))^0.34)))</f>
        <v/>
      </c>
      <c r="EX70" s="248" t="str">
        <f aca="false">IF(BR70=0,"",24+(5.77*LN(0.17*DC70)))</f>
        <v/>
      </c>
      <c r="EY70" s="248" t="str">
        <f aca="false">IF(BR70=0,"",(SUM(EN70:EX70)-MIN(EN70:EX70)-MAX(EN70:EX70))/9)</f>
        <v/>
      </c>
      <c r="EZ70" s="248" t="str">
        <f aca="false">IF(BR70=0,"", -0.0000000034*CC70^6 + 0.0000008305*CC70^5 - 0.0000741842*CC70^4 + 0.0030204278*CC70^3 - 0.0541594733*CC70^2 + 0.8083147848*CC70 - 0.6182191243)</f>
        <v/>
      </c>
      <c r="FA70" s="249" t="str">
        <f aca="false">IF(BR70=0,"",(0.134811827956989*CC70 - 0.0383064516129019)/2)</f>
        <v/>
      </c>
      <c r="FB70" s="249" t="str">
        <f aca="false">IF(BR70=0,"",CC70*0.065)</f>
        <v/>
      </c>
      <c r="FC70" s="249" t="str">
        <f aca="false">IF(BR70=0,"",(CC70*0.12*0.48)*SQRT((1+SIN(EZ70*((2*PI())/360))/(1-SIN(EZ70*((2*PI())/360))))))</f>
        <v/>
      </c>
      <c r="FD70" s="249" t="str">
        <f aca="false">IF(BR70=0,"",(CC70/8)/2)</f>
        <v/>
      </c>
      <c r="FE70" s="249" t="str">
        <f aca="false">IF(BR70=0,"",(SUM(FA70:FD70)-MIN(FA70:FD70)-MAX(FA70:FD70))/2)</f>
        <v/>
      </c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</row>
    <row r="71" customFormat="false" ht="9.75" hidden="false" customHeight="true" outlineLevel="0" collapsed="false">
      <c r="A71" s="197" t="n">
        <f aca="false">ROUND(A70+0.1,1)</f>
        <v>5.4</v>
      </c>
      <c r="B71" s="250" t="n">
        <f aca="false">+A71</f>
        <v>5.4</v>
      </c>
      <c r="C71" s="251"/>
      <c r="D71" s="251"/>
      <c r="E71" s="274"/>
      <c r="F71" s="253"/>
      <c r="G71" s="279"/>
      <c r="H71" s="280"/>
      <c r="I71" s="280"/>
      <c r="J71" s="257"/>
      <c r="K71" s="258"/>
      <c r="L71" s="259"/>
      <c r="M71" s="276"/>
      <c r="N71" s="277"/>
      <c r="O71" s="277"/>
      <c r="P71" s="277"/>
      <c r="Q71" s="293"/>
      <c r="R71" s="304"/>
      <c r="S71" s="305"/>
      <c r="T71" s="295"/>
      <c r="U71" s="295"/>
      <c r="V71" s="296"/>
      <c r="W71" s="296"/>
      <c r="X71" s="296"/>
      <c r="Y71" s="296"/>
      <c r="Z71" s="296"/>
      <c r="AA71" s="296"/>
      <c r="AB71" s="297"/>
      <c r="AC71" s="298"/>
      <c r="AD71" s="299"/>
      <c r="AE71" s="298"/>
      <c r="AF71" s="300"/>
      <c r="AG71" s="267"/>
      <c r="AH71" s="267"/>
      <c r="AI71" s="241"/>
      <c r="AJ71" s="241"/>
      <c r="AK71" s="266"/>
      <c r="AL71" s="266"/>
      <c r="AM71" s="268"/>
      <c r="AN71" s="250" t="n">
        <f aca="false">+AN69+0.2</f>
        <v>5.4</v>
      </c>
      <c r="AO71" s="251"/>
      <c r="AP71" s="251"/>
      <c r="AQ71" s="274"/>
      <c r="AR71" s="253"/>
      <c r="AS71" s="269" t="s">
        <v>13</v>
      </c>
      <c r="AT71" s="221" t="s">
        <v>54</v>
      </c>
      <c r="AU71" s="269"/>
      <c r="AV71" s="269"/>
      <c r="AW71" s="270" t="n">
        <f aca="false">+K71+L71</f>
        <v>0</v>
      </c>
      <c r="AX71" s="270" t="str">
        <f aca="false">IF(AS71="&gt;50","CONSISTENCIA",IF(AS71="&lt;50","COMPACIDAD"," "))</f>
        <v>COMPACIDAD</v>
      </c>
      <c r="AY71" s="225" t="str">
        <f aca="false">IF(AS71="&gt;50",AZ71,IF(AS71="&lt;50",BA71," "))</f>
        <v> </v>
      </c>
      <c r="AZ71" s="224" t="str">
        <f aca="false">IF(AW71=" "," ",IF(CC71=""," ",IF(CC71&lt;2,"MUY BLANDA",IF(CC71=2,"MUY BLANDA A BLANDA",IF(CC71&lt;4,"BLANDA",IF(CC71=4,"BLANDA A MEDIA",IF(CC71&lt;8,"MEDIA",IF(CC71=8,"MEDIA A FIRME",IF(CC71&lt;15,"FIRME",IF(CC71=15,"FIRME A MUY FIRME",IF(CC71&lt;30,"MUY FIRME",IF(CC71=30,"MUY FIRME A DURA","DURA"))))))))))))</f>
        <v> </v>
      </c>
      <c r="BA71" s="225" t="str">
        <f aca="false">IF(AW71=" "," ",IF(DC71=""," ",IF(DC71&lt;4,"MUY SUELTA",IF(DC71=4,"MUY SUELTA A SUELTA",IF(DC71&lt;10,"SUELTA",IF(DC71=10,"SUELTA A MEDIA",IF(DC71&lt;30,"MEDIA",IF(DC71=30,"MEDIA A DENSO",IF(DC71&lt;50,"DENSO",IF(DC71=50,"DENSO MUY DENSO","MUY DENSO"))))))))))</f>
        <v> </v>
      </c>
      <c r="BB71" s="226" t="str">
        <f aca="false">IF(BR72=0,"",CQ72*0.0101972)</f>
        <v/>
      </c>
      <c r="BC71" s="227" t="n">
        <f aca="false">+BC70+0.1</f>
        <v>5.4</v>
      </c>
      <c r="BD71" s="227" t="str">
        <f aca="false">IF(BC71&lt;=$AN$10,BC71,"")</f>
        <v/>
      </c>
      <c r="BE71" s="228" t="n">
        <f aca="false">ISNUMBER(BD71)</f>
        <v>0</v>
      </c>
      <c r="BF71" s="229" t="str">
        <f aca="false">MID(M71,1,1)</f>
        <v/>
      </c>
      <c r="BG71" s="230" t="str">
        <f aca="false">IF(BF71="S","",IF(BF71="G","",MID(M71,2,1)))</f>
        <v/>
      </c>
      <c r="BH71" s="231" t="str">
        <f aca="false">CONCATENATE(BF71,BG71)</f>
        <v/>
      </c>
      <c r="BI71" s="6" t="str">
        <f aca="false">IF(BE71=FALSE(),"",IF(BH71="",BI70,BH71))</f>
        <v/>
      </c>
      <c r="BJ71" s="74" t="str">
        <f aca="false">IF(OR(BI71="S",BI71="G"),BI71,"X")</f>
        <v>X</v>
      </c>
      <c r="BK71" s="74" t="s">
        <v>231</v>
      </c>
      <c r="BL71" s="306" t="e">
        <f aca="false">INDEX(sim_0,MATCH($BJ$71,granular,0))</f>
        <v>#NAME?</v>
      </c>
      <c r="BM71" s="306"/>
      <c r="BN71" s="6"/>
      <c r="BO71" s="191" t="n">
        <f aca="false">BO70+0.1</f>
        <v>5.4</v>
      </c>
      <c r="BP71" s="233" t="e">
        <f aca="false">IF(AW71=0,NA(),IF(AS71=$AX$3,ROUND(DC71,0),NA()))</f>
        <v>#N/A</v>
      </c>
      <c r="BQ71" s="31" t="e">
        <f aca="false">IF(AW71=0,NA(),IF(AS71=$AX$4,ROUND(CC71,0),NA()))</f>
        <v>#N/A</v>
      </c>
      <c r="BR71" s="234" t="n">
        <f aca="false">+AW71</f>
        <v>0</v>
      </c>
      <c r="BS71" s="235" t="str">
        <f aca="false">IF(BR71=0,"", -0.00000000016128755327*CC71^6 + 0.00000006709386362421*CC71^5 - 0.0000106217678052217*CC71^4 + 0.00081068114193385*CC71^3 - 0.0314027378159951*CC71^2 + 0.649796593937842*CC71 + 13.7888866455022)</f>
        <v/>
      </c>
      <c r="BT71" s="235" t="str">
        <f aca="false">IF(BR71=0,"",-0.00000000014625939695*CC71^6 + 0.00000004971732060241*CC71^5 - 0.000006683744342031*CC71^4 + 0.0004563177378098*CC71^3 - 0.0171727530635803*CC71^2 + 0.444529932876435*CC71 + 15.6692518940565)</f>
        <v/>
      </c>
      <c r="BU71" s="236" t="str">
        <f aca="false">IF(BR71=0,"", -0.0000000008152265738*BR71^6 + 0.00000022764320256987*BR71^5 - 0.0000248205675927705*BR71^4 + 0.00133186623684865*BR71^3 - 0.0368442570441677*BR71^2 + 0.580111565569094*BR71 + 14.0417598296107)</f>
        <v/>
      </c>
      <c r="BV71" s="236" t="str">
        <f aca="false">IF(BR71=0,"", -0.00000000004321395721*BR71^6 + 0.00000002531844275498*BR71^5 - 0.00000369428022780862*BR71^4 + 0.00020283665900125*BR71^3 - 0.00462426256803268*BR71^2 + 0.139572935065453*BR71 + 15.4475338156923)</f>
        <v/>
      </c>
      <c r="BW71" s="236" t="str">
        <f aca="false">IF(BR71=0,"",-0.00000000033126390082*BR71^6 + 0.00000010463660614506*BR71^5 - 0.0000129629592998707*BR71^4 + 0.000803946335250767*BR71^3 - 0.0270257140395994*BR71^2 + 0.562590210721552*BR71+ 12.1254107606419)</f>
        <v/>
      </c>
      <c r="BX71" s="236" t="str">
        <f aca="false">IF(BR71=0,"",-0.00000000002593504955*BR71^6 + 0.00000002430495156704*BR71^5 - 0.00000386103271086364*BR71^4 + 0.000214416118986322*BR71^3 - 0.0047271462612021*BR71^2 + 0.156696175741135*BR71 + 15.4598891949502)</f>
        <v/>
      </c>
      <c r="BY71" s="234" t="str">
        <f aca="false">IF(BR71=0,"",$BS$2)</f>
        <v/>
      </c>
      <c r="BZ71" s="234" t="str">
        <f aca="false">IF(BR71=0,"",$BS$3)</f>
        <v/>
      </c>
      <c r="CA71" s="234" t="str">
        <f aca="false">IF(BR71=0,"",$BS$4)</f>
        <v/>
      </c>
      <c r="CB71" s="235" t="str">
        <f aca="false">IF(BR71=0,"",IF(AND(BO71&gt;=0,BO71&lt;4),0.75,IF(AND(BO71&gt;=4,BO71&lt;6),0.85,IF(AND(BO71&gt;=6,BO71&lt;=10),0.95,1))))</f>
        <v/>
      </c>
      <c r="CC71" s="234" t="str">
        <f aca="false">IF(BR71=0,"",BR71*BY71*BZ71*CA71*CB71/60)</f>
        <v/>
      </c>
      <c r="CD71" s="238" t="str">
        <f aca="false">IF(BR71=0,"",IF($S$12="NO","NO",IF($AD$12&lt;=BO71,"SI","NO")))</f>
        <v/>
      </c>
      <c r="CE71" s="235" t="n">
        <f aca="false">IF(BR71=0,0,AB71)</f>
        <v>0</v>
      </c>
      <c r="CF71" s="235" t="n">
        <f aca="false">IF(CE71&gt;0,BO71,0)</f>
        <v>0</v>
      </c>
      <c r="CG71" s="239" t="n">
        <f aca="false">IF(CF71=0,CF71+CG70,CF71)</f>
        <v>0</v>
      </c>
      <c r="CH71" s="239" t="n">
        <f aca="false">IF(CG71=CG70,CH70,ABS(CG71-CG70))</f>
        <v>0</v>
      </c>
      <c r="CI71" s="239" t="n">
        <f aca="false">+CE71*CH71</f>
        <v>0</v>
      </c>
      <c r="CJ71" s="239" t="n">
        <f aca="false">IF(CI71=0,CI71+CJ70,CI71)</f>
        <v>0</v>
      </c>
      <c r="CK71" s="239" t="n">
        <f aca="false">IF(CJ71=CJ70,CK70,ABS(CJ71+CK70))</f>
        <v>0</v>
      </c>
      <c r="CL71" s="241" t="n">
        <f aca="false">IF(CE71=0,0,CK71)</f>
        <v>0</v>
      </c>
      <c r="CM71" s="239" t="n">
        <f aca="false">IF(CE71=0,0,CH71*9.81)</f>
        <v>0</v>
      </c>
      <c r="CN71" s="239" t="n">
        <f aca="false">IF(CM71=0,CM71+CN70,CM71)</f>
        <v>0</v>
      </c>
      <c r="CO71" s="239" t="n">
        <f aca="false">IF(CN71=CN70,CO70,ABS(CN71+CO70))</f>
        <v>0</v>
      </c>
      <c r="CP71" s="241" t="n">
        <f aca="false">IF(CD71="NO",0,IF(CE71=0,0,CO71))</f>
        <v>0</v>
      </c>
      <c r="CQ71" s="244" t="str">
        <f aca="false">IF(BR71=0,"",CL71-CP71)</f>
        <v/>
      </c>
      <c r="CR71" s="244" t="str">
        <f aca="false">IF(BR71=0,"",CQ71/101.3)</f>
        <v/>
      </c>
      <c r="CS71" s="244" t="str">
        <f aca="false">IF(BR71=0,"",LOG(10/CR71))</f>
        <v/>
      </c>
      <c r="CT71" s="243" t="str">
        <f aca="false">IF(BR71=0,"",IF(SQRT(101.3/CQ71)&lt;=1.7,SQRT(101.3/CQ71),2.2/(1.2+(CQ71/101.3))))</f>
        <v/>
      </c>
      <c r="CU71" s="244" t="str">
        <f aca="false">IF(BR71=0,"",1.7/(0.7+CR71))</f>
        <v/>
      </c>
      <c r="CV71" s="244" t="str">
        <f aca="false">IF(BR71=0,"",IF(CR71&gt;=0.25,0.77*LOG(20/CR71),""))</f>
        <v/>
      </c>
      <c r="CW71" s="244" t="str">
        <f aca="false">IF(BR71=0,"",32.5/(10.2+20.3*CR71))</f>
        <v/>
      </c>
      <c r="CX71" s="244" t="str">
        <f aca="false">IF(BR71=0,"",1-1.25*LOG(CR71))</f>
        <v/>
      </c>
      <c r="CY71" s="244" t="str">
        <f aca="false">IF(BR71=0,"",IF(CR71&lt;1,1-1.41*LOG(CR71),1+0.92*LOG(CR71)))</f>
        <v/>
      </c>
      <c r="CZ71" s="244" t="str">
        <f aca="false">IF(BR71=0,"",2/(1+CR71))</f>
        <v/>
      </c>
      <c r="DA71" s="244" t="str">
        <f aca="false">IF(BR71=0,"",IF(CR71&lt;=0.75,4/(1+4*CR71),4/(3.25+CR71)))</f>
        <v/>
      </c>
      <c r="DB71" s="244" t="str">
        <f aca="false">IF(BR71=0,"",CT71)</f>
        <v/>
      </c>
      <c r="DC71" s="244" t="str">
        <f aca="false">IF(BR71=0,"",DB71*CC71)</f>
        <v/>
      </c>
      <c r="DD71" s="244"/>
      <c r="DE71" s="244" t="str">
        <f aca="false">IF(BR71=0,"",0.193*(CC71/(CQ71*0.001))^0.689)</f>
        <v/>
      </c>
      <c r="DF71" s="244" t="str">
        <f aca="false">IF(BR71=0,"",IF(AS71=$AX$4,(0.1348118*CC71 - 0.0383065)*98.0665,""))</f>
        <v/>
      </c>
      <c r="DG71" s="244" t="str">
        <f aca="false">IF(BR71=0,"",IF(AS71=$AX$4,DF71/2,""))</f>
        <v/>
      </c>
      <c r="DH71" s="244" t="str">
        <f aca="false">IF(BR71=0,"",IF(DC71&lt;=15,12*(DC71+6),40+12*(DC71-6)))</f>
        <v/>
      </c>
      <c r="DI71" s="244" t="str">
        <f aca="false">IF(BR71=0,"",IF(CD71="SI",5*(DC71+15),((3.3*(DC71+15))+(4*(DC71+12)))/2))</f>
        <v/>
      </c>
      <c r="DJ71" s="244" t="str">
        <f aca="false">IF(BR71=0,"",8*DC71)</f>
        <v/>
      </c>
      <c r="DK71" s="244" t="str">
        <f aca="false">IF(BR71=0,"",215+(10.6*DC71))</f>
        <v/>
      </c>
      <c r="DL71" s="244" t="str">
        <f aca="false">IF(BR71=0,"",10*(7.5+(0.5*DC71)))</f>
        <v/>
      </c>
      <c r="DM71" s="244" t="str">
        <f aca="false">IF(BR71=0,"",8*DC71)</f>
        <v/>
      </c>
      <c r="DN71" s="244" t="str">
        <f aca="false">IF(AW71=" "," ",IF(DC71=""," ",IF(DC71&lt;4,10*10.2,IF(DC71=4,12*10.2,IF(DC71&lt;10,17.5*10.5,IF(DC71=10,15*10.2,IF(DC71&lt;30,22.5*10.2,IF(DC71=30,35*10.2,IF(DC71&lt;50,40*10.2,IF(DC71=50,50*10.2,55*10.2))))))))))</f>
        <v> </v>
      </c>
      <c r="DO71" s="244" t="str">
        <f aca="false">IF(BR71=0,"",7*SQRT(DC71)*10.1972)</f>
        <v/>
      </c>
      <c r="DP71" s="244" t="str">
        <f aca="false">IF(BR71=0,"",IF(AS71=$AX$4,5*CC71,""))</f>
        <v/>
      </c>
      <c r="DQ71" s="244" t="str">
        <f aca="false">IF(AW71=" "," ",IF(DC71=""," ",IF(DC71&lt;2,4*10.2,IF(DC71=2,6*10.2,IF(DC71&lt;4,12*10.2,IF(DC71=4,20*10.2,IF(DC71&lt;8,30*10.2,IF(DC71=8,35*10.2,IF(DC71&lt;15,40*10.2,IF(DC71=15,42*10.2,IF(DC71&lt;30,45*10.2,IF(DC71=30,50*10.2,70*10.2))))))))))))</f>
        <v> </v>
      </c>
      <c r="DR71" s="244" t="str">
        <f aca="false">IF(BR71=0,"",IF(AS71=$AX$4,220*DP71*0.0101972,""))</f>
        <v/>
      </c>
      <c r="DS71" s="271" t="str">
        <f aca="false">IF(BR71=0,"",IF(AS71=$AX$7,(SUM(DH71:DO71)-MIN(DH71:DO71)-MAX(DH71:DO71))/6,(SUM(DO71:DR71)-MIN(DO71:DR71)-MAX(DO71:DR71))/2))</f>
        <v/>
      </c>
      <c r="DT71" s="244" t="str">
        <f aca="false">IF(AW71=" "," ",IF(DC71=""," ",IF(DC71&lt;4,0.2,IF(DC71=4,0.27,IF(DC71&lt;10,0.33,IF(DC71=10,0.35,IF(DC71&lt;30,0.36,IF(DC71=30,0.37,IF(DC71&lt;50,0.38,IF(DC71=50,0.4,0.45))))))))))</f>
        <v> </v>
      </c>
      <c r="DU71" s="272" t="str">
        <f aca="false">IF(AW71=" "," ",IF(CC71=""," ",IF(CC71&lt;2,0.2,IF(CC71=2,0.23,IF(CC71&lt;4,0.26,IF(CC71=4,0.29,IF(CC71&lt;8,0.32,IF(CC71=8,0.35,IF(CC71&lt;15,0.38,IF(CC71=15,0.41,IF(CC71&lt;30,0.44,IF(CC71=30,0.47,0.5))))))))))))</f>
        <v> </v>
      </c>
      <c r="DV71" s="244" t="str">
        <f aca="false">IF(BR71=0,"",IF(AS71=$AX$3,DT71,DU71))</f>
        <v/>
      </c>
      <c r="DW71" s="244" t="str">
        <f aca="false">IF(BR71=0,"",IF(DC71&gt;15,15+0.5*(DC71-15),DC71))</f>
        <v/>
      </c>
      <c r="DX71" s="244" t="str">
        <f aca="false">IF(BR71=0,"",IF($S$12="SI",IF(CD71="NO",IF($AD$12&gt;(BO71+1.5*$ED$15),1,0.5),0.5),1))</f>
        <v/>
      </c>
      <c r="DY71" s="244" t="str">
        <f aca="false">IF(BR71=0,"",IF($S$12="SI",IF(CD71="NO",IF($AD$12&gt;(BO71+1.5*$EE$15),1,0.5),0.5),1))</f>
        <v/>
      </c>
      <c r="DZ71" s="244" t="str">
        <f aca="false">IF(BR71=0,"",IF($S$12="SI",IF(CD71="NO",IF($AD$12&gt;(BO71+1.5*$EF$15),1,0.5),0.5),1))</f>
        <v/>
      </c>
      <c r="EA71" s="244" t="str">
        <f aca="false">IF(BR71=0,"",IF($S$12="SI",IF(CD71="NO",IF($AD$12&gt;(BO71+1.5*$ED$15),1,0.5),IF($AD$12=BO71,1,0.5)),1))</f>
        <v/>
      </c>
      <c r="EB71" s="244" t="str">
        <f aca="false">IF(BR71=0,"",IF($S$12="SI",IF(CD71="NO",IF($AD$12&gt;(BO71+1.5*$EE$15),1,0.5),IF($AD$12=BO71,1,0.5)),1))</f>
        <v/>
      </c>
      <c r="EC71" s="244" t="str">
        <f aca="false">IF(BR71=0,"",IF($S$12="SI",IF(CD71="NO",IF($AD$12&gt;(BO71+1.5*$EF$15),1,0.5),IF($AD$12=BO71,1,0.5)),1))</f>
        <v/>
      </c>
      <c r="ED71" s="244" t="str">
        <f aca="false">IF(BR71=0,"",(DW71*($ED$15/10)*(DX71+EA71*(BO71/$ED$15))*1)/3)</f>
        <v/>
      </c>
      <c r="EE71" s="244" t="str">
        <f aca="false">IF(BR71=0,"",(DW71*($EE$15/10)*(DY71+EB71*(BO71/$EE$15))*1)/3)</f>
        <v/>
      </c>
      <c r="EF71" s="244" t="str">
        <f aca="false">IF(BR71=0,"",(DW71*($EF$15/10)*(DZ71+EC71*(BO71/$EF$15))*1)/3)</f>
        <v/>
      </c>
      <c r="EG71" s="273" t="str">
        <f aca="false">IF(BR71=0,"",IF(CD71="SI",0.5,1))</f>
        <v/>
      </c>
      <c r="EH71" s="244" t="str">
        <f aca="false">IF(BR71=0,"",IF((1+0.33*(BO71/$ED$15))&lt;=1.33,(1+0.33*(BO71/$ED$15)),1.33))</f>
        <v/>
      </c>
      <c r="EI71" s="244" t="str">
        <f aca="false">IF(BR71=0,"",IF((1+0.33*(BO71/$EE$15))&lt;=1.33,(1+0.33*(BO71/$EE$15)),1.33))</f>
        <v/>
      </c>
      <c r="EJ71" s="244" t="str">
        <f aca="false">IF(BR71=0,"",IF((1+0.33*(BO71/$EF$15))&lt;=1.33,(1+0.33*(BO71/$EF$15)),1.33))</f>
        <v/>
      </c>
      <c r="EK71" s="244" t="str">
        <f aca="false">IF(BR71=0,"",IF($ED$15&lt;=1.2,((20*DC71*EG71*EH71)/3)*0.010197,((12.5*DC71*((($ED$15+0.3)^2)/$ED$15)*EG71*EH71)/3)*0.010197))</f>
        <v/>
      </c>
      <c r="EL71" s="244" t="str">
        <f aca="false">IF(BR71=0,"",IF($EE$15&lt;=1.2,((20*DC71*EG71*EI71)/3)*0.010197,((12.5*DC71*((($EE$15+0.3)^2)/$EE$15)*EG71*EI71)/3)*0.010197))</f>
        <v/>
      </c>
      <c r="EM71" s="244" t="str">
        <f aca="false">IF(BR71=0,"",IF($EF$15&lt;=1.2,((20*DC71*EG71*EJ71)/3)*0.010197,((12.5*DC71*((($EF$15+0.3)^2)/$EF$15)*EG71*EJ71)/3)*0.010197))</f>
        <v/>
      </c>
      <c r="EN71" s="248" t="str">
        <f aca="false">IF(BR71=0,"",SQRT(12*CC71)+25)</f>
        <v/>
      </c>
      <c r="EO71" s="248" t="str">
        <f aca="false">IF(BR71=0,"",28.5+0.25*CC71)</f>
        <v/>
      </c>
      <c r="EP71" s="248" t="str">
        <f aca="false">IF(BR71=0,"",SQRT(20*CC71)+15)</f>
        <v/>
      </c>
      <c r="EQ71" s="248" t="str">
        <f aca="false">IF(BR71=0,"",23.7+0.57*CC71-0.0006*CC71*CC71)</f>
        <v/>
      </c>
      <c r="ER71" s="248" t="str">
        <f aca="false">IF(BR71=0,"",15+SQRT(12.5*DC71))</f>
        <v/>
      </c>
      <c r="ES71" s="248" t="str">
        <f aca="false">IF(BR71=0,"",3.5*SQRT(CC71)+20)</f>
        <v/>
      </c>
      <c r="ET71" s="248" t="str">
        <f aca="false">IF(BR71=0,"",27.1+0.3*DC71-0.00054*DC71*DC71)</f>
        <v/>
      </c>
      <c r="EU71" s="248" t="str">
        <f aca="false">IF(BR71=0,"",SQRT(20*CC71)+20)</f>
        <v/>
      </c>
      <c r="EV71" s="248" t="str">
        <f aca="false">IF(BR71=0,"",12.79+SQRT(25.86*CC71))</f>
        <v/>
      </c>
      <c r="EW71" s="248" t="str">
        <f aca="false">IF(BR71=0,"",DEGREES(_xlfn.ACOT((CC71/(12.2+20.3*CR71))^0.34)))</f>
        <v/>
      </c>
      <c r="EX71" s="248" t="str">
        <f aca="false">IF(BR71=0,"",24+(5.77*LN(0.17*DC71)))</f>
        <v/>
      </c>
      <c r="EY71" s="248" t="str">
        <f aca="false">IF(BR71=0,"",(SUM(EN71:EX71)-MIN(EN71:EX71)-MAX(EN71:EX71))/9)</f>
        <v/>
      </c>
      <c r="EZ71" s="248" t="str">
        <f aca="false">IF(BR71=0,"", -0.0000000034*CC71^6 + 0.0000008305*CC71^5 - 0.0000741842*CC71^4 + 0.0030204278*CC71^3 - 0.0541594733*CC71^2 + 0.8083147848*CC71 - 0.6182191243)</f>
        <v/>
      </c>
      <c r="FA71" s="249" t="str">
        <f aca="false">IF(BR71=0,"",(0.134811827956989*CC71 - 0.0383064516129019)/2)</f>
        <v/>
      </c>
      <c r="FB71" s="249" t="str">
        <f aca="false">IF(BR71=0,"",CC71*0.065)</f>
        <v/>
      </c>
      <c r="FC71" s="249" t="str">
        <f aca="false">IF(BR71=0,"",(CC71*0.12*0.48)*SQRT((1+SIN(EZ71*((2*PI())/360))/(1-SIN(EZ71*((2*PI())/360))))))</f>
        <v/>
      </c>
      <c r="FD71" s="249" t="str">
        <f aca="false">IF(BR71=0,"",(CC71/8)/2)</f>
        <v/>
      </c>
      <c r="FE71" s="249" t="str">
        <f aca="false">IF(BR71=0,"",(SUM(FA71:FD71)-MIN(FA71:FD71)-MAX(FA71:FD71))/2)</f>
        <v/>
      </c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</row>
    <row r="72" customFormat="false" ht="9.75" hidden="false" customHeight="true" outlineLevel="0" collapsed="false">
      <c r="A72" s="197" t="n">
        <f aca="false">ROUND(A71+0.1,1)</f>
        <v>5.5</v>
      </c>
      <c r="B72" s="250"/>
      <c r="C72" s="251"/>
      <c r="D72" s="251"/>
      <c r="E72" s="199"/>
      <c r="F72" s="200"/>
      <c r="G72" s="254"/>
      <c r="H72" s="284"/>
      <c r="I72" s="285"/>
      <c r="J72" s="257"/>
      <c r="K72" s="258"/>
      <c r="L72" s="259"/>
      <c r="M72" s="276"/>
      <c r="N72" s="277"/>
      <c r="O72" s="277"/>
      <c r="P72" s="277"/>
      <c r="Q72" s="293"/>
      <c r="R72" s="304"/>
      <c r="S72" s="305"/>
      <c r="T72" s="295"/>
      <c r="U72" s="295"/>
      <c r="V72" s="296"/>
      <c r="W72" s="296"/>
      <c r="X72" s="296"/>
      <c r="Y72" s="296"/>
      <c r="Z72" s="296"/>
      <c r="AA72" s="296"/>
      <c r="AB72" s="297"/>
      <c r="AC72" s="298"/>
      <c r="AD72" s="299"/>
      <c r="AE72" s="298"/>
      <c r="AF72" s="300"/>
      <c r="AG72" s="267"/>
      <c r="AH72" s="267"/>
      <c r="AI72" s="241"/>
      <c r="AJ72" s="241"/>
      <c r="AK72" s="266"/>
      <c r="AL72" s="266"/>
      <c r="AM72" s="268"/>
      <c r="AN72" s="250"/>
      <c r="AO72" s="251"/>
      <c r="AP72" s="251"/>
      <c r="AQ72" s="199"/>
      <c r="AR72" s="200"/>
      <c r="AS72" s="269" t="s">
        <v>21</v>
      </c>
      <c r="AT72" s="221"/>
      <c r="AU72" s="269"/>
      <c r="AV72" s="269"/>
      <c r="AW72" s="270" t="n">
        <f aca="false">+K72+L72</f>
        <v>0</v>
      </c>
      <c r="AX72" s="270" t="str">
        <f aca="false">IF(AS72="&gt;50","CONSISTENCIA",IF(AS72="&lt;50","COMPACIDAD"," "))</f>
        <v>CONSISTENCIA</v>
      </c>
      <c r="AY72" s="225" t="str">
        <f aca="false">IF(AS72="&gt;50",AZ72,IF(AS72="&lt;50",BA72," "))</f>
        <v> </v>
      </c>
      <c r="AZ72" s="224" t="str">
        <f aca="false">IF(AW72=" "," ",IF(CC72=""," ",IF(CC72&lt;2,"MUY BLANDA",IF(CC72=2,"MUY BLANDA A BLANDA",IF(CC72&lt;4,"BLANDA",IF(CC72=4,"BLANDA A MEDIA",IF(CC72&lt;8,"MEDIA",IF(CC72=8,"MEDIA A FIRME",IF(CC72&lt;15,"FIRME",IF(CC72=15,"FIRME A MUY FIRME",IF(CC72&lt;30,"MUY FIRME",IF(CC72=30,"MUY FIRME A DURA","DURA"))))))))))))</f>
        <v> </v>
      </c>
      <c r="BA72" s="225" t="str">
        <f aca="false">IF(AW72=" "," ",IF(DC72=""," ",IF(DC72&lt;4,"MUY SUELTA",IF(DC72=4,"MUY SUELTA A SUELTA",IF(DC72&lt;10,"SUELTA",IF(DC72=10,"SUELTA A MEDIA",IF(DC72&lt;30,"MEDIA",IF(DC72=30,"MEDIA A DENSO",IF(DC72&lt;50,"DENSO",IF(DC72=50,"DENSO MUY DENSO","MUY DENSO"))))))))))</f>
        <v> </v>
      </c>
      <c r="BB72" s="226" t="str">
        <f aca="false">IF(BR73=0,"",CQ73*0.0101972)</f>
        <v/>
      </c>
      <c r="BC72" s="227" t="n">
        <f aca="false">+BC71+0.1</f>
        <v>5.5</v>
      </c>
      <c r="BD72" s="227" t="str">
        <f aca="false">IF(BC72&lt;=$AN$10,BC72,"")</f>
        <v/>
      </c>
      <c r="BE72" s="228" t="n">
        <f aca="false">ISNUMBER(BD72)</f>
        <v>0</v>
      </c>
      <c r="BF72" s="229" t="str">
        <f aca="false">MID(M72,1,1)</f>
        <v/>
      </c>
      <c r="BG72" s="230" t="str">
        <f aca="false">IF(BF72="S","",IF(BF72="G","",MID(M72,2,1)))</f>
        <v/>
      </c>
      <c r="BH72" s="231" t="str">
        <f aca="false">CONCATENATE(BF72,BG72)</f>
        <v/>
      </c>
      <c r="BI72" s="6" t="str">
        <f aca="false">IF(BE72=FALSE(),"",IF(BH72="",BI71,BH72))</f>
        <v/>
      </c>
      <c r="BJ72" s="74" t="str">
        <f aca="false">IF(OR(BI72="S",BI72="G"),BI72,"X")</f>
        <v>X</v>
      </c>
      <c r="BK72" s="74" t="s">
        <v>232</v>
      </c>
      <c r="BL72" s="306" t="e">
        <f aca="false">INDEX(sim_0,MATCH($BJ$72,granular,0))</f>
        <v>#NAME?</v>
      </c>
      <c r="BM72" s="306"/>
      <c r="BN72" s="6"/>
      <c r="BO72" s="191" t="n">
        <f aca="false">BO71+0.1</f>
        <v>5.5</v>
      </c>
      <c r="BP72" s="233" t="e">
        <f aca="false">IF(AW72=0,NA(),IF(AS72=$AX$3,ROUND(DC72,0),NA()))</f>
        <v>#N/A</v>
      </c>
      <c r="BQ72" s="31" t="e">
        <f aca="false">IF(AW72=0,NA(),IF(AS72=$AX$4,ROUND(CC72,0),NA()))</f>
        <v>#N/A</v>
      </c>
      <c r="BR72" s="234" t="n">
        <f aca="false">+AW72</f>
        <v>0</v>
      </c>
      <c r="BS72" s="235" t="str">
        <f aca="false">IF(BR72=0,"", -0.00000000016128755327*CC72^6 + 0.00000006709386362421*CC72^5 - 0.0000106217678052217*CC72^4 + 0.00081068114193385*CC72^3 - 0.0314027378159951*CC72^2 + 0.649796593937842*CC72 + 13.7888866455022)</f>
        <v/>
      </c>
      <c r="BT72" s="235" t="str">
        <f aca="false">IF(BR72=0,"",-0.00000000014625939695*CC72^6 + 0.00000004971732060241*CC72^5 - 0.000006683744342031*CC72^4 + 0.0004563177378098*CC72^3 - 0.0171727530635803*CC72^2 + 0.444529932876435*CC72 + 15.6692518940565)</f>
        <v/>
      </c>
      <c r="BU72" s="236" t="str">
        <f aca="false">IF(BR72=0,"", -0.0000000008152265738*BR72^6 + 0.00000022764320256987*BR72^5 - 0.0000248205675927705*BR72^4 + 0.00133186623684865*BR72^3 - 0.0368442570441677*BR72^2 + 0.580111565569094*BR72 + 14.0417598296107)</f>
        <v/>
      </c>
      <c r="BV72" s="236" t="str">
        <f aca="false">IF(BR72=0,"", -0.00000000004321395721*BR72^6 + 0.00000002531844275498*BR72^5 - 0.00000369428022780862*BR72^4 + 0.00020283665900125*BR72^3 - 0.00462426256803268*BR72^2 + 0.139572935065453*BR72 + 15.4475338156923)</f>
        <v/>
      </c>
      <c r="BW72" s="236" t="str">
        <f aca="false">IF(BR72=0,"",-0.00000000033126390082*BR72^6 + 0.00000010463660614506*BR72^5 - 0.0000129629592998707*BR72^4 + 0.000803946335250767*BR72^3 - 0.0270257140395994*BR72^2 + 0.562590210721552*BR72+ 12.1254107606419)</f>
        <v/>
      </c>
      <c r="BX72" s="236" t="str">
        <f aca="false">IF(BR72=0,"",-0.00000000002593504955*BR72^6 + 0.00000002430495156704*BR72^5 - 0.00000386103271086364*BR72^4 + 0.000214416118986322*BR72^3 - 0.0047271462612021*BR72^2 + 0.156696175741135*BR72 + 15.4598891949502)</f>
        <v/>
      </c>
      <c r="BY72" s="234" t="str">
        <f aca="false">IF(BR72=0,"",$BS$2)</f>
        <v/>
      </c>
      <c r="BZ72" s="234" t="str">
        <f aca="false">IF(BR72=0,"",$BS$3)</f>
        <v/>
      </c>
      <c r="CA72" s="234" t="str">
        <f aca="false">IF(BR72=0,"",$BS$4)</f>
        <v/>
      </c>
      <c r="CB72" s="235" t="str">
        <f aca="false">IF(BR72=0,"",IF(AND(BO72&gt;=0,BO72&lt;4),0.75,IF(AND(BO72&gt;=4,BO72&lt;6),0.85,IF(AND(BO72&gt;=6,BO72&lt;=10),0.95,1))))</f>
        <v/>
      </c>
      <c r="CC72" s="234" t="str">
        <f aca="false">IF(BR72=0,"",BR72*BY72*BZ72*CA72*CB72/60)</f>
        <v/>
      </c>
      <c r="CD72" s="238" t="str">
        <f aca="false">IF(BR72=0,"",IF($S$12="NO","NO",IF($AD$12&lt;=BO72,"SI","NO")))</f>
        <v/>
      </c>
      <c r="CE72" s="235" t="n">
        <f aca="false">IF(BR72=0,0,AB72)</f>
        <v>0</v>
      </c>
      <c r="CF72" s="235" t="n">
        <f aca="false">IF(CE72&gt;0,BO72,0)</f>
        <v>0</v>
      </c>
      <c r="CG72" s="239" t="n">
        <f aca="false">IF(CF72=0,CF72+CG71,CF72)</f>
        <v>0</v>
      </c>
      <c r="CH72" s="239" t="n">
        <f aca="false">IF(CG72=CG71,CH71,ABS(CG72-CG71))</f>
        <v>0</v>
      </c>
      <c r="CI72" s="239" t="n">
        <f aca="false">+CE72*CH72</f>
        <v>0</v>
      </c>
      <c r="CJ72" s="239" t="n">
        <f aca="false">IF(CI72=0,CI72+CJ71,CI72)</f>
        <v>0</v>
      </c>
      <c r="CK72" s="239" t="n">
        <f aca="false">IF(CJ72=CJ71,CK71,ABS(CJ72+CK71))</f>
        <v>0</v>
      </c>
      <c r="CL72" s="241" t="n">
        <f aca="false">IF(CE72=0,0,CK72)</f>
        <v>0</v>
      </c>
      <c r="CM72" s="239" t="n">
        <f aca="false">IF(CE72=0,0,CH72*9.81)</f>
        <v>0</v>
      </c>
      <c r="CN72" s="239" t="n">
        <f aca="false">IF(CM72=0,CM72+CN71,CM72)</f>
        <v>0</v>
      </c>
      <c r="CO72" s="239" t="n">
        <f aca="false">IF(CN72=CN71,CO71,ABS(CN72+CO71))</f>
        <v>0</v>
      </c>
      <c r="CP72" s="241" t="n">
        <f aca="false">IF(CD72="NO",0,IF(CE72=0,0,CO72))</f>
        <v>0</v>
      </c>
      <c r="CQ72" s="244" t="str">
        <f aca="false">IF(BR72=0,"",CL72-CP72)</f>
        <v/>
      </c>
      <c r="CR72" s="244" t="str">
        <f aca="false">IF(BR72=0,"",CQ72/101.3)</f>
        <v/>
      </c>
      <c r="CS72" s="244" t="str">
        <f aca="false">IF(BR72=0,"",LOG(10/CR72))</f>
        <v/>
      </c>
      <c r="CT72" s="243" t="str">
        <f aca="false">IF(BR72=0,"",IF(SQRT(101.3/CQ72)&lt;=1.7,SQRT(101.3/CQ72),2.2/(1.2+(CQ72/101.3))))</f>
        <v/>
      </c>
      <c r="CU72" s="244" t="str">
        <f aca="false">IF(BR72=0,"",1.7/(0.7+CR72))</f>
        <v/>
      </c>
      <c r="CV72" s="244" t="str">
        <f aca="false">IF(BR72=0,"",IF(CR72&gt;=0.25,0.77*LOG(20/CR72),""))</f>
        <v/>
      </c>
      <c r="CW72" s="244" t="str">
        <f aca="false">IF(BR72=0,"",32.5/(10.2+20.3*CR72))</f>
        <v/>
      </c>
      <c r="CX72" s="244" t="str">
        <f aca="false">IF(BR72=0,"",1-1.25*LOG(CR72))</f>
        <v/>
      </c>
      <c r="CY72" s="244" t="str">
        <f aca="false">IF(BR72=0,"",IF(CR72&lt;1,1-1.41*LOG(CR72),1+0.92*LOG(CR72)))</f>
        <v/>
      </c>
      <c r="CZ72" s="244" t="str">
        <f aca="false">IF(BR72=0,"",2/(1+CR72))</f>
        <v/>
      </c>
      <c r="DA72" s="244" t="str">
        <f aca="false">IF(BR72=0,"",IF(CR72&lt;=0.75,4/(1+4*CR72),4/(3.25+CR72)))</f>
        <v/>
      </c>
      <c r="DB72" s="244" t="str">
        <f aca="false">IF(BR72=0,"",CT72)</f>
        <v/>
      </c>
      <c r="DC72" s="244" t="str">
        <f aca="false">IF(BR72=0,"",DB72*CC72)</f>
        <v/>
      </c>
      <c r="DD72" s="244"/>
      <c r="DE72" s="244" t="str">
        <f aca="false">IF(BR72=0,"",0.193*(CC72/(CQ72*0.001))^0.689)</f>
        <v/>
      </c>
      <c r="DF72" s="244" t="str">
        <f aca="false">IF(BR72=0,"",IF(AS72=$AX$4,(0.1348118*CC72 - 0.0383065)*98.0665,""))</f>
        <v/>
      </c>
      <c r="DG72" s="244" t="str">
        <f aca="false">IF(BR72=0,"",IF(AS72=$AX$4,DF72/2,""))</f>
        <v/>
      </c>
      <c r="DH72" s="244" t="str">
        <f aca="false">IF(BR72=0,"",IF(DC72&lt;=15,12*(DC72+6),40+12*(DC72-6)))</f>
        <v/>
      </c>
      <c r="DI72" s="244" t="str">
        <f aca="false">IF(BR72=0,"",IF(CD72="SI",5*(DC72+15),((3.3*(DC72+15))+(4*(DC72+12)))/2))</f>
        <v/>
      </c>
      <c r="DJ72" s="244" t="str">
        <f aca="false">IF(BR72=0,"",8*DC72)</f>
        <v/>
      </c>
      <c r="DK72" s="244" t="str">
        <f aca="false">IF(BR72=0,"",215+(10.6*DC72))</f>
        <v/>
      </c>
      <c r="DL72" s="244" t="str">
        <f aca="false">IF(BR72=0,"",10*(7.5+(0.5*DC72)))</f>
        <v/>
      </c>
      <c r="DM72" s="244" t="str">
        <f aca="false">IF(BR72=0,"",8*DC72)</f>
        <v/>
      </c>
      <c r="DN72" s="244" t="str">
        <f aca="false">IF(AW72=" "," ",IF(DC72=""," ",IF(DC72&lt;4,10*10.2,IF(DC72=4,12*10.2,IF(DC72&lt;10,17.5*10.5,IF(DC72=10,15*10.2,IF(DC72&lt;30,22.5*10.2,IF(DC72=30,35*10.2,IF(DC72&lt;50,40*10.2,IF(DC72=50,50*10.2,55*10.2))))))))))</f>
        <v> </v>
      </c>
      <c r="DO72" s="244" t="str">
        <f aca="false">IF(BR72=0,"",7*SQRT(DC72)*10.1972)</f>
        <v/>
      </c>
      <c r="DP72" s="244" t="str">
        <f aca="false">IF(BR72=0,"",IF(AS72=$AX$4,5*CC72,""))</f>
        <v/>
      </c>
      <c r="DQ72" s="244" t="str">
        <f aca="false">IF(AW72=" "," ",IF(DC72=""," ",IF(DC72&lt;2,4*10.2,IF(DC72=2,6*10.2,IF(DC72&lt;4,12*10.2,IF(DC72=4,20*10.2,IF(DC72&lt;8,30*10.2,IF(DC72=8,35*10.2,IF(DC72&lt;15,40*10.2,IF(DC72=15,42*10.2,IF(DC72&lt;30,45*10.2,IF(DC72=30,50*10.2,70*10.2))))))))))))</f>
        <v> </v>
      </c>
      <c r="DR72" s="244" t="str">
        <f aca="false">IF(BR72=0,"",IF(AS72=$AX$4,220*DP72*0.0101972,""))</f>
        <v/>
      </c>
      <c r="DS72" s="271" t="str">
        <f aca="false">IF(BR72=0,"",IF(AS72=$AX$7,(SUM(DH72:DO72)-MIN(DH72:DO72)-MAX(DH72:DO72))/6,(SUM(DO72:DR72)-MIN(DO72:DR72)-MAX(DO72:DR72))/2))</f>
        <v/>
      </c>
      <c r="DT72" s="244" t="str">
        <f aca="false">IF(AW72=" "," ",IF(DC72=""," ",IF(DC72&lt;4,0.2,IF(DC72=4,0.27,IF(DC72&lt;10,0.33,IF(DC72=10,0.35,IF(DC72&lt;30,0.36,IF(DC72=30,0.37,IF(DC72&lt;50,0.38,IF(DC72=50,0.4,0.45))))))))))</f>
        <v> </v>
      </c>
      <c r="DU72" s="272" t="str">
        <f aca="false">IF(AW72=" "," ",IF(CC72=""," ",IF(CC72&lt;2,0.2,IF(CC72=2,0.23,IF(CC72&lt;4,0.26,IF(CC72=4,0.29,IF(CC72&lt;8,0.32,IF(CC72=8,0.35,IF(CC72&lt;15,0.38,IF(CC72=15,0.41,IF(CC72&lt;30,0.44,IF(CC72=30,0.47,0.5))))))))))))</f>
        <v> </v>
      </c>
      <c r="DV72" s="244" t="str">
        <f aca="false">IF(BR72=0,"",IF(AS72=$AX$3,DT72,DU72))</f>
        <v/>
      </c>
      <c r="DW72" s="244" t="str">
        <f aca="false">IF(BR72=0,"",IF(DC72&gt;15,15+0.5*(DC72-15),DC72))</f>
        <v/>
      </c>
      <c r="DX72" s="244" t="str">
        <f aca="false">IF(BR72=0,"",IF($S$12="SI",IF(CD72="NO",IF($AD$12&gt;(BO72+1.5*$ED$15),1,0.5),0.5),1))</f>
        <v/>
      </c>
      <c r="DY72" s="244" t="str">
        <f aca="false">IF(BR72=0,"",IF($S$12="SI",IF(CD72="NO",IF($AD$12&gt;(BO72+1.5*$EE$15),1,0.5),0.5),1))</f>
        <v/>
      </c>
      <c r="DZ72" s="244" t="str">
        <f aca="false">IF(BR72=0,"",IF($S$12="SI",IF(CD72="NO",IF($AD$12&gt;(BO72+1.5*$EF$15),1,0.5),0.5),1))</f>
        <v/>
      </c>
      <c r="EA72" s="244" t="str">
        <f aca="false">IF(BR72=0,"",IF($S$12="SI",IF(CD72="NO",IF($AD$12&gt;(BO72+1.5*$ED$15),1,0.5),IF($AD$12=BO72,1,0.5)),1))</f>
        <v/>
      </c>
      <c r="EB72" s="244" t="str">
        <f aca="false">IF(BR72=0,"",IF($S$12="SI",IF(CD72="NO",IF($AD$12&gt;(BO72+1.5*$EE$15),1,0.5),IF($AD$12=BO72,1,0.5)),1))</f>
        <v/>
      </c>
      <c r="EC72" s="244" t="str">
        <f aca="false">IF(BR72=0,"",IF($S$12="SI",IF(CD72="NO",IF($AD$12&gt;(BO72+1.5*$EF$15),1,0.5),IF($AD$12=BO72,1,0.5)),1))</f>
        <v/>
      </c>
      <c r="ED72" s="244" t="str">
        <f aca="false">IF(BR72=0,"",(DW72*($ED$15/10)*(DX72+EA72*(BO72/$ED$15))*1)/3)</f>
        <v/>
      </c>
      <c r="EE72" s="244" t="str">
        <f aca="false">IF(BR72=0,"",(DW72*($EE$15/10)*(DY72+EB72*(BO72/$EE$15))*1)/3)</f>
        <v/>
      </c>
      <c r="EF72" s="244" t="str">
        <f aca="false">IF(BR72=0,"",(DW72*($EF$15/10)*(DZ72+EC72*(BO72/$EF$15))*1)/3)</f>
        <v/>
      </c>
      <c r="EG72" s="273" t="str">
        <f aca="false">IF(BR72=0,"",IF(CD72="SI",0.5,1))</f>
        <v/>
      </c>
      <c r="EH72" s="244" t="str">
        <f aca="false">IF(BR72=0,"",IF((1+0.33*(BO72/$ED$15))&lt;=1.33,(1+0.33*(BO72/$ED$15)),1.33))</f>
        <v/>
      </c>
      <c r="EI72" s="244" t="str">
        <f aca="false">IF(BR72=0,"",IF((1+0.33*(BO72/$EE$15))&lt;=1.33,(1+0.33*(BO72/$EE$15)),1.33))</f>
        <v/>
      </c>
      <c r="EJ72" s="244" t="str">
        <f aca="false">IF(BR72=0,"",IF((1+0.33*(BO72/$EF$15))&lt;=1.33,(1+0.33*(BO72/$EF$15)),1.33))</f>
        <v/>
      </c>
      <c r="EK72" s="244" t="str">
        <f aca="false">IF(BR72=0,"",IF($ED$15&lt;=1.2,((20*DC72*EG72*EH72)/3)*0.010197,((12.5*DC72*((($ED$15+0.3)^2)/$ED$15)*EG72*EH72)/3)*0.010197))</f>
        <v/>
      </c>
      <c r="EL72" s="244" t="str">
        <f aca="false">IF(BR72=0,"",IF($EE$15&lt;=1.2,((20*DC72*EG72*EI72)/3)*0.010197,((12.5*DC72*((($EE$15+0.3)^2)/$EE$15)*EG72*EI72)/3)*0.010197))</f>
        <v/>
      </c>
      <c r="EM72" s="244" t="str">
        <f aca="false">IF(BR72=0,"",IF($EF$15&lt;=1.2,((20*DC72*EG72*EJ72)/3)*0.010197,((12.5*DC72*((($EF$15+0.3)^2)/$EF$15)*EG72*EJ72)/3)*0.010197))</f>
        <v/>
      </c>
      <c r="EN72" s="248" t="str">
        <f aca="false">IF(BR72=0,"",SQRT(12*CC72)+25)</f>
        <v/>
      </c>
      <c r="EO72" s="248" t="str">
        <f aca="false">IF(BR72=0,"",28.5+0.25*CC72)</f>
        <v/>
      </c>
      <c r="EP72" s="248" t="str">
        <f aca="false">IF(BR72=0,"",SQRT(20*CC72)+15)</f>
        <v/>
      </c>
      <c r="EQ72" s="248" t="str">
        <f aca="false">IF(BR72=0,"",23.7+0.57*CC72-0.0006*CC72*CC72)</f>
        <v/>
      </c>
      <c r="ER72" s="248" t="str">
        <f aca="false">IF(BR72=0,"",15+SQRT(12.5*DC72))</f>
        <v/>
      </c>
      <c r="ES72" s="248" t="str">
        <f aca="false">IF(BR72=0,"",3.5*SQRT(CC72)+20)</f>
        <v/>
      </c>
      <c r="ET72" s="248" t="str">
        <f aca="false">IF(BR72=0,"",27.1+0.3*DC72-0.00054*DC72*DC72)</f>
        <v/>
      </c>
      <c r="EU72" s="248" t="str">
        <f aca="false">IF(BR72=0,"",SQRT(20*CC72)+20)</f>
        <v/>
      </c>
      <c r="EV72" s="248" t="str">
        <f aca="false">IF(BR72=0,"",12.79+SQRT(25.86*CC72))</f>
        <v/>
      </c>
      <c r="EW72" s="248" t="str">
        <f aca="false">IF(BR72=0,"",DEGREES(_xlfn.ACOT((CC72/(12.2+20.3*CR72))^0.34)))</f>
        <v/>
      </c>
      <c r="EX72" s="248" t="str">
        <f aca="false">IF(BR72=0,"",24+(5.77*LN(0.17*DC72)))</f>
        <v/>
      </c>
      <c r="EY72" s="248" t="str">
        <f aca="false">IF(BR72=0,"",(SUM(EN72:EX72)-MIN(EN72:EX72)-MAX(EN72:EX72))/9)</f>
        <v/>
      </c>
      <c r="EZ72" s="248" t="str">
        <f aca="false">IF(BR72=0,"", -0.0000000034*CC72^6 + 0.0000008305*CC72^5 - 0.0000741842*CC72^4 + 0.0030204278*CC72^3 - 0.0541594733*CC72^2 + 0.8083147848*CC72 - 0.6182191243)</f>
        <v/>
      </c>
      <c r="FA72" s="249" t="str">
        <f aca="false">IF(BR72=0,"",(0.134811827956989*CC72 - 0.0383064516129019)/2)</f>
        <v/>
      </c>
      <c r="FB72" s="249" t="str">
        <f aca="false">IF(BR72=0,"",CC72*0.065)</f>
        <v/>
      </c>
      <c r="FC72" s="249" t="str">
        <f aca="false">IF(BR72=0,"",(CC72*0.12*0.48)*SQRT((1+SIN(EZ72*((2*PI())/360))/(1-SIN(EZ72*((2*PI())/360))))))</f>
        <v/>
      </c>
      <c r="FD72" s="249" t="str">
        <f aca="false">IF(BR72=0,"",(CC72/8)/2)</f>
        <v/>
      </c>
      <c r="FE72" s="249" t="str">
        <f aca="false">IF(BR72=0,"",(SUM(FA72:FD72)-MIN(FA72:FD72)-MAX(FA72:FD72))/2)</f>
        <v/>
      </c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</row>
    <row r="73" customFormat="false" ht="9.75" hidden="false" customHeight="true" outlineLevel="0" collapsed="false">
      <c r="A73" s="197" t="n">
        <f aca="false">ROUND(A72+0.1,1)</f>
        <v>5.6</v>
      </c>
      <c r="B73" s="250" t="n">
        <f aca="false">+A73</f>
        <v>5.6</v>
      </c>
      <c r="C73" s="251"/>
      <c r="D73" s="275"/>
      <c r="E73" s="252"/>
      <c r="F73" s="253"/>
      <c r="G73" s="254"/>
      <c r="H73" s="284"/>
      <c r="I73" s="285"/>
      <c r="J73" s="257"/>
      <c r="K73" s="258"/>
      <c r="L73" s="259"/>
      <c r="M73" s="276"/>
      <c r="N73" s="277"/>
      <c r="O73" s="277"/>
      <c r="P73" s="277"/>
      <c r="Q73" s="293"/>
      <c r="R73" s="304"/>
      <c r="S73" s="305"/>
      <c r="T73" s="295"/>
      <c r="U73" s="295"/>
      <c r="V73" s="296"/>
      <c r="W73" s="296"/>
      <c r="X73" s="296"/>
      <c r="Y73" s="296"/>
      <c r="Z73" s="296"/>
      <c r="AA73" s="296"/>
      <c r="AB73" s="297"/>
      <c r="AC73" s="298"/>
      <c r="AD73" s="299"/>
      <c r="AE73" s="298"/>
      <c r="AF73" s="300"/>
      <c r="AG73" s="267"/>
      <c r="AH73" s="267"/>
      <c r="AI73" s="241"/>
      <c r="AJ73" s="241"/>
      <c r="AK73" s="266"/>
      <c r="AL73" s="266"/>
      <c r="AM73" s="268"/>
      <c r="AN73" s="250" t="n">
        <f aca="false">+AN71+0.2</f>
        <v>5.6</v>
      </c>
      <c r="AO73" s="251"/>
      <c r="AP73" s="275"/>
      <c r="AQ73" s="252"/>
      <c r="AR73" s="253"/>
      <c r="AS73" s="269" t="s">
        <v>13</v>
      </c>
      <c r="AT73" s="221"/>
      <c r="AU73" s="269"/>
      <c r="AV73" s="269"/>
      <c r="AW73" s="270" t="n">
        <f aca="false">+K73+L73</f>
        <v>0</v>
      </c>
      <c r="AX73" s="270" t="str">
        <f aca="false">IF(AS73="&gt;50","CONSISTENCIA",IF(AS73="&lt;50","COMPACIDAD"," "))</f>
        <v>COMPACIDAD</v>
      </c>
      <c r="AY73" s="225" t="str">
        <f aca="false">IF(AS73="&gt;50",AZ73,IF(AS73="&lt;50",BA73," "))</f>
        <v> </v>
      </c>
      <c r="AZ73" s="224" t="str">
        <f aca="false">IF(AW73=" "," ",IF(CC73=""," ",IF(CC73&lt;2,"MUY BLANDA",IF(CC73=2,"MUY BLANDA A BLANDA",IF(CC73&lt;4,"BLANDA",IF(CC73=4,"BLANDA A MEDIA",IF(CC73&lt;8,"MEDIA",IF(CC73=8,"MEDIA A FIRME",IF(CC73&lt;15,"FIRME",IF(CC73=15,"FIRME A MUY FIRME",IF(CC73&lt;30,"MUY FIRME",IF(CC73=30,"MUY FIRME A DURA","DURA"))))))))))))</f>
        <v> </v>
      </c>
      <c r="BA73" s="225" t="str">
        <f aca="false">IF(AW73=" "," ",IF(DC73=""," ",IF(DC73&lt;4,"MUY SUELTA",IF(DC73=4,"MUY SUELTA A SUELTA",IF(DC73&lt;10,"SUELTA",IF(DC73=10,"SUELTA A MEDIA",IF(DC73&lt;30,"MEDIA",IF(DC73=30,"MEDIA A DENSO",IF(DC73&lt;50,"DENSO",IF(DC73=50,"DENSO MUY DENSO","MUY DENSO"))))))))))</f>
        <v> </v>
      </c>
      <c r="BB73" s="226" t="str">
        <f aca="false">IF(BR74=0,"",CQ74*0.0101972)</f>
        <v/>
      </c>
      <c r="BC73" s="227" t="n">
        <f aca="false">+BC72+0.1</f>
        <v>5.6</v>
      </c>
      <c r="BD73" s="227" t="str">
        <f aca="false">IF(BC73&lt;=$AN$10,BC73,"")</f>
        <v/>
      </c>
      <c r="BE73" s="228" t="n">
        <f aca="false">ISNUMBER(BD73)</f>
        <v>0</v>
      </c>
      <c r="BF73" s="229" t="str">
        <f aca="false">MID(M73,1,1)</f>
        <v/>
      </c>
      <c r="BG73" s="230" t="str">
        <f aca="false">IF(BF73="S","",IF(BF73="G","",MID(M73,2,1)))</f>
        <v/>
      </c>
      <c r="BH73" s="231" t="str">
        <f aca="false">CONCATENATE(BF73,BG73)</f>
        <v/>
      </c>
      <c r="BI73" s="6" t="str">
        <f aca="false">IF(BE73=FALSE(),"",IF(BH73="",BI72,BH73))</f>
        <v/>
      </c>
      <c r="BJ73" s="74" t="str">
        <f aca="false">IF(OR(BI73="S",BI73="G"),BI73,"X")</f>
        <v>X</v>
      </c>
      <c r="BK73" s="74" t="s">
        <v>233</v>
      </c>
      <c r="BL73" s="306" t="e">
        <f aca="false">INDEX(sim_0,MATCH($BJ$73,granular,0))</f>
        <v>#NAME?</v>
      </c>
      <c r="BM73" s="306"/>
      <c r="BN73" s="6"/>
      <c r="BO73" s="191" t="n">
        <f aca="false">BO72+0.1</f>
        <v>5.6</v>
      </c>
      <c r="BP73" s="233" t="e">
        <f aca="false">IF(AW73=0,NA(),IF(AS73=$AX$3,ROUND(DC73,0),NA()))</f>
        <v>#N/A</v>
      </c>
      <c r="BQ73" s="31" t="e">
        <f aca="false">IF(AW73=0,NA(),IF(AS73=$AX$4,ROUND(CC73,0),NA()))</f>
        <v>#N/A</v>
      </c>
      <c r="BR73" s="234" t="n">
        <f aca="false">+AW73</f>
        <v>0</v>
      </c>
      <c r="BS73" s="235" t="str">
        <f aca="false">IF(BR73=0,"", -0.00000000016128755327*CC73^6 + 0.00000006709386362421*CC73^5 - 0.0000106217678052217*CC73^4 + 0.00081068114193385*CC73^3 - 0.0314027378159951*CC73^2 + 0.649796593937842*CC73 + 13.7888866455022)</f>
        <v/>
      </c>
      <c r="BT73" s="235" t="str">
        <f aca="false">IF(BR73=0,"",-0.00000000014625939695*CC73^6 + 0.00000004971732060241*CC73^5 - 0.000006683744342031*CC73^4 + 0.0004563177378098*CC73^3 - 0.0171727530635803*CC73^2 + 0.444529932876435*CC73 + 15.6692518940565)</f>
        <v/>
      </c>
      <c r="BU73" s="236" t="str">
        <f aca="false">IF(BR73=0,"", -0.0000000008152265738*BR73^6 + 0.00000022764320256987*BR73^5 - 0.0000248205675927705*BR73^4 + 0.00133186623684865*BR73^3 - 0.0368442570441677*BR73^2 + 0.580111565569094*BR73 + 14.0417598296107)</f>
        <v/>
      </c>
      <c r="BV73" s="236" t="str">
        <f aca="false">IF(BR73=0,"", -0.00000000004321395721*BR73^6 + 0.00000002531844275498*BR73^5 - 0.00000369428022780862*BR73^4 + 0.00020283665900125*BR73^3 - 0.00462426256803268*BR73^2 + 0.139572935065453*BR73 + 15.4475338156923)</f>
        <v/>
      </c>
      <c r="BW73" s="236" t="str">
        <f aca="false">IF(BR73=0,"",-0.00000000033126390082*BR73^6 + 0.00000010463660614506*BR73^5 - 0.0000129629592998707*BR73^4 + 0.000803946335250767*BR73^3 - 0.0270257140395994*BR73^2 + 0.562590210721552*BR73+ 12.1254107606419)</f>
        <v/>
      </c>
      <c r="BX73" s="236" t="str">
        <f aca="false">IF(BR73=0,"",-0.00000000002593504955*BR73^6 + 0.00000002430495156704*BR73^5 - 0.00000386103271086364*BR73^4 + 0.000214416118986322*BR73^3 - 0.0047271462612021*BR73^2 + 0.156696175741135*BR73 + 15.4598891949502)</f>
        <v/>
      </c>
      <c r="BY73" s="234" t="str">
        <f aca="false">IF(BR73=0,"",$BS$2)</f>
        <v/>
      </c>
      <c r="BZ73" s="234" t="str">
        <f aca="false">IF(BR73=0,"",$BS$3)</f>
        <v/>
      </c>
      <c r="CA73" s="234" t="str">
        <f aca="false">IF(BR73=0,"",$BS$4)</f>
        <v/>
      </c>
      <c r="CB73" s="235" t="str">
        <f aca="false">IF(BR73=0,"",IF(AND(BO73&gt;=0,BO73&lt;4),0.75,IF(AND(BO73&gt;=4,BO73&lt;6),0.85,IF(AND(BO73&gt;=6,BO73&lt;=10),0.95,1))))</f>
        <v/>
      </c>
      <c r="CC73" s="234" t="str">
        <f aca="false">IF(BR73=0,"",BR73*BY73*BZ73*CA73*CB73/60)</f>
        <v/>
      </c>
      <c r="CD73" s="238" t="str">
        <f aca="false">IF(BR73=0,"",IF($S$12="NO","NO",IF($AD$12&lt;=BO73,"SI","NO")))</f>
        <v/>
      </c>
      <c r="CE73" s="235" t="n">
        <f aca="false">IF(BR73=0,0,AB73)</f>
        <v>0</v>
      </c>
      <c r="CF73" s="235" t="n">
        <f aca="false">IF(CE73&gt;0,BO73,0)</f>
        <v>0</v>
      </c>
      <c r="CG73" s="239" t="n">
        <f aca="false">IF(CF73=0,CF73+CG72,CF73)</f>
        <v>0</v>
      </c>
      <c r="CH73" s="239" t="n">
        <f aca="false">IF(CG73=CG72,CH72,ABS(CG73-CG72))</f>
        <v>0</v>
      </c>
      <c r="CI73" s="239" t="n">
        <f aca="false">+CE73*CH73</f>
        <v>0</v>
      </c>
      <c r="CJ73" s="239" t="n">
        <f aca="false">IF(CI73=0,CI73+CJ72,CI73)</f>
        <v>0</v>
      </c>
      <c r="CK73" s="239" t="n">
        <f aca="false">IF(CJ73=CJ72,CK72,ABS(CJ73+CK72))</f>
        <v>0</v>
      </c>
      <c r="CL73" s="241" t="n">
        <f aca="false">IF(CE73=0,0,CK73)</f>
        <v>0</v>
      </c>
      <c r="CM73" s="239" t="n">
        <f aca="false">IF(CE73=0,0,CH73*9.81)</f>
        <v>0</v>
      </c>
      <c r="CN73" s="239" t="n">
        <f aca="false">IF(CM73=0,CM73+CN72,CM73)</f>
        <v>0</v>
      </c>
      <c r="CO73" s="239" t="n">
        <f aca="false">IF(CN73=CN72,CO72,ABS(CN73+CO72))</f>
        <v>0</v>
      </c>
      <c r="CP73" s="241" t="n">
        <f aca="false">IF(CD73="NO",0,IF(CE73=0,0,CO73))</f>
        <v>0</v>
      </c>
      <c r="CQ73" s="244" t="str">
        <f aca="false">IF(BR73=0,"",CL73-CP73)</f>
        <v/>
      </c>
      <c r="CR73" s="244" t="str">
        <f aca="false">IF(BR73=0,"",CQ73/101.3)</f>
        <v/>
      </c>
      <c r="CS73" s="244" t="str">
        <f aca="false">IF(BR73=0,"",LOG(10/CR73))</f>
        <v/>
      </c>
      <c r="CT73" s="243" t="str">
        <f aca="false">IF(BR73=0,"",IF(SQRT(101.3/CQ73)&lt;=1.7,SQRT(101.3/CQ73),2.2/(1.2+(CQ73/101.3))))</f>
        <v/>
      </c>
      <c r="CU73" s="244" t="str">
        <f aca="false">IF(BR73=0,"",1.7/(0.7+CR73))</f>
        <v/>
      </c>
      <c r="CV73" s="244" t="str">
        <f aca="false">IF(BR73=0,"",IF(CR73&gt;=0.25,0.77*LOG(20/CR73),""))</f>
        <v/>
      </c>
      <c r="CW73" s="244" t="str">
        <f aca="false">IF(BR73=0,"",32.5/(10.2+20.3*CR73))</f>
        <v/>
      </c>
      <c r="CX73" s="244" t="str">
        <f aca="false">IF(BR73=0,"",1-1.25*LOG(CR73))</f>
        <v/>
      </c>
      <c r="CY73" s="244" t="str">
        <f aca="false">IF(BR73=0,"",IF(CR73&lt;1,1-1.41*LOG(CR73),1+0.92*LOG(CR73)))</f>
        <v/>
      </c>
      <c r="CZ73" s="244" t="str">
        <f aca="false">IF(BR73=0,"",2/(1+CR73))</f>
        <v/>
      </c>
      <c r="DA73" s="244" t="str">
        <f aca="false">IF(BR73=0,"",IF(CR73&lt;=0.75,4/(1+4*CR73),4/(3.25+CR73)))</f>
        <v/>
      </c>
      <c r="DB73" s="244" t="str">
        <f aca="false">IF(BR73=0,"",CT73)</f>
        <v/>
      </c>
      <c r="DC73" s="244" t="str">
        <f aca="false">IF(BR73=0,"",DB73*CC73)</f>
        <v/>
      </c>
      <c r="DD73" s="244"/>
      <c r="DE73" s="244" t="str">
        <f aca="false">IF(BR73=0,"",0.193*(CC73/(CQ73*0.001))^0.689)</f>
        <v/>
      </c>
      <c r="DF73" s="244" t="str">
        <f aca="false">IF(BR73=0,"",IF(AS73=$AX$4,(0.1348118*CC73 - 0.0383065)*98.0665,""))</f>
        <v/>
      </c>
      <c r="DG73" s="244" t="str">
        <f aca="false">IF(BR73=0,"",IF(AS73=$AX$4,DF73/2,""))</f>
        <v/>
      </c>
      <c r="DH73" s="244" t="str">
        <f aca="false">IF(BR73=0,"",IF(DC73&lt;=15,12*(DC73+6),40+12*(DC73-6)))</f>
        <v/>
      </c>
      <c r="DI73" s="244" t="str">
        <f aca="false">IF(BR73=0,"",IF(CD73="SI",5*(DC73+15),((3.3*(DC73+15))+(4*(DC73+12)))/2))</f>
        <v/>
      </c>
      <c r="DJ73" s="244" t="str">
        <f aca="false">IF(BR73=0,"",8*DC73)</f>
        <v/>
      </c>
      <c r="DK73" s="244" t="str">
        <f aca="false">IF(BR73=0,"",215+(10.6*DC73))</f>
        <v/>
      </c>
      <c r="DL73" s="244" t="str">
        <f aca="false">IF(BR73=0,"",10*(7.5+(0.5*DC73)))</f>
        <v/>
      </c>
      <c r="DM73" s="244" t="str">
        <f aca="false">IF(BR73=0,"",8*DC73)</f>
        <v/>
      </c>
      <c r="DN73" s="244" t="str">
        <f aca="false">IF(AW73=" "," ",IF(DC73=""," ",IF(DC73&lt;4,10*10.2,IF(DC73=4,12*10.2,IF(DC73&lt;10,17.5*10.5,IF(DC73=10,15*10.2,IF(DC73&lt;30,22.5*10.2,IF(DC73=30,35*10.2,IF(DC73&lt;50,40*10.2,IF(DC73=50,50*10.2,55*10.2))))))))))</f>
        <v> </v>
      </c>
      <c r="DO73" s="244" t="str">
        <f aca="false">IF(BR73=0,"",7*SQRT(DC73)*10.1972)</f>
        <v/>
      </c>
      <c r="DP73" s="244" t="str">
        <f aca="false">IF(BR73=0,"",IF(AS73=$AX$4,5*CC73,""))</f>
        <v/>
      </c>
      <c r="DQ73" s="244" t="str">
        <f aca="false">IF(AW73=" "," ",IF(DC73=""," ",IF(DC73&lt;2,4*10.2,IF(DC73=2,6*10.2,IF(DC73&lt;4,12*10.2,IF(DC73=4,20*10.2,IF(DC73&lt;8,30*10.2,IF(DC73=8,35*10.2,IF(DC73&lt;15,40*10.2,IF(DC73=15,42*10.2,IF(DC73&lt;30,45*10.2,IF(DC73=30,50*10.2,70*10.2))))))))))))</f>
        <v> </v>
      </c>
      <c r="DR73" s="244" t="str">
        <f aca="false">IF(BR73=0,"",IF(AS73=$AX$4,220*DP73*0.0101972,""))</f>
        <v/>
      </c>
      <c r="DS73" s="271" t="str">
        <f aca="false">IF(BR73=0,"",IF(AS73=$AX$7,(SUM(DH73:DO73)-MIN(DH73:DO73)-MAX(DH73:DO73))/6,(SUM(DO73:DR73)-MIN(DO73:DR73)-MAX(DO73:DR73))/2))</f>
        <v/>
      </c>
      <c r="DT73" s="244" t="str">
        <f aca="false">IF(AW73=" "," ",IF(DC73=""," ",IF(DC73&lt;4,0.2,IF(DC73=4,0.27,IF(DC73&lt;10,0.33,IF(DC73=10,0.35,IF(DC73&lt;30,0.36,IF(DC73=30,0.37,IF(DC73&lt;50,0.38,IF(DC73=50,0.4,0.45))))))))))</f>
        <v> </v>
      </c>
      <c r="DU73" s="272" t="str">
        <f aca="false">IF(AW73=" "," ",IF(CC73=""," ",IF(CC73&lt;2,0.2,IF(CC73=2,0.23,IF(CC73&lt;4,0.26,IF(CC73=4,0.29,IF(CC73&lt;8,0.32,IF(CC73=8,0.35,IF(CC73&lt;15,0.38,IF(CC73=15,0.41,IF(CC73&lt;30,0.44,IF(CC73=30,0.47,0.5))))))))))))</f>
        <v> </v>
      </c>
      <c r="DV73" s="244" t="str">
        <f aca="false">IF(BR73=0,"",IF(AS73=$AX$3,DT73,DU73))</f>
        <v/>
      </c>
      <c r="DW73" s="244" t="str">
        <f aca="false">IF(BR73=0,"",IF(DC73&gt;15,15+0.5*(DC73-15),DC73))</f>
        <v/>
      </c>
      <c r="DX73" s="244" t="str">
        <f aca="false">IF(BR73=0,"",IF($S$12="SI",IF(CD73="NO",IF($AD$12&gt;(BO73+1.5*$ED$15),1,0.5),0.5),1))</f>
        <v/>
      </c>
      <c r="DY73" s="244" t="str">
        <f aca="false">IF(BR73=0,"",IF($S$12="SI",IF(CD73="NO",IF($AD$12&gt;(BO73+1.5*$EE$15),1,0.5),0.5),1))</f>
        <v/>
      </c>
      <c r="DZ73" s="244" t="str">
        <f aca="false">IF(BR73=0,"",IF($S$12="SI",IF(CD73="NO",IF($AD$12&gt;(BO73+1.5*$EF$15),1,0.5),0.5),1))</f>
        <v/>
      </c>
      <c r="EA73" s="244" t="str">
        <f aca="false">IF(BR73=0,"",IF($S$12="SI",IF(CD73="NO",IF($AD$12&gt;(BO73+1.5*$ED$15),1,0.5),IF($AD$12=BO73,1,0.5)),1))</f>
        <v/>
      </c>
      <c r="EB73" s="244" t="str">
        <f aca="false">IF(BR73=0,"",IF($S$12="SI",IF(CD73="NO",IF($AD$12&gt;(BO73+1.5*$EE$15),1,0.5),IF($AD$12=BO73,1,0.5)),1))</f>
        <v/>
      </c>
      <c r="EC73" s="244" t="str">
        <f aca="false">IF(BR73=0,"",IF($S$12="SI",IF(CD73="NO",IF($AD$12&gt;(BO73+1.5*$EF$15),1,0.5),IF($AD$12=BO73,1,0.5)),1))</f>
        <v/>
      </c>
      <c r="ED73" s="244" t="str">
        <f aca="false">IF(BR73=0,"",(DW73*($ED$15/10)*(DX73+EA73*(BO73/$ED$15))*1)/3)</f>
        <v/>
      </c>
      <c r="EE73" s="244" t="str">
        <f aca="false">IF(BR73=0,"",(DW73*($EE$15/10)*(DY73+EB73*(BO73/$EE$15))*1)/3)</f>
        <v/>
      </c>
      <c r="EF73" s="244" t="str">
        <f aca="false">IF(BR73=0,"",(DW73*($EF$15/10)*(DZ73+EC73*(BO73/$EF$15))*1)/3)</f>
        <v/>
      </c>
      <c r="EG73" s="273" t="str">
        <f aca="false">IF(BR73=0,"",IF(CD73="SI",0.5,1))</f>
        <v/>
      </c>
      <c r="EH73" s="244" t="str">
        <f aca="false">IF(BR73=0,"",IF((1+0.33*(BO73/$ED$15))&lt;=1.33,(1+0.33*(BO73/$ED$15)),1.33))</f>
        <v/>
      </c>
      <c r="EI73" s="244" t="str">
        <f aca="false">IF(BR73=0,"",IF((1+0.33*(BO73/$EE$15))&lt;=1.33,(1+0.33*(BO73/$EE$15)),1.33))</f>
        <v/>
      </c>
      <c r="EJ73" s="244" t="str">
        <f aca="false">IF(BR73=0,"",IF((1+0.33*(BO73/$EF$15))&lt;=1.33,(1+0.33*(BO73/$EF$15)),1.33))</f>
        <v/>
      </c>
      <c r="EK73" s="244" t="str">
        <f aca="false">IF(BR73=0,"",IF($ED$15&lt;=1.2,((20*DC73*EG73*EH73)/3)*0.010197,((12.5*DC73*((($ED$15+0.3)^2)/$ED$15)*EG73*EH73)/3)*0.010197))</f>
        <v/>
      </c>
      <c r="EL73" s="244" t="str">
        <f aca="false">IF(BR73=0,"",IF($EE$15&lt;=1.2,((20*DC73*EG73*EI73)/3)*0.010197,((12.5*DC73*((($EE$15+0.3)^2)/$EE$15)*EG73*EI73)/3)*0.010197))</f>
        <v/>
      </c>
      <c r="EM73" s="244" t="str">
        <f aca="false">IF(BR73=0,"",IF($EF$15&lt;=1.2,((20*DC73*EG73*EJ73)/3)*0.010197,((12.5*DC73*((($EF$15+0.3)^2)/$EF$15)*EG73*EJ73)/3)*0.010197))</f>
        <v/>
      </c>
      <c r="EN73" s="248" t="str">
        <f aca="false">IF(BR73=0,"",SQRT(12*CC73)+25)</f>
        <v/>
      </c>
      <c r="EO73" s="248" t="str">
        <f aca="false">IF(BR73=0,"",28.5+0.25*CC73)</f>
        <v/>
      </c>
      <c r="EP73" s="248" t="str">
        <f aca="false">IF(BR73=0,"",SQRT(20*CC73)+15)</f>
        <v/>
      </c>
      <c r="EQ73" s="248" t="str">
        <f aca="false">IF(BR73=0,"",23.7+0.57*CC73-0.0006*CC73*CC73)</f>
        <v/>
      </c>
      <c r="ER73" s="248" t="str">
        <f aca="false">IF(BR73=0,"",15+SQRT(12.5*DC73))</f>
        <v/>
      </c>
      <c r="ES73" s="248" t="str">
        <f aca="false">IF(BR73=0,"",3.5*SQRT(CC73)+20)</f>
        <v/>
      </c>
      <c r="ET73" s="248" t="str">
        <f aca="false">IF(BR73=0,"",27.1+0.3*DC73-0.00054*DC73*DC73)</f>
        <v/>
      </c>
      <c r="EU73" s="248" t="str">
        <f aca="false">IF(BR73=0,"",SQRT(20*CC73)+20)</f>
        <v/>
      </c>
      <c r="EV73" s="248" t="str">
        <f aca="false">IF(BR73=0,"",12.79+SQRT(25.86*CC73))</f>
        <v/>
      </c>
      <c r="EW73" s="248" t="str">
        <f aca="false">IF(BR73=0,"",DEGREES(_xlfn.ACOT((CC73/(12.2+20.3*CR73))^0.34)))</f>
        <v/>
      </c>
      <c r="EX73" s="248" t="str">
        <f aca="false">IF(BR73=0,"",24+(5.77*LN(0.17*DC73)))</f>
        <v/>
      </c>
      <c r="EY73" s="248" t="str">
        <f aca="false">IF(BR73=0,"",(SUM(EN73:EX73)-MIN(EN73:EX73)-MAX(EN73:EX73))/9)</f>
        <v/>
      </c>
      <c r="EZ73" s="248" t="str">
        <f aca="false">IF(BR73=0,"", -0.0000000034*CC73^6 + 0.0000008305*CC73^5 - 0.0000741842*CC73^4 + 0.0030204278*CC73^3 - 0.0541594733*CC73^2 + 0.8083147848*CC73 - 0.6182191243)</f>
        <v/>
      </c>
      <c r="FA73" s="249" t="str">
        <f aca="false">IF(BR73=0,"",(0.134811827956989*CC73 - 0.0383064516129019)/2)</f>
        <v/>
      </c>
      <c r="FB73" s="249" t="str">
        <f aca="false">IF(BR73=0,"",CC73*0.065)</f>
        <v/>
      </c>
      <c r="FC73" s="249" t="str">
        <f aca="false">IF(BR73=0,"",(CC73*0.12*0.48)*SQRT((1+SIN(EZ73*((2*PI())/360))/(1-SIN(EZ73*((2*PI())/360))))))</f>
        <v/>
      </c>
      <c r="FD73" s="249" t="str">
        <f aca="false">IF(BR73=0,"",(CC73/8)/2)</f>
        <v/>
      </c>
      <c r="FE73" s="249" t="str">
        <f aca="false">IF(BR73=0,"",(SUM(FA73:FD73)-MIN(FA73:FD73)-MAX(FA73:FD73))/2)</f>
        <v/>
      </c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</row>
    <row r="74" customFormat="false" ht="9.75" hidden="false" customHeight="true" outlineLevel="0" collapsed="false">
      <c r="A74" s="197" t="n">
        <f aca="false">ROUND(A73+0.1,1)</f>
        <v>5.7</v>
      </c>
      <c r="B74" s="250"/>
      <c r="C74" s="251"/>
      <c r="D74" s="251"/>
      <c r="E74" s="199"/>
      <c r="F74" s="200"/>
      <c r="G74" s="254"/>
      <c r="H74" s="284"/>
      <c r="I74" s="285"/>
      <c r="J74" s="257"/>
      <c r="K74" s="258"/>
      <c r="L74" s="259"/>
      <c r="M74" s="276"/>
      <c r="N74" s="277"/>
      <c r="O74" s="277"/>
      <c r="P74" s="277"/>
      <c r="Q74" s="293"/>
      <c r="R74" s="304"/>
      <c r="S74" s="305"/>
      <c r="T74" s="295"/>
      <c r="U74" s="295"/>
      <c r="V74" s="296"/>
      <c r="W74" s="296"/>
      <c r="X74" s="296"/>
      <c r="Y74" s="296"/>
      <c r="Z74" s="296"/>
      <c r="AA74" s="296"/>
      <c r="AB74" s="297"/>
      <c r="AC74" s="298"/>
      <c r="AD74" s="299"/>
      <c r="AE74" s="298"/>
      <c r="AF74" s="300"/>
      <c r="AG74" s="267"/>
      <c r="AH74" s="267"/>
      <c r="AI74" s="241"/>
      <c r="AJ74" s="241"/>
      <c r="AK74" s="266"/>
      <c r="AL74" s="266"/>
      <c r="AM74" s="268"/>
      <c r="AN74" s="250"/>
      <c r="AO74" s="251"/>
      <c r="AP74" s="251"/>
      <c r="AQ74" s="199"/>
      <c r="AR74" s="200"/>
      <c r="AS74" s="269" t="s">
        <v>13</v>
      </c>
      <c r="AT74" s="221"/>
      <c r="AU74" s="269"/>
      <c r="AV74" s="269"/>
      <c r="AW74" s="270" t="n">
        <f aca="false">+K74+L74</f>
        <v>0</v>
      </c>
      <c r="AX74" s="270" t="str">
        <f aca="false">IF(AS74="&gt;50","CONSISTENCIA",IF(AS74="&lt;50","COMPACIDAD"," "))</f>
        <v>COMPACIDAD</v>
      </c>
      <c r="AY74" s="225" t="str">
        <f aca="false">IF(AS74="&gt;50",AZ74,IF(AS74="&lt;50",BA74," "))</f>
        <v> </v>
      </c>
      <c r="AZ74" s="224" t="str">
        <f aca="false">IF(AW74=" "," ",IF(CC74=""," ",IF(CC74&lt;2,"MUY BLANDA",IF(CC74=2,"MUY BLANDA A BLANDA",IF(CC74&lt;4,"BLANDA",IF(CC74=4,"BLANDA A MEDIA",IF(CC74&lt;8,"MEDIA",IF(CC74=8,"MEDIA A FIRME",IF(CC74&lt;15,"FIRME",IF(CC74=15,"FIRME A MUY FIRME",IF(CC74&lt;30,"MUY FIRME",IF(CC74=30,"MUY FIRME A DURA","DURA"))))))))))))</f>
        <v> </v>
      </c>
      <c r="BA74" s="225" t="str">
        <f aca="false">IF(AW74=" "," ",IF(DC74=""," ",IF(DC74&lt;4,"MUY SUELTA",IF(DC74=4,"MUY SUELTA A SUELTA",IF(DC74&lt;10,"SUELTA",IF(DC74=10,"SUELTA A MEDIA",IF(DC74&lt;30,"MEDIA",IF(DC74=30,"MEDIA A DENSO",IF(DC74&lt;50,"DENSO",IF(DC74=50,"DENSO MUY DENSO","MUY DENSO"))))))))))</f>
        <v> </v>
      </c>
      <c r="BB74" s="226" t="str">
        <f aca="false">IF(BR75=0,"",CQ75*0.0101972)</f>
        <v/>
      </c>
      <c r="BC74" s="227" t="n">
        <f aca="false">+BC73+0.1</f>
        <v>5.7</v>
      </c>
      <c r="BD74" s="227" t="str">
        <f aca="false">IF(BC74&lt;=$AN$10,BC74,"")</f>
        <v/>
      </c>
      <c r="BE74" s="228" t="n">
        <f aca="false">ISNUMBER(BD74)</f>
        <v>0</v>
      </c>
      <c r="BF74" s="229" t="str">
        <f aca="false">MID(M74,1,1)</f>
        <v/>
      </c>
      <c r="BG74" s="230" t="str">
        <f aca="false">IF(BF74="S","",IF(BF74="G","",MID(M74,2,1)))</f>
        <v/>
      </c>
      <c r="BH74" s="231" t="str">
        <f aca="false">CONCATENATE(BF74,BG74)</f>
        <v/>
      </c>
      <c r="BI74" s="6" t="str">
        <f aca="false">IF(BE74=FALSE(),"",IF(BH74="",BI73,BH74))</f>
        <v/>
      </c>
      <c r="BJ74" s="74" t="str">
        <f aca="false">IF(OR(BI74="S",BI74="G"),BI74,"X")</f>
        <v>X</v>
      </c>
      <c r="BK74" s="74" t="s">
        <v>234</v>
      </c>
      <c r="BL74" s="306" t="e">
        <f aca="false">INDEX(sim_0,MATCH($BJ$74,granular,0))</f>
        <v>#NAME?</v>
      </c>
      <c r="BM74" s="306"/>
      <c r="BN74" s="6"/>
      <c r="BO74" s="191" t="n">
        <f aca="false">BO73+0.1</f>
        <v>5.7</v>
      </c>
      <c r="BP74" s="233" t="e">
        <f aca="false">IF(AW74=0,NA(),IF(AS74=$AX$3,ROUND(DC74,0),NA()))</f>
        <v>#N/A</v>
      </c>
      <c r="BQ74" s="31" t="e">
        <f aca="false">IF(AW74=0,NA(),IF(AS74=$AX$4,ROUND(CC74,0),NA()))</f>
        <v>#N/A</v>
      </c>
      <c r="BR74" s="234" t="n">
        <f aca="false">+AW74</f>
        <v>0</v>
      </c>
      <c r="BS74" s="235" t="str">
        <f aca="false">IF(BR74=0,"", -0.00000000016128755327*CC74^6 + 0.00000006709386362421*CC74^5 - 0.0000106217678052217*CC74^4 + 0.00081068114193385*CC74^3 - 0.0314027378159951*CC74^2 + 0.649796593937842*CC74 + 13.7888866455022)</f>
        <v/>
      </c>
      <c r="BT74" s="235" t="str">
        <f aca="false">IF(BR74=0,"",-0.00000000014625939695*CC74^6 + 0.00000004971732060241*CC74^5 - 0.000006683744342031*CC74^4 + 0.0004563177378098*CC74^3 - 0.0171727530635803*CC74^2 + 0.444529932876435*CC74 + 15.6692518940565)</f>
        <v/>
      </c>
      <c r="BU74" s="236" t="str">
        <f aca="false">IF(BR74=0,"", -0.0000000008152265738*BR74^6 + 0.00000022764320256987*BR74^5 - 0.0000248205675927705*BR74^4 + 0.00133186623684865*BR74^3 - 0.0368442570441677*BR74^2 + 0.580111565569094*BR74 + 14.0417598296107)</f>
        <v/>
      </c>
      <c r="BV74" s="236" t="str">
        <f aca="false">IF(BR74=0,"", -0.00000000004321395721*BR74^6 + 0.00000002531844275498*BR74^5 - 0.00000369428022780862*BR74^4 + 0.00020283665900125*BR74^3 - 0.00462426256803268*BR74^2 + 0.139572935065453*BR74 + 15.4475338156923)</f>
        <v/>
      </c>
      <c r="BW74" s="236" t="str">
        <f aca="false">IF(BR74=0,"",-0.00000000033126390082*BR74^6 + 0.00000010463660614506*BR74^5 - 0.0000129629592998707*BR74^4 + 0.000803946335250767*BR74^3 - 0.0270257140395994*BR74^2 + 0.562590210721552*BR74+ 12.1254107606419)</f>
        <v/>
      </c>
      <c r="BX74" s="236" t="str">
        <f aca="false">IF(BR74=0,"",-0.00000000002593504955*BR74^6 + 0.00000002430495156704*BR74^5 - 0.00000386103271086364*BR74^4 + 0.000214416118986322*BR74^3 - 0.0047271462612021*BR74^2 + 0.156696175741135*BR74 + 15.4598891949502)</f>
        <v/>
      </c>
      <c r="BY74" s="234" t="str">
        <f aca="false">IF(BR74=0,"",$BS$2)</f>
        <v/>
      </c>
      <c r="BZ74" s="234" t="str">
        <f aca="false">IF(BR74=0,"",$BS$3)</f>
        <v/>
      </c>
      <c r="CA74" s="234" t="str">
        <f aca="false">IF(BR74=0,"",$BS$4)</f>
        <v/>
      </c>
      <c r="CB74" s="235" t="str">
        <f aca="false">IF(BR74=0,"",IF(AND(BO74&gt;=0,BO74&lt;4),0.75,IF(AND(BO74&gt;=4,BO74&lt;6),0.85,IF(AND(BO74&gt;=6,BO74&lt;=10),0.95,1))))</f>
        <v/>
      </c>
      <c r="CC74" s="234" t="str">
        <f aca="false">IF(BR74=0,"",BR74*BY74*BZ74*CA74*CB74/60)</f>
        <v/>
      </c>
      <c r="CD74" s="238" t="str">
        <f aca="false">IF(BR74=0,"",IF($S$12="NO","NO",IF($AD$12&lt;=BO74,"SI","NO")))</f>
        <v/>
      </c>
      <c r="CE74" s="235" t="n">
        <f aca="false">IF(BR74=0,0,AB74)</f>
        <v>0</v>
      </c>
      <c r="CF74" s="235" t="n">
        <f aca="false">IF(CE74&gt;0,BO74,0)</f>
        <v>0</v>
      </c>
      <c r="CG74" s="239" t="n">
        <f aca="false">IF(CF74=0,CF74+CG73,CF74)</f>
        <v>0</v>
      </c>
      <c r="CH74" s="239" t="n">
        <f aca="false">IF(CG74=CG73,CH73,ABS(CG74-CG73))</f>
        <v>0</v>
      </c>
      <c r="CI74" s="239" t="n">
        <f aca="false">+CE74*CH74</f>
        <v>0</v>
      </c>
      <c r="CJ74" s="239" t="n">
        <f aca="false">IF(CI74=0,CI74+CJ73,CI74)</f>
        <v>0</v>
      </c>
      <c r="CK74" s="239" t="n">
        <f aca="false">IF(CJ74=CJ73,CK73,ABS(CJ74+CK73))</f>
        <v>0</v>
      </c>
      <c r="CL74" s="241" t="n">
        <f aca="false">IF(CE74=0,0,CK74)</f>
        <v>0</v>
      </c>
      <c r="CM74" s="239" t="n">
        <f aca="false">IF(CE74=0,0,CH74*9.81)</f>
        <v>0</v>
      </c>
      <c r="CN74" s="239" t="n">
        <f aca="false">IF(CM74=0,CM74+CN73,CM74)</f>
        <v>0</v>
      </c>
      <c r="CO74" s="239" t="n">
        <f aca="false">IF(CN74=CN73,CO73,ABS(CN74+CO73))</f>
        <v>0</v>
      </c>
      <c r="CP74" s="241" t="n">
        <f aca="false">IF(CD74="NO",0,IF(CE74=0,0,CO74))</f>
        <v>0</v>
      </c>
      <c r="CQ74" s="244" t="str">
        <f aca="false">IF(BR74=0,"",CL74-CP74)</f>
        <v/>
      </c>
      <c r="CR74" s="244" t="str">
        <f aca="false">IF(BR74=0,"",CQ74/101.3)</f>
        <v/>
      </c>
      <c r="CS74" s="244" t="str">
        <f aca="false">IF(BR74=0,"",LOG(10/CR74))</f>
        <v/>
      </c>
      <c r="CT74" s="243" t="str">
        <f aca="false">IF(BR74=0,"",IF(SQRT(101.3/CQ74)&lt;=1.7,SQRT(101.3/CQ74),2.2/(1.2+(CQ74/101.3))))</f>
        <v/>
      </c>
      <c r="CU74" s="244" t="str">
        <f aca="false">IF(BR74=0,"",1.7/(0.7+CR74))</f>
        <v/>
      </c>
      <c r="CV74" s="244" t="str">
        <f aca="false">IF(BR74=0,"",IF(CR74&gt;=0.25,0.77*LOG(20/CR74),""))</f>
        <v/>
      </c>
      <c r="CW74" s="244" t="str">
        <f aca="false">IF(BR74=0,"",32.5/(10.2+20.3*CR74))</f>
        <v/>
      </c>
      <c r="CX74" s="244" t="str">
        <f aca="false">IF(BR74=0,"",1-1.25*LOG(CR74))</f>
        <v/>
      </c>
      <c r="CY74" s="244" t="str">
        <f aca="false">IF(BR74=0,"",IF(CR74&lt;1,1-1.41*LOG(CR74),1+0.92*LOG(CR74)))</f>
        <v/>
      </c>
      <c r="CZ74" s="244" t="str">
        <f aca="false">IF(BR74=0,"",2/(1+CR74))</f>
        <v/>
      </c>
      <c r="DA74" s="244" t="str">
        <f aca="false">IF(BR74=0,"",IF(CR74&lt;=0.75,4/(1+4*CR74),4/(3.25+CR74)))</f>
        <v/>
      </c>
      <c r="DB74" s="244" t="str">
        <f aca="false">IF(BR74=0,"",CT74)</f>
        <v/>
      </c>
      <c r="DC74" s="244" t="str">
        <f aca="false">IF(BR74=0,"",DB74*CC74)</f>
        <v/>
      </c>
      <c r="DD74" s="244"/>
      <c r="DE74" s="244" t="str">
        <f aca="false">IF(BR74=0,"",0.193*(CC74/(CQ74*0.001))^0.689)</f>
        <v/>
      </c>
      <c r="DF74" s="244" t="str">
        <f aca="false">IF(BR74=0,"",IF(AS74=$AX$4,(0.1348118*CC74 - 0.0383065)*98.0665,""))</f>
        <v/>
      </c>
      <c r="DG74" s="244" t="str">
        <f aca="false">IF(BR74=0,"",IF(AS74=$AX$4,DF74/2,""))</f>
        <v/>
      </c>
      <c r="DH74" s="244" t="str">
        <f aca="false">IF(BR74=0,"",IF(DC74&lt;=15,12*(DC74+6),40+12*(DC74-6)))</f>
        <v/>
      </c>
      <c r="DI74" s="244" t="str">
        <f aca="false">IF(BR74=0,"",IF(CD74="SI",5*(DC74+15),((3.3*(DC74+15))+(4*(DC74+12)))/2))</f>
        <v/>
      </c>
      <c r="DJ74" s="244" t="str">
        <f aca="false">IF(BR74=0,"",8*DC74)</f>
        <v/>
      </c>
      <c r="DK74" s="244" t="str">
        <f aca="false">IF(BR74=0,"",215+(10.6*DC74))</f>
        <v/>
      </c>
      <c r="DL74" s="244" t="str">
        <f aca="false">IF(BR74=0,"",10*(7.5+(0.5*DC74)))</f>
        <v/>
      </c>
      <c r="DM74" s="244" t="str">
        <f aca="false">IF(BR74=0,"",8*DC74)</f>
        <v/>
      </c>
      <c r="DN74" s="244" t="str">
        <f aca="false">IF(AW74=" "," ",IF(DC74=""," ",IF(DC74&lt;4,10*10.2,IF(DC74=4,12*10.2,IF(DC74&lt;10,17.5*10.5,IF(DC74=10,15*10.2,IF(DC74&lt;30,22.5*10.2,IF(DC74=30,35*10.2,IF(DC74&lt;50,40*10.2,IF(DC74=50,50*10.2,55*10.2))))))))))</f>
        <v> </v>
      </c>
      <c r="DO74" s="244" t="str">
        <f aca="false">IF(BR74=0,"",7*SQRT(DC74)*10.1972)</f>
        <v/>
      </c>
      <c r="DP74" s="244" t="str">
        <f aca="false">IF(BR74=0,"",IF(AS74=$AX$4,5*CC74,""))</f>
        <v/>
      </c>
      <c r="DQ74" s="244" t="str">
        <f aca="false">IF(AW74=" "," ",IF(DC74=""," ",IF(DC74&lt;2,4*10.2,IF(DC74=2,6*10.2,IF(DC74&lt;4,12*10.2,IF(DC74=4,20*10.2,IF(DC74&lt;8,30*10.2,IF(DC74=8,35*10.2,IF(DC74&lt;15,40*10.2,IF(DC74=15,42*10.2,IF(DC74&lt;30,45*10.2,IF(DC74=30,50*10.2,70*10.2))))))))))))</f>
        <v> </v>
      </c>
      <c r="DR74" s="244" t="str">
        <f aca="false">IF(BR74=0,"",IF(AS74=$AX$4,220*DP74*0.0101972,""))</f>
        <v/>
      </c>
      <c r="DS74" s="271" t="str">
        <f aca="false">IF(BR74=0,"",IF(AS74=$AX$7,(SUM(DH74:DO74)-MIN(DH74:DO74)-MAX(DH74:DO74))/6,(SUM(DO74:DR74)-MIN(DO74:DR74)-MAX(DO74:DR74))/2))</f>
        <v/>
      </c>
      <c r="DT74" s="244" t="str">
        <f aca="false">IF(AW74=" "," ",IF(DC74=""," ",IF(DC74&lt;4,0.2,IF(DC74=4,0.27,IF(DC74&lt;10,0.33,IF(DC74=10,0.35,IF(DC74&lt;30,0.36,IF(DC74=30,0.37,IF(DC74&lt;50,0.38,IF(DC74=50,0.4,0.45))))))))))</f>
        <v> </v>
      </c>
      <c r="DU74" s="272" t="str">
        <f aca="false">IF(AW74=" "," ",IF(CC74=""," ",IF(CC74&lt;2,0.2,IF(CC74=2,0.23,IF(CC74&lt;4,0.26,IF(CC74=4,0.29,IF(CC74&lt;8,0.32,IF(CC74=8,0.35,IF(CC74&lt;15,0.38,IF(CC74=15,0.41,IF(CC74&lt;30,0.44,IF(CC74=30,0.47,0.5))))))))))))</f>
        <v> </v>
      </c>
      <c r="DV74" s="244" t="str">
        <f aca="false">IF(BR74=0,"",IF(AS74=$AX$3,DT74,DU74))</f>
        <v/>
      </c>
      <c r="DW74" s="244" t="str">
        <f aca="false">IF(BR74=0,"",IF(DC74&gt;15,15+0.5*(DC74-15),DC74))</f>
        <v/>
      </c>
      <c r="DX74" s="244" t="str">
        <f aca="false">IF(BR74=0,"",IF($S$12="SI",IF(CD74="NO",IF($AD$12&gt;(BO74+1.5*$ED$15),1,0.5),0.5),1))</f>
        <v/>
      </c>
      <c r="DY74" s="244" t="str">
        <f aca="false">IF(BR74=0,"",IF($S$12="SI",IF(CD74="NO",IF($AD$12&gt;(BO74+1.5*$EE$15),1,0.5),0.5),1))</f>
        <v/>
      </c>
      <c r="DZ74" s="244" t="str">
        <f aca="false">IF(BR74=0,"",IF($S$12="SI",IF(CD74="NO",IF($AD$12&gt;(BO74+1.5*$EF$15),1,0.5),0.5),1))</f>
        <v/>
      </c>
      <c r="EA74" s="244" t="str">
        <f aca="false">IF(BR74=0,"",IF($S$12="SI",IF(CD74="NO",IF($AD$12&gt;(BO74+1.5*$ED$15),1,0.5),IF($AD$12=BO74,1,0.5)),1))</f>
        <v/>
      </c>
      <c r="EB74" s="244" t="str">
        <f aca="false">IF(BR74=0,"",IF($S$12="SI",IF(CD74="NO",IF($AD$12&gt;(BO74+1.5*$EE$15),1,0.5),IF($AD$12=BO74,1,0.5)),1))</f>
        <v/>
      </c>
      <c r="EC74" s="244" t="str">
        <f aca="false">IF(BR74=0,"",IF($S$12="SI",IF(CD74="NO",IF($AD$12&gt;(BO74+1.5*$EF$15),1,0.5),IF($AD$12=BO74,1,0.5)),1))</f>
        <v/>
      </c>
      <c r="ED74" s="244" t="str">
        <f aca="false">IF(BR74=0,"",(DW74*($ED$15/10)*(DX74+EA74*(BO74/$ED$15))*1)/3)</f>
        <v/>
      </c>
      <c r="EE74" s="244" t="str">
        <f aca="false">IF(BR74=0,"",(DW74*($EE$15/10)*(DY74+EB74*(BO74/$EE$15))*1)/3)</f>
        <v/>
      </c>
      <c r="EF74" s="244" t="str">
        <f aca="false">IF(BR74=0,"",(DW74*($EF$15/10)*(DZ74+EC74*(BO74/$EF$15))*1)/3)</f>
        <v/>
      </c>
      <c r="EG74" s="273" t="str">
        <f aca="false">IF(BR74=0,"",IF(CD74="SI",0.5,1))</f>
        <v/>
      </c>
      <c r="EH74" s="244" t="str">
        <f aca="false">IF(BR74=0,"",IF((1+0.33*(BO74/$ED$15))&lt;=1.33,(1+0.33*(BO74/$ED$15)),1.33))</f>
        <v/>
      </c>
      <c r="EI74" s="244" t="str">
        <f aca="false">IF(BR74=0,"",IF((1+0.33*(BO74/$EE$15))&lt;=1.33,(1+0.33*(BO74/$EE$15)),1.33))</f>
        <v/>
      </c>
      <c r="EJ74" s="244" t="str">
        <f aca="false">IF(BR74=0,"",IF((1+0.33*(BO74/$EF$15))&lt;=1.33,(1+0.33*(BO74/$EF$15)),1.33))</f>
        <v/>
      </c>
      <c r="EK74" s="244" t="str">
        <f aca="false">IF(BR74=0,"",IF($ED$15&lt;=1.2,((20*DC74*EG74*EH74)/3)*0.010197,((12.5*DC74*((($ED$15+0.3)^2)/$ED$15)*EG74*EH74)/3)*0.010197))</f>
        <v/>
      </c>
      <c r="EL74" s="244" t="str">
        <f aca="false">IF(BR74=0,"",IF($EE$15&lt;=1.2,((20*DC74*EG74*EI74)/3)*0.010197,((12.5*DC74*((($EE$15+0.3)^2)/$EE$15)*EG74*EI74)/3)*0.010197))</f>
        <v/>
      </c>
      <c r="EM74" s="244" t="str">
        <f aca="false">IF(BR74=0,"",IF($EF$15&lt;=1.2,((20*DC74*EG74*EJ74)/3)*0.010197,((12.5*DC74*((($EF$15+0.3)^2)/$EF$15)*EG74*EJ74)/3)*0.010197))</f>
        <v/>
      </c>
      <c r="EN74" s="248" t="str">
        <f aca="false">IF(BR74=0,"",SQRT(12*CC74)+25)</f>
        <v/>
      </c>
      <c r="EO74" s="248" t="str">
        <f aca="false">IF(BR74=0,"",28.5+0.25*CC74)</f>
        <v/>
      </c>
      <c r="EP74" s="248" t="str">
        <f aca="false">IF(BR74=0,"",SQRT(20*CC74)+15)</f>
        <v/>
      </c>
      <c r="EQ74" s="248" t="str">
        <f aca="false">IF(BR74=0,"",23.7+0.57*CC74-0.0006*CC74*CC74)</f>
        <v/>
      </c>
      <c r="ER74" s="248" t="str">
        <f aca="false">IF(BR74=0,"",15+SQRT(12.5*DC74))</f>
        <v/>
      </c>
      <c r="ES74" s="248" t="str">
        <f aca="false">IF(BR74=0,"",3.5*SQRT(CC74)+20)</f>
        <v/>
      </c>
      <c r="ET74" s="248" t="str">
        <f aca="false">IF(BR74=0,"",27.1+0.3*DC74-0.00054*DC74*DC74)</f>
        <v/>
      </c>
      <c r="EU74" s="248" t="str">
        <f aca="false">IF(BR74=0,"",SQRT(20*CC74)+20)</f>
        <v/>
      </c>
      <c r="EV74" s="248" t="str">
        <f aca="false">IF(BR74=0,"",12.79+SQRT(25.86*CC74))</f>
        <v/>
      </c>
      <c r="EW74" s="248" t="str">
        <f aca="false">IF(BR74=0,"",DEGREES(_xlfn.ACOT((CC74/(12.2+20.3*CR74))^0.34)))</f>
        <v/>
      </c>
      <c r="EX74" s="248" t="str">
        <f aca="false">IF(BR74=0,"",24+(5.77*LN(0.17*DC74)))</f>
        <v/>
      </c>
      <c r="EY74" s="248" t="str">
        <f aca="false">IF(BR74=0,"",(SUM(EN74:EX74)-MIN(EN74:EX74)-MAX(EN74:EX74))/9)</f>
        <v/>
      </c>
      <c r="EZ74" s="248" t="str">
        <f aca="false">IF(BR74=0,"", -0.0000000034*CC74^6 + 0.0000008305*CC74^5 - 0.0000741842*CC74^4 + 0.0030204278*CC74^3 - 0.0541594733*CC74^2 + 0.8083147848*CC74 - 0.6182191243)</f>
        <v/>
      </c>
      <c r="FA74" s="249" t="str">
        <f aca="false">IF(BR74=0,"",(0.134811827956989*CC74 - 0.0383064516129019)/2)</f>
        <v/>
      </c>
      <c r="FB74" s="249" t="str">
        <f aca="false">IF(BR74=0,"",CC74*0.065)</f>
        <v/>
      </c>
      <c r="FC74" s="249" t="str">
        <f aca="false">IF(BR74=0,"",(CC74*0.12*0.48)*SQRT((1+SIN(EZ74*((2*PI())/360))/(1-SIN(EZ74*((2*PI())/360))))))</f>
        <v/>
      </c>
      <c r="FD74" s="249" t="str">
        <f aca="false">IF(BR74=0,"",(CC74/8)/2)</f>
        <v/>
      </c>
      <c r="FE74" s="249" t="str">
        <f aca="false">IF(BR74=0,"",(SUM(FA74:FD74)-MIN(FA74:FD74)-MAX(FA74:FD74))/2)</f>
        <v/>
      </c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</row>
    <row r="75" customFormat="false" ht="9.75" hidden="false" customHeight="true" outlineLevel="0" collapsed="false">
      <c r="A75" s="197" t="n">
        <f aca="false">ROUND(A74+0.1,1)</f>
        <v>5.8</v>
      </c>
      <c r="B75" s="250" t="n">
        <f aca="false">+A75</f>
        <v>5.8</v>
      </c>
      <c r="C75" s="251"/>
      <c r="D75" s="251"/>
      <c r="E75" s="274"/>
      <c r="F75" s="253"/>
      <c r="G75" s="254"/>
      <c r="H75" s="284"/>
      <c r="I75" s="285"/>
      <c r="J75" s="257"/>
      <c r="K75" s="258"/>
      <c r="L75" s="259"/>
      <c r="M75" s="276"/>
      <c r="N75" s="277"/>
      <c r="O75" s="277"/>
      <c r="P75" s="277"/>
      <c r="Q75" s="293"/>
      <c r="R75" s="304"/>
      <c r="S75" s="305"/>
      <c r="T75" s="295"/>
      <c r="U75" s="295"/>
      <c r="V75" s="296"/>
      <c r="W75" s="296"/>
      <c r="X75" s="296"/>
      <c r="Y75" s="296"/>
      <c r="Z75" s="296"/>
      <c r="AA75" s="296"/>
      <c r="AB75" s="297"/>
      <c r="AC75" s="298"/>
      <c r="AD75" s="299"/>
      <c r="AE75" s="298"/>
      <c r="AF75" s="300"/>
      <c r="AG75" s="267"/>
      <c r="AH75" s="267"/>
      <c r="AI75" s="241"/>
      <c r="AJ75" s="241"/>
      <c r="AK75" s="266"/>
      <c r="AL75" s="266"/>
      <c r="AM75" s="268"/>
      <c r="AN75" s="250" t="n">
        <f aca="false">+AN73+0.2</f>
        <v>5.8</v>
      </c>
      <c r="AO75" s="251"/>
      <c r="AP75" s="251"/>
      <c r="AQ75" s="274"/>
      <c r="AR75" s="253"/>
      <c r="AS75" s="269" t="s">
        <v>13</v>
      </c>
      <c r="AT75" s="221"/>
      <c r="AU75" s="269"/>
      <c r="AV75" s="269"/>
      <c r="AW75" s="270" t="n">
        <f aca="false">+K75+L75</f>
        <v>0</v>
      </c>
      <c r="AX75" s="270" t="str">
        <f aca="false">IF(AS75="&gt;50","CONSISTENCIA",IF(AS75="&lt;50","COMPACIDAD"," "))</f>
        <v>COMPACIDAD</v>
      </c>
      <c r="AY75" s="225" t="str">
        <f aca="false">IF(AS75="&gt;50",AZ75,IF(AS75="&lt;50",BA75," "))</f>
        <v> </v>
      </c>
      <c r="AZ75" s="224" t="str">
        <f aca="false">IF(AW75=" "," ",IF(CC75=""," ",IF(CC75&lt;2,"MUY BLANDA",IF(CC75=2,"MUY BLANDA A BLANDA",IF(CC75&lt;4,"BLANDA",IF(CC75=4,"BLANDA A MEDIA",IF(CC75&lt;8,"MEDIA",IF(CC75=8,"MEDIA A FIRME",IF(CC75&lt;15,"FIRME",IF(CC75=15,"FIRME A MUY FIRME",IF(CC75&lt;30,"MUY FIRME",IF(CC75=30,"MUY FIRME A DURA","DURA"))))))))))))</f>
        <v> </v>
      </c>
      <c r="BA75" s="225" t="str">
        <f aca="false">IF(AW75=" "," ",IF(DC75=""," ",IF(DC75&lt;4,"MUY SUELTA",IF(DC75=4,"MUY SUELTA A SUELTA",IF(DC75&lt;10,"SUELTA",IF(DC75=10,"SUELTA A MEDIA",IF(DC75&lt;30,"MEDIA",IF(DC75=30,"MEDIA A DENSO",IF(DC75&lt;50,"DENSO",IF(DC75=50,"DENSO MUY DENSO","MUY DENSO"))))))))))</f>
        <v> </v>
      </c>
      <c r="BB75" s="226" t="str">
        <f aca="false">IF(BR76=0,"",CQ76*0.0101972)</f>
        <v/>
      </c>
      <c r="BC75" s="227" t="n">
        <f aca="false">+BC74+0.1</f>
        <v>5.8</v>
      </c>
      <c r="BD75" s="227" t="str">
        <f aca="false">IF(BC75&lt;=$AN$10,BC75,"")</f>
        <v/>
      </c>
      <c r="BE75" s="228" t="n">
        <f aca="false">ISNUMBER(BD75)</f>
        <v>0</v>
      </c>
      <c r="BF75" s="229" t="str">
        <f aca="false">MID(M75,1,1)</f>
        <v/>
      </c>
      <c r="BG75" s="230" t="str">
        <f aca="false">IF(BF75="S","",IF(BF75="G","",MID(M75,2,1)))</f>
        <v/>
      </c>
      <c r="BH75" s="231" t="str">
        <f aca="false">CONCATENATE(BF75,BG75)</f>
        <v/>
      </c>
      <c r="BI75" s="6" t="str">
        <f aca="false">IF(BE75=FALSE(),"",IF(BH75="",BI74,BH75))</f>
        <v/>
      </c>
      <c r="BJ75" s="74" t="str">
        <f aca="false">IF(OR(BI75="S",BI75="G"),BI75,"X")</f>
        <v>X</v>
      </c>
      <c r="BK75" s="74" t="s">
        <v>235</v>
      </c>
      <c r="BL75" s="306" t="e">
        <f aca="false">INDEX(sim_0,MATCH($BJ$75,granular,0))</f>
        <v>#NAME?</v>
      </c>
      <c r="BM75" s="306"/>
      <c r="BN75" s="6"/>
      <c r="BO75" s="191" t="n">
        <f aca="false">BO74+0.1</f>
        <v>5.8</v>
      </c>
      <c r="BP75" s="233" t="e">
        <f aca="false">IF(AW75=0,NA(),IF(AS75=$AX$3,ROUND(DC75,0),NA()))</f>
        <v>#N/A</v>
      </c>
      <c r="BQ75" s="31" t="e">
        <f aca="false">IF(AW75=0,NA(),IF(AS75=$AX$4,ROUND(CC75,0),NA()))</f>
        <v>#N/A</v>
      </c>
      <c r="BR75" s="234" t="n">
        <f aca="false">+AW75</f>
        <v>0</v>
      </c>
      <c r="BS75" s="235" t="str">
        <f aca="false">IF(BR75=0,"", -0.00000000016128755327*CC75^6 + 0.00000006709386362421*CC75^5 - 0.0000106217678052217*CC75^4 + 0.00081068114193385*CC75^3 - 0.0314027378159951*CC75^2 + 0.649796593937842*CC75 + 13.7888866455022)</f>
        <v/>
      </c>
      <c r="BT75" s="235" t="str">
        <f aca="false">IF(BR75=0,"",-0.00000000014625939695*CC75^6 + 0.00000004971732060241*CC75^5 - 0.000006683744342031*CC75^4 + 0.0004563177378098*CC75^3 - 0.0171727530635803*CC75^2 + 0.444529932876435*CC75 + 15.6692518940565)</f>
        <v/>
      </c>
      <c r="BU75" s="236" t="str">
        <f aca="false">IF(BR75=0,"", -0.0000000008152265738*BR75^6 + 0.00000022764320256987*BR75^5 - 0.0000248205675927705*BR75^4 + 0.00133186623684865*BR75^3 - 0.0368442570441677*BR75^2 + 0.580111565569094*BR75 + 14.0417598296107)</f>
        <v/>
      </c>
      <c r="BV75" s="236" t="str">
        <f aca="false">IF(BR75=0,"", -0.00000000004321395721*BR75^6 + 0.00000002531844275498*BR75^5 - 0.00000369428022780862*BR75^4 + 0.00020283665900125*BR75^3 - 0.00462426256803268*BR75^2 + 0.139572935065453*BR75 + 15.4475338156923)</f>
        <v/>
      </c>
      <c r="BW75" s="236" t="str">
        <f aca="false">IF(BR75=0,"",-0.00000000033126390082*BR75^6 + 0.00000010463660614506*BR75^5 - 0.0000129629592998707*BR75^4 + 0.000803946335250767*BR75^3 - 0.0270257140395994*BR75^2 + 0.562590210721552*BR75+ 12.1254107606419)</f>
        <v/>
      </c>
      <c r="BX75" s="236" t="str">
        <f aca="false">IF(BR75=0,"",-0.00000000002593504955*BR75^6 + 0.00000002430495156704*BR75^5 - 0.00000386103271086364*BR75^4 + 0.000214416118986322*BR75^3 - 0.0047271462612021*BR75^2 + 0.156696175741135*BR75 + 15.4598891949502)</f>
        <v/>
      </c>
      <c r="BY75" s="234" t="str">
        <f aca="false">IF(BR75=0,"",$BS$2)</f>
        <v/>
      </c>
      <c r="BZ75" s="234" t="str">
        <f aca="false">IF(BR75=0,"",$BS$3)</f>
        <v/>
      </c>
      <c r="CA75" s="234" t="str">
        <f aca="false">IF(BR75=0,"",$BS$4)</f>
        <v/>
      </c>
      <c r="CB75" s="235" t="str">
        <f aca="false">IF(BR75=0,"",IF(AND(BO75&gt;=0,BO75&lt;4),0.75,IF(AND(BO75&gt;=4,BO75&lt;6),0.85,IF(AND(BO75&gt;=6,BO75&lt;=10),0.95,1))))</f>
        <v/>
      </c>
      <c r="CC75" s="234" t="str">
        <f aca="false">IF(BR75=0,"",BR75*BY75*BZ75*CA75*CB75/60)</f>
        <v/>
      </c>
      <c r="CD75" s="238" t="str">
        <f aca="false">IF(BR75=0,"",IF($S$12="NO","NO",IF($AD$12&lt;=BO75,"SI","NO")))</f>
        <v/>
      </c>
      <c r="CE75" s="235" t="n">
        <f aca="false">IF(BR75=0,0,AB75)</f>
        <v>0</v>
      </c>
      <c r="CF75" s="235" t="n">
        <f aca="false">IF(CE75&gt;0,BO75,0)</f>
        <v>0</v>
      </c>
      <c r="CG75" s="239" t="n">
        <f aca="false">IF(CF75=0,CF75+CG74,CF75)</f>
        <v>0</v>
      </c>
      <c r="CH75" s="239" t="n">
        <f aca="false">IF(CG75=CG74,CH74,ABS(CG75-CG74))</f>
        <v>0</v>
      </c>
      <c r="CI75" s="239" t="n">
        <f aca="false">+CE75*CH75</f>
        <v>0</v>
      </c>
      <c r="CJ75" s="239" t="n">
        <f aca="false">IF(CI75=0,CI75+CJ74,CI75)</f>
        <v>0</v>
      </c>
      <c r="CK75" s="239" t="n">
        <f aca="false">IF(CJ75=CJ74,CK74,ABS(CJ75+CK74))</f>
        <v>0</v>
      </c>
      <c r="CL75" s="241" t="n">
        <f aca="false">IF(CE75=0,0,CK75)</f>
        <v>0</v>
      </c>
      <c r="CM75" s="239" t="n">
        <f aca="false">IF(CE75=0,0,CH75*9.81)</f>
        <v>0</v>
      </c>
      <c r="CN75" s="239" t="n">
        <f aca="false">IF(CM75=0,CM75+CN74,CM75)</f>
        <v>0</v>
      </c>
      <c r="CO75" s="239" t="n">
        <f aca="false">IF(CN75=CN74,CO74,ABS(CN75+CO74))</f>
        <v>0</v>
      </c>
      <c r="CP75" s="241" t="n">
        <f aca="false">IF(CD75="NO",0,IF(CE75=0,0,CO75))</f>
        <v>0</v>
      </c>
      <c r="CQ75" s="244" t="str">
        <f aca="false">IF(BR75=0,"",CL75-CP75)</f>
        <v/>
      </c>
      <c r="CR75" s="244" t="str">
        <f aca="false">IF(BR75=0,"",CQ75/101.3)</f>
        <v/>
      </c>
      <c r="CS75" s="244" t="str">
        <f aca="false">IF(BR75=0,"",LOG(10/CR75))</f>
        <v/>
      </c>
      <c r="CT75" s="243" t="str">
        <f aca="false">IF(BR75=0,"",IF(SQRT(101.3/CQ75)&lt;=1.7,SQRT(101.3/CQ75),2.2/(1.2+(CQ75/101.3))))</f>
        <v/>
      </c>
      <c r="CU75" s="244" t="str">
        <f aca="false">IF(BR75=0,"",1.7/(0.7+CR75))</f>
        <v/>
      </c>
      <c r="CV75" s="244" t="str">
        <f aca="false">IF(BR75=0,"",IF(CR75&gt;=0.25,0.77*LOG(20/CR75),""))</f>
        <v/>
      </c>
      <c r="CW75" s="244" t="str">
        <f aca="false">IF(BR75=0,"",32.5/(10.2+20.3*CR75))</f>
        <v/>
      </c>
      <c r="CX75" s="244" t="str">
        <f aca="false">IF(BR75=0,"",1-1.25*LOG(CR75))</f>
        <v/>
      </c>
      <c r="CY75" s="244" t="str">
        <f aca="false">IF(BR75=0,"",IF(CR75&lt;1,1-1.41*LOG(CR75),1+0.92*LOG(CR75)))</f>
        <v/>
      </c>
      <c r="CZ75" s="244" t="str">
        <f aca="false">IF(BR75=0,"",2/(1+CR75))</f>
        <v/>
      </c>
      <c r="DA75" s="244" t="str">
        <f aca="false">IF(BR75=0,"",IF(CR75&lt;=0.75,4/(1+4*CR75),4/(3.25+CR75)))</f>
        <v/>
      </c>
      <c r="DB75" s="244" t="str">
        <f aca="false">IF(BR75=0,"",CT75)</f>
        <v/>
      </c>
      <c r="DC75" s="244" t="str">
        <f aca="false">IF(BR75=0,"",DB75*CC75)</f>
        <v/>
      </c>
      <c r="DD75" s="244"/>
      <c r="DE75" s="244" t="str">
        <f aca="false">IF(BR75=0,"",0.193*(CC75/(CQ75*0.001))^0.689)</f>
        <v/>
      </c>
      <c r="DF75" s="244" t="str">
        <f aca="false">IF(BR75=0,"",IF(AS75=$AX$4,(0.1348118*CC75 - 0.0383065)*98.0665,""))</f>
        <v/>
      </c>
      <c r="DG75" s="244" t="str">
        <f aca="false">IF(BR75=0,"",IF(AS75=$AX$4,DF75/2,""))</f>
        <v/>
      </c>
      <c r="DH75" s="244" t="str">
        <f aca="false">IF(BR75=0,"",IF(DC75&lt;=15,12*(DC75+6),40+12*(DC75-6)))</f>
        <v/>
      </c>
      <c r="DI75" s="244" t="str">
        <f aca="false">IF(BR75=0,"",IF(CD75="SI",5*(DC75+15),((3.3*(DC75+15))+(4*(DC75+12)))/2))</f>
        <v/>
      </c>
      <c r="DJ75" s="244" t="str">
        <f aca="false">IF(BR75=0,"",8*DC75)</f>
        <v/>
      </c>
      <c r="DK75" s="244" t="str">
        <f aca="false">IF(BR75=0,"",215+(10.6*DC75))</f>
        <v/>
      </c>
      <c r="DL75" s="244" t="str">
        <f aca="false">IF(BR75=0,"",10*(7.5+(0.5*DC75)))</f>
        <v/>
      </c>
      <c r="DM75" s="244" t="str">
        <f aca="false">IF(BR75=0,"",8*DC75)</f>
        <v/>
      </c>
      <c r="DN75" s="244" t="str">
        <f aca="false">IF(AW75=" "," ",IF(DC75=""," ",IF(DC75&lt;4,10*10.2,IF(DC75=4,12*10.2,IF(DC75&lt;10,17.5*10.5,IF(DC75=10,15*10.2,IF(DC75&lt;30,22.5*10.2,IF(DC75=30,35*10.2,IF(DC75&lt;50,40*10.2,IF(DC75=50,50*10.2,55*10.2))))))))))</f>
        <v> </v>
      </c>
      <c r="DO75" s="244" t="str">
        <f aca="false">IF(BR75=0,"",7*SQRT(DC75)*10.1972)</f>
        <v/>
      </c>
      <c r="DP75" s="244" t="str">
        <f aca="false">IF(BR75=0,"",IF(AS75=$AX$4,5*CC75,""))</f>
        <v/>
      </c>
      <c r="DQ75" s="244" t="str">
        <f aca="false">IF(AW75=" "," ",IF(DC75=""," ",IF(DC75&lt;2,4*10.2,IF(DC75=2,6*10.2,IF(DC75&lt;4,12*10.2,IF(DC75=4,20*10.2,IF(DC75&lt;8,30*10.2,IF(DC75=8,35*10.2,IF(DC75&lt;15,40*10.2,IF(DC75=15,42*10.2,IF(DC75&lt;30,45*10.2,IF(DC75=30,50*10.2,70*10.2))))))))))))</f>
        <v> </v>
      </c>
      <c r="DR75" s="244" t="str">
        <f aca="false">IF(BR75=0,"",IF(AS75=$AX$4,220*DP75*0.0101972,""))</f>
        <v/>
      </c>
      <c r="DS75" s="271" t="str">
        <f aca="false">IF(BR75=0,"",IF(AS75=$AX$7,(SUM(DH75:DO75)-MIN(DH75:DO75)-MAX(DH75:DO75))/6,(SUM(DO75:DR75)-MIN(DO75:DR75)-MAX(DO75:DR75))/2))</f>
        <v/>
      </c>
      <c r="DT75" s="244" t="str">
        <f aca="false">IF(AW75=" "," ",IF(DC75=""," ",IF(DC75&lt;4,0.2,IF(DC75=4,0.27,IF(DC75&lt;10,0.33,IF(DC75=10,0.35,IF(DC75&lt;30,0.36,IF(DC75=30,0.37,IF(DC75&lt;50,0.38,IF(DC75=50,0.4,0.45))))))))))</f>
        <v> </v>
      </c>
      <c r="DU75" s="272" t="str">
        <f aca="false">IF(AW75=" "," ",IF(CC75=""," ",IF(CC75&lt;2,0.2,IF(CC75=2,0.23,IF(CC75&lt;4,0.26,IF(CC75=4,0.29,IF(CC75&lt;8,0.32,IF(CC75=8,0.35,IF(CC75&lt;15,0.38,IF(CC75=15,0.41,IF(CC75&lt;30,0.44,IF(CC75=30,0.47,0.5))))))))))))</f>
        <v> </v>
      </c>
      <c r="DV75" s="244" t="str">
        <f aca="false">IF(BR75=0,"",IF(AS75=$AX$3,DT75,DU75))</f>
        <v/>
      </c>
      <c r="DW75" s="244" t="str">
        <f aca="false">IF(BR75=0,"",IF(DC75&gt;15,15+0.5*(DC75-15),DC75))</f>
        <v/>
      </c>
      <c r="DX75" s="244" t="str">
        <f aca="false">IF(BR75=0,"",IF($S$12="SI",IF(CD75="NO",IF($AD$12&gt;(BO75+1.5*$ED$15),1,0.5),0.5),1))</f>
        <v/>
      </c>
      <c r="DY75" s="244" t="str">
        <f aca="false">IF(BR75=0,"",IF($S$12="SI",IF(CD75="NO",IF($AD$12&gt;(BO75+1.5*$EE$15),1,0.5),0.5),1))</f>
        <v/>
      </c>
      <c r="DZ75" s="244" t="str">
        <f aca="false">IF(BR75=0,"",IF($S$12="SI",IF(CD75="NO",IF($AD$12&gt;(BO75+1.5*$EF$15),1,0.5),0.5),1))</f>
        <v/>
      </c>
      <c r="EA75" s="244" t="str">
        <f aca="false">IF(BR75=0,"",IF($S$12="SI",IF(CD75="NO",IF($AD$12&gt;(BO75+1.5*$ED$15),1,0.5),IF($AD$12=BO75,1,0.5)),1))</f>
        <v/>
      </c>
      <c r="EB75" s="244" t="str">
        <f aca="false">IF(BR75=0,"",IF($S$12="SI",IF(CD75="NO",IF($AD$12&gt;(BO75+1.5*$EE$15),1,0.5),IF($AD$12=BO75,1,0.5)),1))</f>
        <v/>
      </c>
      <c r="EC75" s="244" t="str">
        <f aca="false">IF(BR75=0,"",IF($S$12="SI",IF(CD75="NO",IF($AD$12&gt;(BO75+1.5*$EF$15),1,0.5),IF($AD$12=BO75,1,0.5)),1))</f>
        <v/>
      </c>
      <c r="ED75" s="244" t="str">
        <f aca="false">IF(BR75=0,"",(DW75*($ED$15/10)*(DX75+EA75*(BO75/$ED$15))*1)/3)</f>
        <v/>
      </c>
      <c r="EE75" s="244" t="str">
        <f aca="false">IF(BR75=0,"",(DW75*($EE$15/10)*(DY75+EB75*(BO75/$EE$15))*1)/3)</f>
        <v/>
      </c>
      <c r="EF75" s="244" t="str">
        <f aca="false">IF(BR75=0,"",(DW75*($EF$15/10)*(DZ75+EC75*(BO75/$EF$15))*1)/3)</f>
        <v/>
      </c>
      <c r="EG75" s="273" t="str">
        <f aca="false">IF(BR75=0,"",IF(CD75="SI",0.5,1))</f>
        <v/>
      </c>
      <c r="EH75" s="244" t="str">
        <f aca="false">IF(BR75=0,"",IF((1+0.33*(BO75/$ED$15))&lt;=1.33,(1+0.33*(BO75/$ED$15)),1.33))</f>
        <v/>
      </c>
      <c r="EI75" s="244" t="str">
        <f aca="false">IF(BR75=0,"",IF((1+0.33*(BO75/$EE$15))&lt;=1.33,(1+0.33*(BO75/$EE$15)),1.33))</f>
        <v/>
      </c>
      <c r="EJ75" s="244" t="str">
        <f aca="false">IF(BR75=0,"",IF((1+0.33*(BO75/$EF$15))&lt;=1.33,(1+0.33*(BO75/$EF$15)),1.33))</f>
        <v/>
      </c>
      <c r="EK75" s="244" t="str">
        <f aca="false">IF(BR75=0,"",IF($ED$15&lt;=1.2,((20*DC75*EG75*EH75)/3)*0.010197,((12.5*DC75*((($ED$15+0.3)^2)/$ED$15)*EG75*EH75)/3)*0.010197))</f>
        <v/>
      </c>
      <c r="EL75" s="244" t="str">
        <f aca="false">IF(BR75=0,"",IF($EE$15&lt;=1.2,((20*DC75*EG75*EI75)/3)*0.010197,((12.5*DC75*((($EE$15+0.3)^2)/$EE$15)*EG75*EI75)/3)*0.010197))</f>
        <v/>
      </c>
      <c r="EM75" s="244" t="str">
        <f aca="false">IF(BR75=0,"",IF($EF$15&lt;=1.2,((20*DC75*EG75*EJ75)/3)*0.010197,((12.5*DC75*((($EF$15+0.3)^2)/$EF$15)*EG75*EJ75)/3)*0.010197))</f>
        <v/>
      </c>
      <c r="EN75" s="248" t="str">
        <f aca="false">IF(BR75=0,"",SQRT(12*CC75)+25)</f>
        <v/>
      </c>
      <c r="EO75" s="248" t="str">
        <f aca="false">IF(BR75=0,"",28.5+0.25*CC75)</f>
        <v/>
      </c>
      <c r="EP75" s="248" t="str">
        <f aca="false">IF(BR75=0,"",SQRT(20*CC75)+15)</f>
        <v/>
      </c>
      <c r="EQ75" s="248" t="str">
        <f aca="false">IF(BR75=0,"",23.7+0.57*CC75-0.0006*CC75*CC75)</f>
        <v/>
      </c>
      <c r="ER75" s="248" t="str">
        <f aca="false">IF(BR75=0,"",15+SQRT(12.5*DC75))</f>
        <v/>
      </c>
      <c r="ES75" s="248" t="str">
        <f aca="false">IF(BR75=0,"",3.5*SQRT(CC75)+20)</f>
        <v/>
      </c>
      <c r="ET75" s="248" t="str">
        <f aca="false">IF(BR75=0,"",27.1+0.3*DC75-0.00054*DC75*DC75)</f>
        <v/>
      </c>
      <c r="EU75" s="248" t="str">
        <f aca="false">IF(BR75=0,"",SQRT(20*CC75)+20)</f>
        <v/>
      </c>
      <c r="EV75" s="248" t="str">
        <f aca="false">IF(BR75=0,"",12.79+SQRT(25.86*CC75))</f>
        <v/>
      </c>
      <c r="EW75" s="248" t="str">
        <f aca="false">IF(BR75=0,"",DEGREES(_xlfn.ACOT((CC75/(12.2+20.3*CR75))^0.34)))</f>
        <v/>
      </c>
      <c r="EX75" s="248" t="str">
        <f aca="false">IF(BR75=0,"",24+(5.77*LN(0.17*DC75)))</f>
        <v/>
      </c>
      <c r="EY75" s="248" t="str">
        <f aca="false">IF(BR75=0,"",(SUM(EN75:EX75)-MIN(EN75:EX75)-MAX(EN75:EX75))/9)</f>
        <v/>
      </c>
      <c r="EZ75" s="248" t="str">
        <f aca="false">IF(BR75=0,"", -0.0000000034*CC75^6 + 0.0000008305*CC75^5 - 0.0000741842*CC75^4 + 0.0030204278*CC75^3 - 0.0541594733*CC75^2 + 0.8083147848*CC75 - 0.6182191243)</f>
        <v/>
      </c>
      <c r="FA75" s="249" t="str">
        <f aca="false">IF(BR75=0,"",(0.134811827956989*CC75 - 0.0383064516129019)/2)</f>
        <v/>
      </c>
      <c r="FB75" s="249" t="str">
        <f aca="false">IF(BR75=0,"",CC75*0.065)</f>
        <v/>
      </c>
      <c r="FC75" s="249" t="str">
        <f aca="false">IF(BR75=0,"",(CC75*0.12*0.48)*SQRT((1+SIN(EZ75*((2*PI())/360))/(1-SIN(EZ75*((2*PI())/360))))))</f>
        <v/>
      </c>
      <c r="FD75" s="249" t="str">
        <f aca="false">IF(BR75=0,"",(CC75/8)/2)</f>
        <v/>
      </c>
      <c r="FE75" s="249" t="str">
        <f aca="false">IF(BR75=0,"",(SUM(FA75:FD75)-MIN(FA75:FD75)-MAX(FA75:FD75))/2)</f>
        <v/>
      </c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</row>
    <row r="76" customFormat="false" ht="9.75" hidden="false" customHeight="true" outlineLevel="0" collapsed="false">
      <c r="A76" s="197" t="n">
        <f aca="false">ROUND(A75+0.1,1)</f>
        <v>5.9</v>
      </c>
      <c r="B76" s="250"/>
      <c r="C76" s="251"/>
      <c r="D76" s="251"/>
      <c r="E76" s="199"/>
      <c r="F76" s="200"/>
      <c r="G76" s="254"/>
      <c r="H76" s="284"/>
      <c r="I76" s="285"/>
      <c r="J76" s="257"/>
      <c r="K76" s="258"/>
      <c r="L76" s="259"/>
      <c r="M76" s="276"/>
      <c r="N76" s="277"/>
      <c r="O76" s="277"/>
      <c r="P76" s="277"/>
      <c r="Q76" s="293"/>
      <c r="R76" s="304"/>
      <c r="S76" s="305"/>
      <c r="T76" s="295"/>
      <c r="U76" s="295"/>
      <c r="V76" s="296"/>
      <c r="W76" s="296"/>
      <c r="X76" s="296"/>
      <c r="Y76" s="296"/>
      <c r="Z76" s="296"/>
      <c r="AA76" s="296"/>
      <c r="AB76" s="297"/>
      <c r="AC76" s="298"/>
      <c r="AD76" s="299"/>
      <c r="AE76" s="298"/>
      <c r="AF76" s="300"/>
      <c r="AG76" s="267"/>
      <c r="AH76" s="267"/>
      <c r="AI76" s="241"/>
      <c r="AJ76" s="241"/>
      <c r="AK76" s="266"/>
      <c r="AL76" s="266"/>
      <c r="AM76" s="268"/>
      <c r="AN76" s="250"/>
      <c r="AO76" s="251"/>
      <c r="AP76" s="251"/>
      <c r="AQ76" s="199"/>
      <c r="AR76" s="200"/>
      <c r="AS76" s="269" t="s">
        <v>13</v>
      </c>
      <c r="AT76" s="221"/>
      <c r="AU76" s="269"/>
      <c r="AV76" s="269"/>
      <c r="AW76" s="270" t="n">
        <f aca="false">+K76+L76</f>
        <v>0</v>
      </c>
      <c r="AX76" s="270" t="str">
        <f aca="false">IF(AS76="&gt;50","CONSISTENCIA",IF(AS76="&lt;50","COMPACIDAD"," "))</f>
        <v>COMPACIDAD</v>
      </c>
      <c r="AY76" s="225" t="str">
        <f aca="false">IF(AS76="&gt;50",AZ76,IF(AS76="&lt;50",BA76," "))</f>
        <v> </v>
      </c>
      <c r="AZ76" s="224" t="str">
        <f aca="false">IF(AW76=" "," ",IF(CC76=""," ",IF(CC76&lt;2,"MUY BLANDA",IF(CC76=2,"MUY BLANDA A BLANDA",IF(CC76&lt;4,"BLANDA",IF(CC76=4,"BLANDA A MEDIA",IF(CC76&lt;8,"MEDIA",IF(CC76=8,"MEDIA A FIRME",IF(CC76&lt;15,"FIRME",IF(CC76=15,"FIRME A MUY FIRME",IF(CC76&lt;30,"MUY FIRME",IF(CC76=30,"MUY FIRME A DURA","DURA"))))))))))))</f>
        <v> </v>
      </c>
      <c r="BA76" s="225" t="str">
        <f aca="false">IF(AW76=" "," ",IF(DC76=""," ",IF(DC76&lt;4,"MUY SUELTA",IF(DC76=4,"MUY SUELTA A SUELTA",IF(DC76&lt;10,"SUELTA",IF(DC76=10,"SUELTA A MEDIA",IF(DC76&lt;30,"MEDIA",IF(DC76=30,"MEDIA A DENSO",IF(DC76&lt;50,"DENSO",IF(DC76=50,"DENSO MUY DENSO","MUY DENSO"))))))))))</f>
        <v> </v>
      </c>
      <c r="BB76" s="290" t="str">
        <f aca="false">IF(BR77=0,"",CQ77*0.0101972)</f>
        <v/>
      </c>
      <c r="BC76" s="227" t="n">
        <f aca="false">+BC75+0.1</f>
        <v>5.9</v>
      </c>
      <c r="BD76" s="227" t="str">
        <f aca="false">IF(BC76&lt;=$AN$10,BC76,"")</f>
        <v/>
      </c>
      <c r="BE76" s="228" t="n">
        <f aca="false">ISNUMBER(BD76)</f>
        <v>0</v>
      </c>
      <c r="BF76" s="229" t="str">
        <f aca="false">MID(M76,1,1)</f>
        <v/>
      </c>
      <c r="BG76" s="230" t="str">
        <f aca="false">IF(BF76="S","",IF(BF76="G","",MID(M76,2,1)))</f>
        <v/>
      </c>
      <c r="BH76" s="231" t="str">
        <f aca="false">CONCATENATE(BF76,BG76)</f>
        <v/>
      </c>
      <c r="BI76" s="6" t="str">
        <f aca="false">IF(BE76=FALSE(),"",IF(BH76="",BI75,BH76))</f>
        <v/>
      </c>
      <c r="BJ76" s="74" t="str">
        <f aca="false">IF(OR(BI76="S",BI76="G"),BI76,"X")</f>
        <v>X</v>
      </c>
      <c r="BK76" s="74" t="s">
        <v>236</v>
      </c>
      <c r="BL76" s="306" t="e">
        <f aca="false">INDEX(sim_0,MATCH($BJ$76,granular,0))</f>
        <v>#NAME?</v>
      </c>
      <c r="BM76" s="306"/>
      <c r="BN76" s="6"/>
      <c r="BO76" s="191" t="n">
        <f aca="false">BO75+0.1</f>
        <v>5.9</v>
      </c>
      <c r="BP76" s="233" t="e">
        <f aca="false">IF(AW76=0,NA(),IF(AS76=$AX$3,ROUND(DC76,0),NA()))</f>
        <v>#N/A</v>
      </c>
      <c r="BQ76" s="31" t="e">
        <f aca="false">IF(AW76=0,NA(),IF(AS76=$AX$4,ROUND(CC76,0),NA()))</f>
        <v>#N/A</v>
      </c>
      <c r="BR76" s="234" t="n">
        <f aca="false">+AW76</f>
        <v>0</v>
      </c>
      <c r="BS76" s="235" t="str">
        <f aca="false">IF(BR76=0,"", -0.00000000016128755327*CC76^6 + 0.00000006709386362421*CC76^5 - 0.0000106217678052217*CC76^4 + 0.00081068114193385*CC76^3 - 0.0314027378159951*CC76^2 + 0.649796593937842*CC76 + 13.7888866455022)</f>
        <v/>
      </c>
      <c r="BT76" s="235" t="str">
        <f aca="false">IF(BR76=0,"",-0.00000000014625939695*CC76^6 + 0.00000004971732060241*CC76^5 - 0.000006683744342031*CC76^4 + 0.0004563177378098*CC76^3 - 0.0171727530635803*CC76^2 + 0.444529932876435*CC76 + 15.6692518940565)</f>
        <v/>
      </c>
      <c r="BU76" s="236" t="str">
        <f aca="false">IF(BR76=0,"", -0.0000000008152265738*BR76^6 + 0.00000022764320256987*BR76^5 - 0.0000248205675927705*BR76^4 + 0.00133186623684865*BR76^3 - 0.0368442570441677*BR76^2 + 0.580111565569094*BR76 + 14.0417598296107)</f>
        <v/>
      </c>
      <c r="BV76" s="236" t="str">
        <f aca="false">IF(BR76=0,"", -0.00000000004321395721*BR76^6 + 0.00000002531844275498*BR76^5 - 0.00000369428022780862*BR76^4 + 0.00020283665900125*BR76^3 - 0.00462426256803268*BR76^2 + 0.139572935065453*BR76 + 15.4475338156923)</f>
        <v/>
      </c>
      <c r="BW76" s="236" t="str">
        <f aca="false">IF(BR76=0,"",-0.00000000033126390082*BR76^6 + 0.00000010463660614506*BR76^5 - 0.0000129629592998707*BR76^4 + 0.000803946335250767*BR76^3 - 0.0270257140395994*BR76^2 + 0.562590210721552*BR76+ 12.1254107606419)</f>
        <v/>
      </c>
      <c r="BX76" s="236" t="str">
        <f aca="false">IF(BR76=0,"",-0.00000000002593504955*BR76^6 + 0.00000002430495156704*BR76^5 - 0.00000386103271086364*BR76^4 + 0.000214416118986322*BR76^3 - 0.0047271462612021*BR76^2 + 0.156696175741135*BR76 + 15.4598891949502)</f>
        <v/>
      </c>
      <c r="BY76" s="234" t="str">
        <f aca="false">IF(BR76=0,"",$BS$2)</f>
        <v/>
      </c>
      <c r="BZ76" s="234" t="str">
        <f aca="false">IF(BR76=0,"",$BS$3)</f>
        <v/>
      </c>
      <c r="CA76" s="234" t="str">
        <f aca="false">IF(BR76=0,"",$BS$4)</f>
        <v/>
      </c>
      <c r="CB76" s="235" t="str">
        <f aca="false">IF(BR76=0,"",IF(AND(BO76&gt;=0,BO76&lt;4),0.75,IF(AND(BO76&gt;=4,BO76&lt;6),0.85,IF(AND(BO76&gt;=6,BO76&lt;=10),0.95,1))))</f>
        <v/>
      </c>
      <c r="CC76" s="234" t="str">
        <f aca="false">IF(BR76=0,"",BR76*BY76*BZ76*CA76*CB76/60)</f>
        <v/>
      </c>
      <c r="CD76" s="238" t="str">
        <f aca="false">IF(BR76=0,"",IF($S$12="NO","NO",IF($AD$12&lt;=BO76,"SI","NO")))</f>
        <v/>
      </c>
      <c r="CE76" s="235" t="n">
        <f aca="false">IF(BR76=0,0,AB76)</f>
        <v>0</v>
      </c>
      <c r="CF76" s="235" t="n">
        <f aca="false">IF(CE76&gt;0,BO76,0)</f>
        <v>0</v>
      </c>
      <c r="CG76" s="239" t="n">
        <f aca="false">IF(CF76=0,CF76+CG75,CF76)</f>
        <v>0</v>
      </c>
      <c r="CH76" s="239" t="n">
        <f aca="false">IF(CG76=CG75,CH75,ABS(CG76-CG75))</f>
        <v>0</v>
      </c>
      <c r="CI76" s="239" t="n">
        <f aca="false">+CE76*CH76</f>
        <v>0</v>
      </c>
      <c r="CJ76" s="239" t="n">
        <f aca="false">IF(CI76=0,CI76+CJ75,CI76)</f>
        <v>0</v>
      </c>
      <c r="CK76" s="239" t="n">
        <f aca="false">IF(CJ76=CJ75,CK75,ABS(CJ76+CK75))</f>
        <v>0</v>
      </c>
      <c r="CL76" s="241" t="n">
        <f aca="false">IF(CE76=0,0,CK76)</f>
        <v>0</v>
      </c>
      <c r="CM76" s="239" t="n">
        <f aca="false">IF(CE76=0,0,CH76*9.81)</f>
        <v>0</v>
      </c>
      <c r="CN76" s="239" t="n">
        <f aca="false">IF(CM76=0,CM76+CN75,CM76)</f>
        <v>0</v>
      </c>
      <c r="CO76" s="239" t="n">
        <f aca="false">IF(CN76=CN75,CO75,ABS(CN76+CO75))</f>
        <v>0</v>
      </c>
      <c r="CP76" s="241" t="n">
        <f aca="false">IF(CD76="NO",0,IF(CE76=0,0,CO76))</f>
        <v>0</v>
      </c>
      <c r="CQ76" s="244" t="str">
        <f aca="false">IF(BR76=0,"",CL76-CP76)</f>
        <v/>
      </c>
      <c r="CR76" s="244" t="str">
        <f aca="false">IF(BR76=0,"",CQ76/101.3)</f>
        <v/>
      </c>
      <c r="CS76" s="244" t="str">
        <f aca="false">IF(BR76=0,"",LOG(10/CR76))</f>
        <v/>
      </c>
      <c r="CT76" s="243" t="str">
        <f aca="false">IF(BR76=0,"",IF(SQRT(101.3/CQ76)&lt;=1.7,SQRT(101.3/CQ76),2.2/(1.2+(CQ76/101.3))))</f>
        <v/>
      </c>
      <c r="CU76" s="244" t="str">
        <f aca="false">IF(BR76=0,"",1.7/(0.7+CR76))</f>
        <v/>
      </c>
      <c r="CV76" s="244" t="str">
        <f aca="false">IF(BR76=0,"",IF(CR76&gt;=0.25,0.77*LOG(20/CR76),""))</f>
        <v/>
      </c>
      <c r="CW76" s="244" t="str">
        <f aca="false">IF(BR76=0,"",32.5/(10.2+20.3*CR76))</f>
        <v/>
      </c>
      <c r="CX76" s="244" t="str">
        <f aca="false">IF(BR76=0,"",1-1.25*LOG(CR76))</f>
        <v/>
      </c>
      <c r="CY76" s="244" t="str">
        <f aca="false">IF(BR76=0,"",IF(CR76&lt;1,1-1.41*LOG(CR76),1+0.92*LOG(CR76)))</f>
        <v/>
      </c>
      <c r="CZ76" s="244" t="str">
        <f aca="false">IF(BR76=0,"",2/(1+CR76))</f>
        <v/>
      </c>
      <c r="DA76" s="244" t="str">
        <f aca="false">IF(BR76=0,"",IF(CR76&lt;=0.75,4/(1+4*CR76),4/(3.25+CR76)))</f>
        <v/>
      </c>
      <c r="DB76" s="244" t="str">
        <f aca="false">IF(BR76=0,"",CT76)</f>
        <v/>
      </c>
      <c r="DC76" s="244" t="str">
        <f aca="false">IF(BR76=0,"",DB76*CC76)</f>
        <v/>
      </c>
      <c r="DD76" s="244"/>
      <c r="DE76" s="244" t="str">
        <f aca="false">IF(BR76=0,"",0.193*(CC76/(CQ76*0.001))^0.689)</f>
        <v/>
      </c>
      <c r="DF76" s="244" t="str">
        <f aca="false">IF(BR76=0,"",IF(AS76=$AX$4,(0.1348118*CC76 - 0.0383065)*98.0665,""))</f>
        <v/>
      </c>
      <c r="DG76" s="244" t="str">
        <f aca="false">IF(BR76=0,"",IF(AS76=$AX$4,DF76/2,""))</f>
        <v/>
      </c>
      <c r="DH76" s="244" t="str">
        <f aca="false">IF(BR76=0,"",IF(DC76&lt;=15,12*(DC76+6),40+12*(DC76-6)))</f>
        <v/>
      </c>
      <c r="DI76" s="244" t="str">
        <f aca="false">IF(BR76=0,"",IF(CD76="SI",5*(DC76+15),((3.3*(DC76+15))+(4*(DC76+12)))/2))</f>
        <v/>
      </c>
      <c r="DJ76" s="244" t="str">
        <f aca="false">IF(BR76=0,"",8*DC76)</f>
        <v/>
      </c>
      <c r="DK76" s="244" t="str">
        <f aca="false">IF(BR76=0,"",215+(10.6*DC76))</f>
        <v/>
      </c>
      <c r="DL76" s="244" t="str">
        <f aca="false">IF(BR76=0,"",10*(7.5+(0.5*DC76)))</f>
        <v/>
      </c>
      <c r="DM76" s="244" t="str">
        <f aca="false">IF(BR76=0,"",8*DC76)</f>
        <v/>
      </c>
      <c r="DN76" s="244" t="str">
        <f aca="false">IF(AW76=" "," ",IF(DC76=""," ",IF(DC76&lt;4,10*10.2,IF(DC76=4,12*10.2,IF(DC76&lt;10,17.5*10.5,IF(DC76=10,15*10.2,IF(DC76&lt;30,22.5*10.2,IF(DC76=30,35*10.2,IF(DC76&lt;50,40*10.2,IF(DC76=50,50*10.2,55*10.2))))))))))</f>
        <v> </v>
      </c>
      <c r="DO76" s="244" t="str">
        <f aca="false">IF(BR76=0,"",7*SQRT(DC76)*10.1972)</f>
        <v/>
      </c>
      <c r="DP76" s="244" t="str">
        <f aca="false">IF(BR76=0,"",IF(AS76=$AX$4,5*CC76,""))</f>
        <v/>
      </c>
      <c r="DQ76" s="244" t="str">
        <f aca="false">IF(AW76=" "," ",IF(DC76=""," ",IF(DC76&lt;2,4*10.2,IF(DC76=2,6*10.2,IF(DC76&lt;4,12*10.2,IF(DC76=4,20*10.2,IF(DC76&lt;8,30*10.2,IF(DC76=8,35*10.2,IF(DC76&lt;15,40*10.2,IF(DC76=15,42*10.2,IF(DC76&lt;30,45*10.2,IF(DC76=30,50*10.2,70*10.2))))))))))))</f>
        <v> </v>
      </c>
      <c r="DR76" s="244" t="str">
        <f aca="false">IF(BR76=0,"",IF(AS76=$AX$4,220*DP76*0.0101972,""))</f>
        <v/>
      </c>
      <c r="DS76" s="271" t="str">
        <f aca="false">IF(BR76=0,"",IF(AS76=$AX$7,(SUM(DH76:DO76)-MIN(DH76:DO76)-MAX(DH76:DO76))/6,(SUM(DO76:DR76)-MIN(DO76:DR76)-MAX(DO76:DR76))/2))</f>
        <v/>
      </c>
      <c r="DT76" s="244" t="str">
        <f aca="false">IF(AW76=" "," ",IF(DC76=""," ",IF(DC76&lt;4,0.2,IF(DC76=4,0.27,IF(DC76&lt;10,0.33,IF(DC76=10,0.35,IF(DC76&lt;30,0.36,IF(DC76=30,0.37,IF(DC76&lt;50,0.38,IF(DC76=50,0.4,0.45))))))))))</f>
        <v> </v>
      </c>
      <c r="DU76" s="272" t="str">
        <f aca="false">IF(AW76=" "," ",IF(CC76=""," ",IF(CC76&lt;2,0.2,IF(CC76=2,0.23,IF(CC76&lt;4,0.26,IF(CC76=4,0.29,IF(CC76&lt;8,0.32,IF(CC76=8,0.35,IF(CC76&lt;15,0.38,IF(CC76=15,0.41,IF(CC76&lt;30,0.44,IF(CC76=30,0.47,0.5))))))))))))</f>
        <v> </v>
      </c>
      <c r="DV76" s="244" t="str">
        <f aca="false">IF(BR76=0,"",IF(AS76=$AX$3,DT76,DU76))</f>
        <v/>
      </c>
      <c r="DW76" s="244" t="str">
        <f aca="false">IF(BR76=0,"",IF(DC76&gt;15,15+0.5*(DC76-15),DC76))</f>
        <v/>
      </c>
      <c r="DX76" s="244" t="str">
        <f aca="false">IF(BR76=0,"",IF($S$12="SI",IF(CD76="NO",IF($AD$12&gt;(BO76+1.5*$ED$15),1,0.5),0.5),1))</f>
        <v/>
      </c>
      <c r="DY76" s="244" t="str">
        <f aca="false">IF(BR76=0,"",IF($S$12="SI",IF(CD76="NO",IF($AD$12&gt;(BO76+1.5*$EE$15),1,0.5),0.5),1))</f>
        <v/>
      </c>
      <c r="DZ76" s="244" t="str">
        <f aca="false">IF(BR76=0,"",IF($S$12="SI",IF(CD76="NO",IF($AD$12&gt;(BO76+1.5*$EF$15),1,0.5),0.5),1))</f>
        <v/>
      </c>
      <c r="EA76" s="244" t="str">
        <f aca="false">IF(BR76=0,"",IF($S$12="SI",IF(CD76="NO",IF($AD$12&gt;(BO76+1.5*$ED$15),1,0.5),IF($AD$12=BO76,1,0.5)),1))</f>
        <v/>
      </c>
      <c r="EB76" s="244" t="str">
        <f aca="false">IF(BR76=0,"",IF($S$12="SI",IF(CD76="NO",IF($AD$12&gt;(BO76+1.5*$EE$15),1,0.5),IF($AD$12=BO76,1,0.5)),1))</f>
        <v/>
      </c>
      <c r="EC76" s="244" t="str">
        <f aca="false">IF(BR76=0,"",IF($S$12="SI",IF(CD76="NO",IF($AD$12&gt;(BO76+1.5*$EF$15),1,0.5),IF($AD$12=BO76,1,0.5)),1))</f>
        <v/>
      </c>
      <c r="ED76" s="244" t="str">
        <f aca="false">IF(BR76=0,"",(DW76*($ED$15/10)*(DX76+EA76*(BO76/$ED$15))*1)/3)</f>
        <v/>
      </c>
      <c r="EE76" s="244" t="str">
        <f aca="false">IF(BR76=0,"",(DW76*($EE$15/10)*(DY76+EB76*(BO76/$EE$15))*1)/3)</f>
        <v/>
      </c>
      <c r="EF76" s="244" t="str">
        <f aca="false">IF(BR76=0,"",(DW76*($EF$15/10)*(DZ76+EC76*(BO76/$EF$15))*1)/3)</f>
        <v/>
      </c>
      <c r="EG76" s="273" t="str">
        <f aca="false">IF(BR76=0,"",IF(CD76="SI",0.5,1))</f>
        <v/>
      </c>
      <c r="EH76" s="244" t="str">
        <f aca="false">IF(BR76=0,"",IF((1+0.33*(BO76/$ED$15))&lt;=1.33,(1+0.33*(BO76/$ED$15)),1.33))</f>
        <v/>
      </c>
      <c r="EI76" s="244" t="str">
        <f aca="false">IF(BR76=0,"",IF((1+0.33*(BO76/$EE$15))&lt;=1.33,(1+0.33*(BO76/$EE$15)),1.33))</f>
        <v/>
      </c>
      <c r="EJ76" s="244" t="str">
        <f aca="false">IF(BR76=0,"",IF((1+0.33*(BO76/$EF$15))&lt;=1.33,(1+0.33*(BO76/$EF$15)),1.33))</f>
        <v/>
      </c>
      <c r="EK76" s="244" t="str">
        <f aca="false">IF(BR76=0,"",IF($ED$15&lt;=1.2,((20*DC76*EG76*EH76)/3)*0.010197,((12.5*DC76*((($ED$15+0.3)^2)/$ED$15)*EG76*EH76)/3)*0.010197))</f>
        <v/>
      </c>
      <c r="EL76" s="244" t="str">
        <f aca="false">IF(BR76=0,"",IF($EE$15&lt;=1.2,((20*DC76*EG76*EI76)/3)*0.010197,((12.5*DC76*((($EE$15+0.3)^2)/$EE$15)*EG76*EI76)/3)*0.010197))</f>
        <v/>
      </c>
      <c r="EM76" s="244" t="str">
        <f aca="false">IF(BR76=0,"",IF($EF$15&lt;=1.2,((20*DC76*EG76*EJ76)/3)*0.010197,((12.5*DC76*((($EF$15+0.3)^2)/$EF$15)*EG76*EJ76)/3)*0.010197))</f>
        <v/>
      </c>
      <c r="EN76" s="248" t="str">
        <f aca="false">IF(BR76=0,"",SQRT(12*CC76)+25)</f>
        <v/>
      </c>
      <c r="EO76" s="248" t="str">
        <f aca="false">IF(BR76=0,"",28.5+0.25*CC76)</f>
        <v/>
      </c>
      <c r="EP76" s="248" t="str">
        <f aca="false">IF(BR76=0,"",SQRT(20*CC76)+15)</f>
        <v/>
      </c>
      <c r="EQ76" s="248" t="str">
        <f aca="false">IF(BR76=0,"",23.7+0.57*CC76-0.0006*CC76*CC76)</f>
        <v/>
      </c>
      <c r="ER76" s="248" t="str">
        <f aca="false">IF(BR76=0,"",15+SQRT(12.5*DC76))</f>
        <v/>
      </c>
      <c r="ES76" s="248" t="str">
        <f aca="false">IF(BR76=0,"",3.5*SQRT(CC76)+20)</f>
        <v/>
      </c>
      <c r="ET76" s="248" t="str">
        <f aca="false">IF(BR76=0,"",27.1+0.3*DC76-0.00054*DC76*DC76)</f>
        <v/>
      </c>
      <c r="EU76" s="248" t="str">
        <f aca="false">IF(BR76=0,"",SQRT(20*CC76)+20)</f>
        <v/>
      </c>
      <c r="EV76" s="248" t="str">
        <f aca="false">IF(BR76=0,"",12.79+SQRT(25.86*CC76))</f>
        <v/>
      </c>
      <c r="EW76" s="248" t="str">
        <f aca="false">IF(BR76=0,"",DEGREES(_xlfn.ACOT((CC76/(12.2+20.3*CR76))^0.34)))</f>
        <v/>
      </c>
      <c r="EX76" s="248" t="str">
        <f aca="false">IF(BR76=0,"",24+(5.77*LN(0.17*DC76)))</f>
        <v/>
      </c>
      <c r="EY76" s="248" t="str">
        <f aca="false">IF(BR76=0,"",(SUM(EN76:EX76)-MIN(EN76:EX76)-MAX(EN76:EX76))/9)</f>
        <v/>
      </c>
      <c r="EZ76" s="248" t="str">
        <f aca="false">IF(BR76=0,"", -0.0000000034*CC76^6 + 0.0000008305*CC76^5 - 0.0000741842*CC76^4 + 0.0030204278*CC76^3 - 0.0541594733*CC76^2 + 0.8083147848*CC76 - 0.6182191243)</f>
        <v/>
      </c>
      <c r="FA76" s="249" t="str">
        <f aca="false">IF(BR76=0,"",(0.134811827956989*CC76 - 0.0383064516129019)/2)</f>
        <v/>
      </c>
      <c r="FB76" s="249" t="str">
        <f aca="false">IF(BR76=0,"",CC76*0.065)</f>
        <v/>
      </c>
      <c r="FC76" s="249" t="str">
        <f aca="false">IF(BR76=0,"",(CC76*0.12*0.48)*SQRT((1+SIN(EZ76*((2*PI())/360))/(1-SIN(EZ76*((2*PI())/360))))))</f>
        <v/>
      </c>
      <c r="FD76" s="249" t="str">
        <f aca="false">IF(BR76=0,"",(CC76/8)/2)</f>
        <v/>
      </c>
      <c r="FE76" s="249" t="str">
        <f aca="false">IF(BR76=0,"",(SUM(FA76:FD76)-MIN(FA76:FD76)-MAX(FA76:FD76))/2)</f>
        <v/>
      </c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</row>
    <row r="77" customFormat="false" ht="9.75" hidden="false" customHeight="true" outlineLevel="0" collapsed="false">
      <c r="A77" s="197" t="n">
        <f aca="false">ROUND(A76+0.1,1)</f>
        <v>6</v>
      </c>
      <c r="B77" s="281" t="n">
        <f aca="false">+A77</f>
        <v>6</v>
      </c>
      <c r="C77" s="291"/>
      <c r="D77" s="292"/>
      <c r="E77" s="252"/>
      <c r="F77" s="253"/>
      <c r="G77" s="254"/>
      <c r="H77" s="284"/>
      <c r="I77" s="285"/>
      <c r="J77" s="257"/>
      <c r="K77" s="258"/>
      <c r="L77" s="259"/>
      <c r="M77" s="276"/>
      <c r="N77" s="277"/>
      <c r="O77" s="277"/>
      <c r="P77" s="277"/>
      <c r="Q77" s="293"/>
      <c r="R77" s="304"/>
      <c r="S77" s="305"/>
      <c r="T77" s="295"/>
      <c r="U77" s="295"/>
      <c r="V77" s="296"/>
      <c r="W77" s="296"/>
      <c r="X77" s="296"/>
      <c r="Y77" s="296"/>
      <c r="Z77" s="296"/>
      <c r="AA77" s="296"/>
      <c r="AB77" s="297"/>
      <c r="AC77" s="298"/>
      <c r="AD77" s="299"/>
      <c r="AE77" s="298"/>
      <c r="AF77" s="300"/>
      <c r="AG77" s="267"/>
      <c r="AH77" s="267"/>
      <c r="AI77" s="241"/>
      <c r="AJ77" s="241"/>
      <c r="AK77" s="266"/>
      <c r="AL77" s="266"/>
      <c r="AM77" s="268"/>
      <c r="AN77" s="281" t="n">
        <f aca="false">+AN75+0.2</f>
        <v>6</v>
      </c>
      <c r="AO77" s="291"/>
      <c r="AP77" s="292"/>
      <c r="AQ77" s="252"/>
      <c r="AR77" s="253"/>
      <c r="AS77" s="269" t="s">
        <v>13</v>
      </c>
      <c r="AT77" s="221"/>
      <c r="AU77" s="269"/>
      <c r="AV77" s="269"/>
      <c r="AW77" s="270" t="n">
        <f aca="false">+K77+L77</f>
        <v>0</v>
      </c>
      <c r="AX77" s="270" t="str">
        <f aca="false">IF(AS77="&gt;50","CONSISTENCIA",IF(AS77="&lt;50","COMPACIDAD"," "))</f>
        <v>COMPACIDAD</v>
      </c>
      <c r="AY77" s="225" t="str">
        <f aca="false">IF(AS77="&gt;50",AZ77,IF(AS77="&lt;50",BA77," "))</f>
        <v> </v>
      </c>
      <c r="AZ77" s="224" t="str">
        <f aca="false">IF(AW77=" "," ",IF(CC77=""," ",IF(CC77&lt;2,"MUY BLANDA",IF(CC77=2,"MUY BLANDA A BLANDA",IF(CC77&lt;4,"BLANDA",IF(CC77=4,"BLANDA A MEDIA",IF(CC77&lt;8,"MEDIA",IF(CC77=8,"MEDIA A FIRME",IF(CC77&lt;15,"FIRME",IF(CC77=15,"FIRME A MUY FIRME",IF(CC77&lt;30,"MUY FIRME",IF(CC77=30,"MUY FIRME A DURA","DURA"))))))))))))</f>
        <v> </v>
      </c>
      <c r="BA77" s="225" t="str">
        <f aca="false">IF(AW77=" "," ",IF(DC77=""," ",IF(DC77&lt;4,"MUY SUELTA",IF(DC77=4,"MUY SUELTA A SUELTA",IF(DC77&lt;10,"SUELTA",IF(DC77=10,"SUELTA A MEDIA",IF(DC77&lt;30,"MEDIA",IF(DC77=30,"MEDIA A DENSO",IF(DC77&lt;50,"DENSO",IF(DC77=50,"DENSO MUY DENSO","MUY DENSO"))))))))))</f>
        <v> </v>
      </c>
      <c r="BB77" s="190" t="str">
        <f aca="false">IF(BR78=0,"",CQ78*0.0101972)</f>
        <v/>
      </c>
      <c r="BC77" s="227" t="n">
        <f aca="false">+BC76+0.1</f>
        <v>6</v>
      </c>
      <c r="BD77" s="227" t="str">
        <f aca="false">IF(BC77&lt;=$AN$10,BC77,"")</f>
        <v/>
      </c>
      <c r="BE77" s="228" t="n">
        <f aca="false">ISNUMBER(BD77)</f>
        <v>0</v>
      </c>
      <c r="BF77" s="229" t="str">
        <f aca="false">MID(M77,1,1)</f>
        <v/>
      </c>
      <c r="BG77" s="230" t="str">
        <f aca="false">IF(BF77="S","",IF(BF77="G","",MID(M77,2,1)))</f>
        <v/>
      </c>
      <c r="BH77" s="231" t="str">
        <f aca="false">CONCATENATE(BF77,BG77)</f>
        <v/>
      </c>
      <c r="BI77" s="6" t="str">
        <f aca="false">IF(BE77=FALSE(),"",IF(BH77="",BI76,BH77))</f>
        <v/>
      </c>
      <c r="BJ77" s="74" t="str">
        <f aca="false">IF(OR(BI77="S",BI77="G"),BI77,"X")</f>
        <v>X</v>
      </c>
      <c r="BK77" s="74" t="s">
        <v>237</v>
      </c>
      <c r="BL77" s="306" t="e">
        <f aca="false">INDEX(sim_0,MATCH($BJ$77,granular,0))</f>
        <v>#NAME?</v>
      </c>
      <c r="BM77" s="306"/>
      <c r="BN77" s="6"/>
      <c r="BO77" s="191" t="n">
        <f aca="false">BO76+0.1</f>
        <v>6</v>
      </c>
      <c r="BP77" s="233" t="e">
        <f aca="false">IF(AW77=0,NA(),IF(AS77=$AX$3,ROUND(DC77,0),NA()))</f>
        <v>#N/A</v>
      </c>
      <c r="BQ77" s="31" t="e">
        <f aca="false">IF(AW77=0,NA(),IF(AS77=$AX$4,ROUND(CC77,0),NA()))</f>
        <v>#N/A</v>
      </c>
      <c r="BR77" s="234" t="n">
        <f aca="false">+AW77</f>
        <v>0</v>
      </c>
      <c r="BS77" s="235" t="str">
        <f aca="false">IF(BR77=0,"", -0.00000000016128755327*CC77^6 + 0.00000006709386362421*CC77^5 - 0.0000106217678052217*CC77^4 + 0.00081068114193385*CC77^3 - 0.0314027378159951*CC77^2 + 0.649796593937842*CC77 + 13.7888866455022)</f>
        <v/>
      </c>
      <c r="BT77" s="235" t="str">
        <f aca="false">IF(BR77=0,"",-0.00000000014625939695*CC77^6 + 0.00000004971732060241*CC77^5 - 0.000006683744342031*CC77^4 + 0.0004563177378098*CC77^3 - 0.0171727530635803*CC77^2 + 0.444529932876435*CC77 + 15.6692518940565)</f>
        <v/>
      </c>
      <c r="BU77" s="236" t="str">
        <f aca="false">IF(BR77=0,"", -0.0000000008152265738*BR77^6 + 0.00000022764320256987*BR77^5 - 0.0000248205675927705*BR77^4 + 0.00133186623684865*BR77^3 - 0.0368442570441677*BR77^2 + 0.580111565569094*BR77 + 14.0417598296107)</f>
        <v/>
      </c>
      <c r="BV77" s="236" t="str">
        <f aca="false">IF(BR77=0,"", -0.00000000004321395721*BR77^6 + 0.00000002531844275498*BR77^5 - 0.00000369428022780862*BR77^4 + 0.00020283665900125*BR77^3 - 0.00462426256803268*BR77^2 + 0.139572935065453*BR77 + 15.4475338156923)</f>
        <v/>
      </c>
      <c r="BW77" s="236" t="str">
        <f aca="false">IF(BR77=0,"",-0.00000000033126390082*BR77^6 + 0.00000010463660614506*BR77^5 - 0.0000129629592998707*BR77^4 + 0.000803946335250767*BR77^3 - 0.0270257140395994*BR77^2 + 0.562590210721552*BR77+ 12.1254107606419)</f>
        <v/>
      </c>
      <c r="BX77" s="236" t="str">
        <f aca="false">IF(BR77=0,"",-0.00000000002593504955*BR77^6 + 0.00000002430495156704*BR77^5 - 0.00000386103271086364*BR77^4 + 0.000214416118986322*BR77^3 - 0.0047271462612021*BR77^2 + 0.156696175741135*BR77 + 15.4598891949502)</f>
        <v/>
      </c>
      <c r="BY77" s="234" t="str">
        <f aca="false">IF(BR77=0,"",$BS$2)</f>
        <v/>
      </c>
      <c r="BZ77" s="234" t="str">
        <f aca="false">IF(BR77=0,"",$BS$3)</f>
        <v/>
      </c>
      <c r="CA77" s="234" t="str">
        <f aca="false">IF(BR77=0,"",$BS$4)</f>
        <v/>
      </c>
      <c r="CB77" s="235" t="str">
        <f aca="false">IF(BR77=0,"",IF(AND(BO77&gt;=0,BO77&lt;4),0.75,IF(AND(BO77&gt;=4,BO77&lt;6),0.85,IF(AND(BO77&gt;=6,BO77&lt;=10),0.95,1))))</f>
        <v/>
      </c>
      <c r="CC77" s="234" t="str">
        <f aca="false">IF(BR77=0,"",BR77*BY77*BZ77*CA77*CB77/60)</f>
        <v/>
      </c>
      <c r="CD77" s="238" t="str">
        <f aca="false">IF(BR77=0,"",IF($S$12="NO","NO",IF($AD$12&lt;=BO77,"SI","NO")))</f>
        <v/>
      </c>
      <c r="CE77" s="235" t="n">
        <f aca="false">IF(BR77=0,0,AB77)</f>
        <v>0</v>
      </c>
      <c r="CF77" s="235" t="n">
        <f aca="false">IF(CE77&gt;0,BO77,0)</f>
        <v>0</v>
      </c>
      <c r="CG77" s="239" t="n">
        <f aca="false">IF(CF77=0,CF77+CG76,CF77)</f>
        <v>0</v>
      </c>
      <c r="CH77" s="239" t="n">
        <f aca="false">IF(CG77=CG76,CH76,ABS(CG77-CG76))</f>
        <v>0</v>
      </c>
      <c r="CI77" s="239" t="n">
        <f aca="false">+CE77*CH77</f>
        <v>0</v>
      </c>
      <c r="CJ77" s="239" t="n">
        <f aca="false">IF(CI77=0,CI77+CJ76,CI77)</f>
        <v>0</v>
      </c>
      <c r="CK77" s="239" t="n">
        <f aca="false">IF(CJ77=CJ76,CK76,ABS(CJ77+CK76))</f>
        <v>0</v>
      </c>
      <c r="CL77" s="241" t="n">
        <f aca="false">IF(CE77=0,0,CK77)</f>
        <v>0</v>
      </c>
      <c r="CM77" s="239" t="n">
        <f aca="false">IF(CE77=0,0,CH77*9.81)</f>
        <v>0</v>
      </c>
      <c r="CN77" s="239" t="n">
        <f aca="false">IF(CM77=0,CM77+CN76,CM77)</f>
        <v>0</v>
      </c>
      <c r="CO77" s="239" t="n">
        <f aca="false">IF(CN77=CN76,CO76,ABS(CN77+CO76))</f>
        <v>0</v>
      </c>
      <c r="CP77" s="241" t="n">
        <f aca="false">IF(CD77="NO",0,IF(CE77=0,0,CO77))</f>
        <v>0</v>
      </c>
      <c r="CQ77" s="244" t="str">
        <f aca="false">IF(BR77=0,"",CL77-CP77)</f>
        <v/>
      </c>
      <c r="CR77" s="244" t="str">
        <f aca="false">IF(BR77=0,"",CQ77/101.3)</f>
        <v/>
      </c>
      <c r="CS77" s="244" t="str">
        <f aca="false">IF(BR77=0,"",LOG(10/CR77))</f>
        <v/>
      </c>
      <c r="CT77" s="243" t="str">
        <f aca="false">IF(BR77=0,"",IF(SQRT(101.3/CQ77)&lt;=1.7,SQRT(101.3/CQ77),2.2/(1.2+(CQ77/101.3))))</f>
        <v/>
      </c>
      <c r="CU77" s="244" t="str">
        <f aca="false">IF(BR77=0,"",1.7/(0.7+CR77))</f>
        <v/>
      </c>
      <c r="CV77" s="244" t="str">
        <f aca="false">IF(BR77=0,"",IF(CR77&gt;=0.25,0.77*LOG(20/CR77),""))</f>
        <v/>
      </c>
      <c r="CW77" s="244" t="str">
        <f aca="false">IF(BR77=0,"",32.5/(10.2+20.3*CR77))</f>
        <v/>
      </c>
      <c r="CX77" s="244" t="str">
        <f aca="false">IF(BR77=0,"",1-1.25*LOG(CR77))</f>
        <v/>
      </c>
      <c r="CY77" s="244" t="str">
        <f aca="false">IF(BR77=0,"",IF(CR77&lt;1,1-1.41*LOG(CR77),1+0.92*LOG(CR77)))</f>
        <v/>
      </c>
      <c r="CZ77" s="244" t="str">
        <f aca="false">IF(BR77=0,"",2/(1+CR77))</f>
        <v/>
      </c>
      <c r="DA77" s="244" t="str">
        <f aca="false">IF(BR77=0,"",IF(CR77&lt;=0.75,4/(1+4*CR77),4/(3.25+CR77)))</f>
        <v/>
      </c>
      <c r="DB77" s="244" t="str">
        <f aca="false">IF(BR77=0,"",CT77)</f>
        <v/>
      </c>
      <c r="DC77" s="244" t="str">
        <f aca="false">IF(BR77=0,"",DB77*CC77)</f>
        <v/>
      </c>
      <c r="DD77" s="244"/>
      <c r="DE77" s="244" t="str">
        <f aca="false">IF(BR77=0,"",0.193*(CC77/(CQ77*0.001))^0.689)</f>
        <v/>
      </c>
      <c r="DF77" s="244" t="str">
        <f aca="false">IF(BR77=0,"",IF(AS77=$AX$4,(0.1348118*CC77 - 0.0383065)*98.0665,""))</f>
        <v/>
      </c>
      <c r="DG77" s="244" t="str">
        <f aca="false">IF(BR77=0,"",IF(AS77=$AX$4,DF77/2,""))</f>
        <v/>
      </c>
      <c r="DH77" s="244" t="str">
        <f aca="false">IF(BR77=0,"",IF(DC77&lt;=15,12*(DC77+6),40+12*(DC77-6)))</f>
        <v/>
      </c>
      <c r="DI77" s="244" t="str">
        <f aca="false">IF(BR77=0,"",IF(CD77="SI",5*(DC77+15),((3.3*(DC77+15))+(4*(DC77+12)))/2))</f>
        <v/>
      </c>
      <c r="DJ77" s="244" t="str">
        <f aca="false">IF(BR77=0,"",8*DC77)</f>
        <v/>
      </c>
      <c r="DK77" s="244" t="str">
        <f aca="false">IF(BR77=0,"",215+(10.6*DC77))</f>
        <v/>
      </c>
      <c r="DL77" s="244" t="str">
        <f aca="false">IF(BR77=0,"",10*(7.5+(0.5*DC77)))</f>
        <v/>
      </c>
      <c r="DM77" s="244" t="str">
        <f aca="false">IF(BR77=0,"",8*DC77)</f>
        <v/>
      </c>
      <c r="DN77" s="244" t="str">
        <f aca="false">IF(AW77=" "," ",IF(DC77=""," ",IF(DC77&lt;4,10*10.2,IF(DC77=4,12*10.2,IF(DC77&lt;10,17.5*10.5,IF(DC77=10,15*10.2,IF(DC77&lt;30,22.5*10.2,IF(DC77=30,35*10.2,IF(DC77&lt;50,40*10.2,IF(DC77=50,50*10.2,55*10.2))))))))))</f>
        <v> </v>
      </c>
      <c r="DO77" s="244" t="str">
        <f aca="false">IF(BR77=0,"",7*SQRT(DC77)*10.1972)</f>
        <v/>
      </c>
      <c r="DP77" s="244" t="str">
        <f aca="false">IF(BR77=0,"",IF(AS77=$AX$4,5*CC77,""))</f>
        <v/>
      </c>
      <c r="DQ77" s="244" t="str">
        <f aca="false">IF(AW77=" "," ",IF(DC77=""," ",IF(DC77&lt;2,4*10.2,IF(DC77=2,6*10.2,IF(DC77&lt;4,12*10.2,IF(DC77=4,20*10.2,IF(DC77&lt;8,30*10.2,IF(DC77=8,35*10.2,IF(DC77&lt;15,40*10.2,IF(DC77=15,42*10.2,IF(DC77&lt;30,45*10.2,IF(DC77=30,50*10.2,70*10.2))))))))))))</f>
        <v> </v>
      </c>
      <c r="DR77" s="244" t="str">
        <f aca="false">IF(BR77=0,"",IF(AS77=$AX$4,220*DP77*0.0101972,""))</f>
        <v/>
      </c>
      <c r="DS77" s="271" t="str">
        <f aca="false">IF(BR77=0,"",IF(AS77=$AX$7,(SUM(DH77:DO77)-MIN(DH77:DO77)-MAX(DH77:DO77))/6,(SUM(DO77:DR77)-MIN(DO77:DR77)-MAX(DO77:DR77))/2))</f>
        <v/>
      </c>
      <c r="DT77" s="244" t="str">
        <f aca="false">IF(AW77=" "," ",IF(DC77=""," ",IF(DC77&lt;4,0.2,IF(DC77=4,0.27,IF(DC77&lt;10,0.33,IF(DC77=10,0.35,IF(DC77&lt;30,0.36,IF(DC77=30,0.37,IF(DC77&lt;50,0.38,IF(DC77=50,0.4,0.45))))))))))</f>
        <v> </v>
      </c>
      <c r="DU77" s="272" t="str">
        <f aca="false">IF(AW77=" "," ",IF(CC77=""," ",IF(CC77&lt;2,0.2,IF(CC77=2,0.23,IF(CC77&lt;4,0.26,IF(CC77=4,0.29,IF(CC77&lt;8,0.32,IF(CC77=8,0.35,IF(CC77&lt;15,0.38,IF(CC77=15,0.41,IF(CC77&lt;30,0.44,IF(CC77=30,0.47,0.5))))))))))))</f>
        <v> </v>
      </c>
      <c r="DV77" s="244" t="str">
        <f aca="false">IF(BR77=0,"",IF(AS77=$AX$3,DT77,DU77))</f>
        <v/>
      </c>
      <c r="DW77" s="244" t="str">
        <f aca="false">IF(BR77=0,"",IF(DC77&gt;15,15+0.5*(DC77-15),DC77))</f>
        <v/>
      </c>
      <c r="DX77" s="244" t="str">
        <f aca="false">IF(BR77=0,"",IF($S$12="SI",IF(CD77="NO",IF($AD$12&gt;(BO77+1.5*$ED$15),1,0.5),0.5),1))</f>
        <v/>
      </c>
      <c r="DY77" s="244" t="str">
        <f aca="false">IF(BR77=0,"",IF($S$12="SI",IF(CD77="NO",IF($AD$12&gt;(BO77+1.5*$EE$15),1,0.5),0.5),1))</f>
        <v/>
      </c>
      <c r="DZ77" s="244" t="str">
        <f aca="false">IF(BR77=0,"",IF($S$12="SI",IF(CD77="NO",IF($AD$12&gt;(BO77+1.5*$EF$15),1,0.5),0.5),1))</f>
        <v/>
      </c>
      <c r="EA77" s="244" t="str">
        <f aca="false">IF(BR77=0,"",IF($S$12="SI",IF(CD77="NO",IF($AD$12&gt;(BO77+1.5*$ED$15),1,0.5),IF($AD$12=BO77,1,0.5)),1))</f>
        <v/>
      </c>
      <c r="EB77" s="244" t="str">
        <f aca="false">IF(BR77=0,"",IF($S$12="SI",IF(CD77="NO",IF($AD$12&gt;(BO77+1.5*$EE$15),1,0.5),IF($AD$12=BO77,1,0.5)),1))</f>
        <v/>
      </c>
      <c r="EC77" s="244" t="str">
        <f aca="false">IF(BR77=0,"",IF($S$12="SI",IF(CD77="NO",IF($AD$12&gt;(BO77+1.5*$EF$15),1,0.5),IF($AD$12=BO77,1,0.5)),1))</f>
        <v/>
      </c>
      <c r="ED77" s="244" t="str">
        <f aca="false">IF(BR77=0,"",(DW77*($ED$15/10)*(DX77+EA77*(BO77/$ED$15))*1)/3)</f>
        <v/>
      </c>
      <c r="EE77" s="244" t="str">
        <f aca="false">IF(BR77=0,"",(DW77*($EE$15/10)*(DY77+EB77*(BO77/$EE$15))*1)/3)</f>
        <v/>
      </c>
      <c r="EF77" s="244" t="str">
        <f aca="false">IF(BR77=0,"",(DW77*($EF$15/10)*(DZ77+EC77*(BO77/$EF$15))*1)/3)</f>
        <v/>
      </c>
      <c r="EG77" s="273" t="str">
        <f aca="false">IF(BR77=0,"",IF(CD77="SI",0.5,1))</f>
        <v/>
      </c>
      <c r="EH77" s="244" t="str">
        <f aca="false">IF(BR77=0,"",IF((1+0.33*(BO77/$ED$15))&lt;=1.33,(1+0.33*(BO77/$ED$15)),1.33))</f>
        <v/>
      </c>
      <c r="EI77" s="244" t="str">
        <f aca="false">IF(BR77=0,"",IF((1+0.33*(BO77/$EE$15))&lt;=1.33,(1+0.33*(BO77/$EE$15)),1.33))</f>
        <v/>
      </c>
      <c r="EJ77" s="244" t="str">
        <f aca="false">IF(BR77=0,"",IF((1+0.33*(BO77/$EF$15))&lt;=1.33,(1+0.33*(BO77/$EF$15)),1.33))</f>
        <v/>
      </c>
      <c r="EK77" s="244" t="str">
        <f aca="false">IF(BR77=0,"",IF($ED$15&lt;=1.2,((20*DC77*EG77*EH77)/3)*0.010197,((12.5*DC77*((($ED$15+0.3)^2)/$ED$15)*EG77*EH77)/3)*0.010197))</f>
        <v/>
      </c>
      <c r="EL77" s="244" t="str">
        <f aca="false">IF(BR77=0,"",IF($EE$15&lt;=1.2,((20*DC77*EG77*EI77)/3)*0.010197,((12.5*DC77*((($EE$15+0.3)^2)/$EE$15)*EG77*EI77)/3)*0.010197))</f>
        <v/>
      </c>
      <c r="EM77" s="244" t="str">
        <f aca="false">IF(BR77=0,"",IF($EF$15&lt;=1.2,((20*DC77*EG77*EJ77)/3)*0.010197,((12.5*DC77*((($EF$15+0.3)^2)/$EF$15)*EG77*EJ77)/3)*0.010197))</f>
        <v/>
      </c>
      <c r="EN77" s="248" t="str">
        <f aca="false">IF(BR77=0,"",SQRT(12*CC77)+25)</f>
        <v/>
      </c>
      <c r="EO77" s="248" t="str">
        <f aca="false">IF(BR77=0,"",28.5+0.25*CC77)</f>
        <v/>
      </c>
      <c r="EP77" s="248" t="str">
        <f aca="false">IF(BR77=0,"",SQRT(20*CC77)+15)</f>
        <v/>
      </c>
      <c r="EQ77" s="248" t="str">
        <f aca="false">IF(BR77=0,"",23.7+0.57*CC77-0.0006*CC77*CC77)</f>
        <v/>
      </c>
      <c r="ER77" s="248" t="str">
        <f aca="false">IF(BR77=0,"",15+SQRT(12.5*DC77))</f>
        <v/>
      </c>
      <c r="ES77" s="248" t="str">
        <f aca="false">IF(BR77=0,"",3.5*SQRT(CC77)+20)</f>
        <v/>
      </c>
      <c r="ET77" s="248" t="str">
        <f aca="false">IF(BR77=0,"",27.1+0.3*DC77-0.00054*DC77*DC77)</f>
        <v/>
      </c>
      <c r="EU77" s="248" t="str">
        <f aca="false">IF(BR77=0,"",SQRT(20*CC77)+20)</f>
        <v/>
      </c>
      <c r="EV77" s="248" t="str">
        <f aca="false">IF(BR77=0,"",12.79+SQRT(25.86*CC77))</f>
        <v/>
      </c>
      <c r="EW77" s="248" t="str">
        <f aca="false">IF(BR77=0,"",DEGREES(_xlfn.ACOT((CC77/(12.2+20.3*CR77))^0.34)))</f>
        <v/>
      </c>
      <c r="EX77" s="248" t="str">
        <f aca="false">IF(BR77=0,"",24+(5.77*LN(0.17*DC77)))</f>
        <v/>
      </c>
      <c r="EY77" s="248" t="str">
        <f aca="false">IF(BR77=0,"",(SUM(EN77:EX77)-MIN(EN77:EX77)-MAX(EN77:EX77))/9)</f>
        <v/>
      </c>
      <c r="EZ77" s="248" t="str">
        <f aca="false">IF(BR77=0,"", -0.0000000034*CC77^6 + 0.0000008305*CC77^5 - 0.0000741842*CC77^4 + 0.0030204278*CC77^3 - 0.0541594733*CC77^2 + 0.8083147848*CC77 - 0.6182191243)</f>
        <v/>
      </c>
      <c r="FA77" s="249" t="str">
        <f aca="false">IF(BR77=0,"",(0.134811827956989*CC77 - 0.0383064516129019)/2)</f>
        <v/>
      </c>
      <c r="FB77" s="249" t="str">
        <f aca="false">IF(BR77=0,"",CC77*0.065)</f>
        <v/>
      </c>
      <c r="FC77" s="249" t="str">
        <f aca="false">IF(BR77=0,"",(CC77*0.12*0.48)*SQRT((1+SIN(EZ77*((2*PI())/360))/(1-SIN(EZ77*((2*PI())/360))))))</f>
        <v/>
      </c>
      <c r="FD77" s="249" t="str">
        <f aca="false">IF(BR77=0,"",(CC77/8)/2)</f>
        <v/>
      </c>
      <c r="FE77" s="249" t="str">
        <f aca="false">IF(BR77=0,"",(SUM(FA77:FD77)-MIN(FA77:FD77)-MAX(FA77:FD77))/2)</f>
        <v/>
      </c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</row>
    <row r="78" customFormat="false" ht="9.75" hidden="false" customHeight="true" outlineLevel="0" collapsed="false">
      <c r="A78" s="197" t="n">
        <f aca="false">ROUND(A77+0.1,1)</f>
        <v>6.1</v>
      </c>
      <c r="B78" s="281"/>
      <c r="C78" s="251"/>
      <c r="D78" s="283"/>
      <c r="E78" s="199"/>
      <c r="F78" s="200"/>
      <c r="G78" s="254"/>
      <c r="H78" s="255"/>
      <c r="I78" s="256"/>
      <c r="J78" s="257"/>
      <c r="K78" s="258"/>
      <c r="L78" s="259"/>
      <c r="M78" s="276"/>
      <c r="N78" s="277"/>
      <c r="O78" s="277"/>
      <c r="P78" s="277"/>
      <c r="Q78" s="293"/>
      <c r="R78" s="304"/>
      <c r="S78" s="305"/>
      <c r="T78" s="295"/>
      <c r="U78" s="295"/>
      <c r="V78" s="296"/>
      <c r="W78" s="296"/>
      <c r="X78" s="296"/>
      <c r="Y78" s="296"/>
      <c r="Z78" s="296"/>
      <c r="AA78" s="296"/>
      <c r="AB78" s="297"/>
      <c r="AC78" s="298"/>
      <c r="AD78" s="299"/>
      <c r="AE78" s="298"/>
      <c r="AF78" s="300"/>
      <c r="AG78" s="267"/>
      <c r="AH78" s="267"/>
      <c r="AI78" s="241"/>
      <c r="AJ78" s="241"/>
      <c r="AK78" s="266"/>
      <c r="AL78" s="266"/>
      <c r="AM78" s="268"/>
      <c r="AN78" s="281"/>
      <c r="AO78" s="251"/>
      <c r="AP78" s="283"/>
      <c r="AQ78" s="199"/>
      <c r="AR78" s="200"/>
      <c r="AS78" s="269" t="s">
        <v>13</v>
      </c>
      <c r="AT78" s="221"/>
      <c r="AU78" s="269"/>
      <c r="AV78" s="269"/>
      <c r="AW78" s="270" t="n">
        <f aca="false">+K78+L78</f>
        <v>0</v>
      </c>
      <c r="AX78" s="270" t="str">
        <f aca="false">IF(AS78="&gt;50","CONSISTENCIA",IF(AS78="&lt;50","COMPACIDAD"," "))</f>
        <v>COMPACIDAD</v>
      </c>
      <c r="AY78" s="225" t="str">
        <f aca="false">IF(AS78="&gt;50",AZ78,IF(AS78="&lt;50",BA78," "))</f>
        <v> </v>
      </c>
      <c r="AZ78" s="224" t="str">
        <f aca="false">IF(AW78=" "," ",IF(CC78=""," ",IF(CC78&lt;2,"MUY BLANDA",IF(CC78=2,"MUY BLANDA A BLANDA",IF(CC78&lt;4,"BLANDA",IF(CC78=4,"BLANDA A MEDIA",IF(CC78&lt;8,"MEDIA",IF(CC78=8,"MEDIA A FIRME",IF(CC78&lt;15,"FIRME",IF(CC78=15,"FIRME A MUY FIRME",IF(CC78&lt;30,"MUY FIRME",IF(CC78=30,"MUY FIRME A DURA","DURA"))))))))))))</f>
        <v> </v>
      </c>
      <c r="BA78" s="225" t="str">
        <f aca="false">IF(AW78=" "," ",IF(DC78=""," ",IF(DC78&lt;4,"MUY SUELTA",IF(DC78=4,"MUY SUELTA A SUELTA",IF(DC78&lt;10,"SUELTA",IF(DC78=10,"SUELTA A MEDIA",IF(DC78&lt;30,"MEDIA",IF(DC78=30,"MEDIA A DENSO",IF(DC78&lt;50,"DENSO",IF(DC78=50,"DENSO MUY DENSO","MUY DENSO"))))))))))</f>
        <v> </v>
      </c>
      <c r="BB78" s="226" t="str">
        <f aca="false">IF(BR79=0,"",CQ79*0.0101972)</f>
        <v/>
      </c>
      <c r="BC78" s="227" t="n">
        <f aca="false">+BC77+0.1</f>
        <v>6.09999999999999</v>
      </c>
      <c r="BD78" s="227" t="str">
        <f aca="false">IF(BC78&lt;=$AN$10,BC78,"")</f>
        <v/>
      </c>
      <c r="BE78" s="228" t="n">
        <f aca="false">ISNUMBER(BD78)</f>
        <v>0</v>
      </c>
      <c r="BF78" s="229" t="str">
        <f aca="false">MID(M78,1,1)</f>
        <v/>
      </c>
      <c r="BG78" s="230" t="str">
        <f aca="false">IF(BF78="S","",IF(BF78="G","",MID(M78,2,1)))</f>
        <v/>
      </c>
      <c r="BH78" s="231" t="str">
        <f aca="false">CONCATENATE(BF78,BG78)</f>
        <v/>
      </c>
      <c r="BI78" s="6" t="str">
        <f aca="false">IF(BE78=FALSE(),"",IF(BH78="",BI77,BH78))</f>
        <v/>
      </c>
      <c r="BJ78" s="74" t="str">
        <f aca="false">IF(OR(BI78="S",BI78="G"),BI78,"X")</f>
        <v>X</v>
      </c>
      <c r="BK78" s="74" t="s">
        <v>238</v>
      </c>
      <c r="BL78" s="307" t="e">
        <f aca="false">INDEX(sim_0,MATCH($BJ$78,granular,0))</f>
        <v>#NAME?</v>
      </c>
      <c r="BM78" s="307"/>
      <c r="BN78" s="6"/>
      <c r="BO78" s="191" t="n">
        <f aca="false">BO77+0.1</f>
        <v>6.09999999999999</v>
      </c>
      <c r="BP78" s="233" t="e">
        <f aca="false">IF(AW78=0,NA(),IF(AS78=$AX$3,ROUND(DC78,0),NA()))</f>
        <v>#N/A</v>
      </c>
      <c r="BQ78" s="31" t="e">
        <f aca="false">IF(AW78=0,NA(),IF(AS78=$AX$4,ROUND(CC78,0),NA()))</f>
        <v>#N/A</v>
      </c>
      <c r="BR78" s="234" t="n">
        <f aca="false">+AW78</f>
        <v>0</v>
      </c>
      <c r="BS78" s="235" t="str">
        <f aca="false">IF(BR78=0,"", -0.00000000016128755327*CC78^6 + 0.00000006709386362421*CC78^5 - 0.0000106217678052217*CC78^4 + 0.00081068114193385*CC78^3 - 0.0314027378159951*CC78^2 + 0.649796593937842*CC78 + 13.7888866455022)</f>
        <v/>
      </c>
      <c r="BT78" s="235" t="str">
        <f aca="false">IF(BR78=0,"",-0.00000000014625939695*CC78^6 + 0.00000004971732060241*CC78^5 - 0.000006683744342031*CC78^4 + 0.0004563177378098*CC78^3 - 0.0171727530635803*CC78^2 + 0.444529932876435*CC78 + 15.6692518940565)</f>
        <v/>
      </c>
      <c r="BU78" s="236" t="str">
        <f aca="false">IF(BR78=0,"", -0.0000000008152265738*BR78^6 + 0.00000022764320256987*BR78^5 - 0.0000248205675927705*BR78^4 + 0.00133186623684865*BR78^3 - 0.0368442570441677*BR78^2 + 0.580111565569094*BR78 + 14.0417598296107)</f>
        <v/>
      </c>
      <c r="BV78" s="236" t="str">
        <f aca="false">IF(BR78=0,"", -0.00000000004321395721*BR78^6 + 0.00000002531844275498*BR78^5 - 0.00000369428022780862*BR78^4 + 0.00020283665900125*BR78^3 - 0.00462426256803268*BR78^2 + 0.139572935065453*BR78 + 15.4475338156923)</f>
        <v/>
      </c>
      <c r="BW78" s="236" t="str">
        <f aca="false">IF(BR78=0,"",-0.00000000033126390082*BR78^6 + 0.00000010463660614506*BR78^5 - 0.0000129629592998707*BR78^4 + 0.000803946335250767*BR78^3 - 0.0270257140395994*BR78^2 + 0.562590210721552*BR78+ 12.1254107606419)</f>
        <v/>
      </c>
      <c r="BX78" s="236" t="str">
        <f aca="false">IF(BR78=0,"",-0.00000000002593504955*BR78^6 + 0.00000002430495156704*BR78^5 - 0.00000386103271086364*BR78^4 + 0.000214416118986322*BR78^3 - 0.0047271462612021*BR78^2 + 0.156696175741135*BR78 + 15.4598891949502)</f>
        <v/>
      </c>
      <c r="BY78" s="234" t="str">
        <f aca="false">IF(BR78=0,"",$BS$2)</f>
        <v/>
      </c>
      <c r="BZ78" s="234" t="str">
        <f aca="false">IF(BR78=0,"",$BS$3)</f>
        <v/>
      </c>
      <c r="CA78" s="234" t="str">
        <f aca="false">IF(BR78=0,"",$BS$4)</f>
        <v/>
      </c>
      <c r="CB78" s="235" t="str">
        <f aca="false">IF(BR78=0,"",IF(AND(BO78&gt;=0,BO78&lt;4),0.75,IF(AND(BO78&gt;=4,BO78&lt;6),0.85,IF(AND(BO78&gt;=6,BO78&lt;=10),0.95,1))))</f>
        <v/>
      </c>
      <c r="CC78" s="234" t="str">
        <f aca="false">IF(BR78=0,"",BR78*BY78*BZ78*CA78*CB78/60)</f>
        <v/>
      </c>
      <c r="CD78" s="238" t="str">
        <f aca="false">IF(BR78=0,"",IF($S$12="NO","NO",IF($AD$12&lt;=BO78,"SI","NO")))</f>
        <v/>
      </c>
      <c r="CE78" s="235" t="n">
        <f aca="false">IF(BR78=0,0,AB78)</f>
        <v>0</v>
      </c>
      <c r="CF78" s="235" t="n">
        <f aca="false">IF(CE78&gt;0,BO78,0)</f>
        <v>0</v>
      </c>
      <c r="CG78" s="239" t="n">
        <f aca="false">IF(CF78=0,CF78+CG77,CF78)</f>
        <v>0</v>
      </c>
      <c r="CH78" s="239" t="n">
        <f aca="false">IF(CG78=CG77,CH77,ABS(CG78-CG77))</f>
        <v>0</v>
      </c>
      <c r="CI78" s="239" t="n">
        <f aca="false">+CE78*CH78</f>
        <v>0</v>
      </c>
      <c r="CJ78" s="239" t="n">
        <f aca="false">IF(CI78=0,CI78+CJ77,CI78)</f>
        <v>0</v>
      </c>
      <c r="CK78" s="239" t="n">
        <f aca="false">IF(CJ78=CJ77,CK77,ABS(CJ78+CK77))</f>
        <v>0</v>
      </c>
      <c r="CL78" s="241" t="n">
        <f aca="false">IF(CE78=0,0,CK78)</f>
        <v>0</v>
      </c>
      <c r="CM78" s="239" t="n">
        <f aca="false">IF(CE78=0,0,CH78*9.81)</f>
        <v>0</v>
      </c>
      <c r="CN78" s="239" t="n">
        <f aca="false">IF(CM78=0,CM78+CN77,CM78)</f>
        <v>0</v>
      </c>
      <c r="CO78" s="239" t="n">
        <f aca="false">IF(CN78=CN77,CO77,ABS(CN78+CO77))</f>
        <v>0</v>
      </c>
      <c r="CP78" s="241" t="n">
        <f aca="false">IF(CD78="NO",0,IF(CE78=0,0,CO78))</f>
        <v>0</v>
      </c>
      <c r="CQ78" s="244" t="str">
        <f aca="false">IF(BR78=0,"",CL78-CP78)</f>
        <v/>
      </c>
      <c r="CR78" s="244" t="str">
        <f aca="false">IF(BR78=0,"",CQ78/101.3)</f>
        <v/>
      </c>
      <c r="CS78" s="244" t="str">
        <f aca="false">IF(BR78=0,"",LOG(10/CR78))</f>
        <v/>
      </c>
      <c r="CT78" s="243" t="str">
        <f aca="false">IF(BR78=0,"",IF(SQRT(101.3/CQ78)&lt;=1.7,SQRT(101.3/CQ78),2.2/(1.2+(CQ78/101.3))))</f>
        <v/>
      </c>
      <c r="CU78" s="244" t="str">
        <f aca="false">IF(BR78=0,"",1.7/(0.7+CR78))</f>
        <v/>
      </c>
      <c r="CV78" s="244" t="str">
        <f aca="false">IF(BR78=0,"",IF(CR78&gt;=0.25,0.77*LOG(20/CR78),""))</f>
        <v/>
      </c>
      <c r="CW78" s="244" t="str">
        <f aca="false">IF(BR78=0,"",32.5/(10.2+20.3*CR78))</f>
        <v/>
      </c>
      <c r="CX78" s="244" t="str">
        <f aca="false">IF(BR78=0,"",1-1.25*LOG(CR78))</f>
        <v/>
      </c>
      <c r="CY78" s="244" t="str">
        <f aca="false">IF(BR78=0,"",IF(CR78&lt;1,1-1.41*LOG(CR78),1+0.92*LOG(CR78)))</f>
        <v/>
      </c>
      <c r="CZ78" s="244" t="str">
        <f aca="false">IF(BR78=0,"",2/(1+CR78))</f>
        <v/>
      </c>
      <c r="DA78" s="244" t="str">
        <f aca="false">IF(BR78=0,"",IF(CR78&lt;=0.75,4/(1+4*CR78),4/(3.25+CR78)))</f>
        <v/>
      </c>
      <c r="DB78" s="244" t="str">
        <f aca="false">IF(BR78=0,"",CT78)</f>
        <v/>
      </c>
      <c r="DC78" s="244" t="str">
        <f aca="false">IF(BR78=0,"",DB78*CC78)</f>
        <v/>
      </c>
      <c r="DD78" s="244"/>
      <c r="DE78" s="244" t="str">
        <f aca="false">IF(BR78=0,"",0.193*(CC78/(CQ78*0.001))^0.689)</f>
        <v/>
      </c>
      <c r="DF78" s="244" t="str">
        <f aca="false">IF(BR78=0,"",IF(AS78=$AX$4,(0.1348118*CC78 - 0.0383065)*98.0665,""))</f>
        <v/>
      </c>
      <c r="DG78" s="244" t="str">
        <f aca="false">IF(BR78=0,"",IF(AS78=$AX$4,DF78/2,""))</f>
        <v/>
      </c>
      <c r="DH78" s="244" t="str">
        <f aca="false">IF(BR78=0,"",IF(DC78&lt;=15,12*(DC78+6),40+12*(DC78-6)))</f>
        <v/>
      </c>
      <c r="DI78" s="244" t="str">
        <f aca="false">IF(BR78=0,"",IF(CD78="SI",5*(DC78+15),((3.3*(DC78+15))+(4*(DC78+12)))/2))</f>
        <v/>
      </c>
      <c r="DJ78" s="244" t="str">
        <f aca="false">IF(BR78=0,"",8*DC78)</f>
        <v/>
      </c>
      <c r="DK78" s="244" t="str">
        <f aca="false">IF(BR78=0,"",215+(10.6*DC78))</f>
        <v/>
      </c>
      <c r="DL78" s="244" t="str">
        <f aca="false">IF(BR78=0,"",10*(7.5+(0.5*DC78)))</f>
        <v/>
      </c>
      <c r="DM78" s="244" t="str">
        <f aca="false">IF(BR78=0,"",8*DC78)</f>
        <v/>
      </c>
      <c r="DN78" s="244" t="str">
        <f aca="false">IF(AW78=" "," ",IF(DC78=""," ",IF(DC78&lt;4,10*10.2,IF(DC78=4,12*10.2,IF(DC78&lt;10,17.5*10.5,IF(DC78=10,15*10.2,IF(DC78&lt;30,22.5*10.2,IF(DC78=30,35*10.2,IF(DC78&lt;50,40*10.2,IF(DC78=50,50*10.2,55*10.2))))))))))</f>
        <v> </v>
      </c>
      <c r="DO78" s="244" t="str">
        <f aca="false">IF(BR78=0,"",7*SQRT(DC78)*10.1972)</f>
        <v/>
      </c>
      <c r="DP78" s="244" t="str">
        <f aca="false">IF(BR78=0,"",IF(AS78=$AX$4,5*CC78,""))</f>
        <v/>
      </c>
      <c r="DQ78" s="244" t="str">
        <f aca="false">IF(AW78=" "," ",IF(DC78=""," ",IF(DC78&lt;2,4*10.2,IF(DC78=2,6*10.2,IF(DC78&lt;4,12*10.2,IF(DC78=4,20*10.2,IF(DC78&lt;8,30*10.2,IF(DC78=8,35*10.2,IF(DC78&lt;15,40*10.2,IF(DC78=15,42*10.2,IF(DC78&lt;30,45*10.2,IF(DC78=30,50*10.2,70*10.2))))))))))))</f>
        <v> </v>
      </c>
      <c r="DR78" s="244" t="str">
        <f aca="false">IF(BR78=0,"",IF(AS78=$AX$4,220*DP78*0.0101972,""))</f>
        <v/>
      </c>
      <c r="DS78" s="271" t="str">
        <f aca="false">IF(BR78=0,"",IF(AS78=$AX$7,(SUM(DH78:DO78)-MIN(DH78:DO78)-MAX(DH78:DO78))/6,(SUM(DO78:DR78)-MIN(DO78:DR78)-MAX(DO78:DR78))/2))</f>
        <v/>
      </c>
      <c r="DT78" s="244" t="str">
        <f aca="false">IF(AW78=" "," ",IF(DC78=""," ",IF(DC78&lt;4,0.2,IF(DC78=4,0.27,IF(DC78&lt;10,0.33,IF(DC78=10,0.35,IF(DC78&lt;30,0.36,IF(DC78=30,0.37,IF(DC78&lt;50,0.38,IF(DC78=50,0.4,0.45))))))))))</f>
        <v> </v>
      </c>
      <c r="DU78" s="272" t="str">
        <f aca="false">IF(AW78=" "," ",IF(CC78=""," ",IF(CC78&lt;2,0.2,IF(CC78=2,0.23,IF(CC78&lt;4,0.26,IF(CC78=4,0.29,IF(CC78&lt;8,0.32,IF(CC78=8,0.35,IF(CC78&lt;15,0.38,IF(CC78=15,0.41,IF(CC78&lt;30,0.44,IF(CC78=30,0.47,0.5))))))))))))</f>
        <v> </v>
      </c>
      <c r="DV78" s="244" t="str">
        <f aca="false">IF(BR78=0,"",IF(AS78=$AX$3,DT78,DU78))</f>
        <v/>
      </c>
      <c r="DW78" s="244" t="str">
        <f aca="false">IF(BR78=0,"",IF(DC78&gt;15,15+0.5*(DC78-15),DC78))</f>
        <v/>
      </c>
      <c r="DX78" s="244" t="str">
        <f aca="false">IF(BR78=0,"",IF($S$12="SI",IF(CD78="NO",IF($AD$12&gt;(BO78+1.5*$ED$15),1,0.5),0.5),1))</f>
        <v/>
      </c>
      <c r="DY78" s="244" t="str">
        <f aca="false">IF(BR78=0,"",IF($S$12="SI",IF(CD78="NO",IF($AD$12&gt;(BO78+1.5*$EE$15),1,0.5),0.5),1))</f>
        <v/>
      </c>
      <c r="DZ78" s="244" t="str">
        <f aca="false">IF(BR78=0,"",IF($S$12="SI",IF(CD78="NO",IF($AD$12&gt;(BO78+1.5*$EF$15),1,0.5),0.5),1))</f>
        <v/>
      </c>
      <c r="EA78" s="244" t="str">
        <f aca="false">IF(BR78=0,"",IF($S$12="SI",IF(CD78="NO",IF($AD$12&gt;(BO78+1.5*$ED$15),1,0.5),IF($AD$12=BO78,1,0.5)),1))</f>
        <v/>
      </c>
      <c r="EB78" s="244" t="str">
        <f aca="false">IF(BR78=0,"",IF($S$12="SI",IF(CD78="NO",IF($AD$12&gt;(BO78+1.5*$EE$15),1,0.5),IF($AD$12=BO78,1,0.5)),1))</f>
        <v/>
      </c>
      <c r="EC78" s="244" t="str">
        <f aca="false">IF(BR78=0,"",IF($S$12="SI",IF(CD78="NO",IF($AD$12&gt;(BO78+1.5*$EF$15),1,0.5),IF($AD$12=BO78,1,0.5)),1))</f>
        <v/>
      </c>
      <c r="ED78" s="244" t="str">
        <f aca="false">IF(BR78=0,"",(DW78*($ED$15/10)*(DX78+EA78*(BO78/$ED$15))*1)/3)</f>
        <v/>
      </c>
      <c r="EE78" s="244" t="str">
        <f aca="false">IF(BR78=0,"",(DW78*($EE$15/10)*(DY78+EB78*(BO78/$EE$15))*1)/3)</f>
        <v/>
      </c>
      <c r="EF78" s="244" t="str">
        <f aca="false">IF(BR78=0,"",(DW78*($EF$15/10)*(DZ78+EC78*(BO78/$EF$15))*1)/3)</f>
        <v/>
      </c>
      <c r="EG78" s="273" t="str">
        <f aca="false">IF(BR78=0,"",IF(CD78="SI",0.5,1))</f>
        <v/>
      </c>
      <c r="EH78" s="244" t="str">
        <f aca="false">IF(BR78=0,"",IF((1+0.33*(BO78/$ED$15))&lt;=1.33,(1+0.33*(BO78/$ED$15)),1.33))</f>
        <v/>
      </c>
      <c r="EI78" s="244" t="str">
        <f aca="false">IF(BR78=0,"",IF((1+0.33*(BO78/$EE$15))&lt;=1.33,(1+0.33*(BO78/$EE$15)),1.33))</f>
        <v/>
      </c>
      <c r="EJ78" s="244" t="str">
        <f aca="false">IF(BR78=0,"",IF((1+0.33*(BO78/$EF$15))&lt;=1.33,(1+0.33*(BO78/$EF$15)),1.33))</f>
        <v/>
      </c>
      <c r="EK78" s="244" t="str">
        <f aca="false">IF(BR78=0,"",IF($ED$15&lt;=1.2,((20*DC78*EG78*EH78)/3)*0.010197,((12.5*DC78*((($ED$15+0.3)^2)/$ED$15)*EG78*EH78)/3)*0.010197))</f>
        <v/>
      </c>
      <c r="EL78" s="244" t="str">
        <f aca="false">IF(BR78=0,"",IF($EE$15&lt;=1.2,((20*DC78*EG78*EI78)/3)*0.010197,((12.5*DC78*((($EE$15+0.3)^2)/$EE$15)*EG78*EI78)/3)*0.010197))</f>
        <v/>
      </c>
      <c r="EM78" s="244" t="str">
        <f aca="false">IF(BR78=0,"",IF($EF$15&lt;=1.2,((20*DC78*EG78*EJ78)/3)*0.010197,((12.5*DC78*((($EF$15+0.3)^2)/$EF$15)*EG78*EJ78)/3)*0.010197))</f>
        <v/>
      </c>
      <c r="EN78" s="248" t="str">
        <f aca="false">IF(BR78=0,"",SQRT(12*CC78)+25)</f>
        <v/>
      </c>
      <c r="EO78" s="248" t="str">
        <f aca="false">IF(BR78=0,"",28.5+0.25*CC78)</f>
        <v/>
      </c>
      <c r="EP78" s="248" t="str">
        <f aca="false">IF(BR78=0,"",SQRT(20*CC78)+15)</f>
        <v/>
      </c>
      <c r="EQ78" s="248" t="str">
        <f aca="false">IF(BR78=0,"",23.7+0.57*CC78-0.0006*CC78*CC78)</f>
        <v/>
      </c>
      <c r="ER78" s="248" t="str">
        <f aca="false">IF(BR78=0,"",15+SQRT(12.5*DC78))</f>
        <v/>
      </c>
      <c r="ES78" s="248" t="str">
        <f aca="false">IF(BR78=0,"",3.5*SQRT(CC78)+20)</f>
        <v/>
      </c>
      <c r="ET78" s="248" t="str">
        <f aca="false">IF(BR78=0,"",27.1+0.3*DC78-0.00054*DC78*DC78)</f>
        <v/>
      </c>
      <c r="EU78" s="248" t="str">
        <f aca="false">IF(BR78=0,"",SQRT(20*CC78)+20)</f>
        <v/>
      </c>
      <c r="EV78" s="248" t="str">
        <f aca="false">IF(BR78=0,"",12.79+SQRT(25.86*CC78))</f>
        <v/>
      </c>
      <c r="EW78" s="248" t="str">
        <f aca="false">IF(BR78=0,"",DEGREES(_xlfn.ACOT((CC78/(12.2+20.3*CR78))^0.34)))</f>
        <v/>
      </c>
      <c r="EX78" s="248" t="str">
        <f aca="false">IF(BR78=0,"",24+(5.77*LN(0.17*DC78)))</f>
        <v/>
      </c>
      <c r="EY78" s="248" t="str">
        <f aca="false">IF(BR78=0,"",(SUM(EN78:EX78)-MIN(EN78:EX78)-MAX(EN78:EX78))/9)</f>
        <v/>
      </c>
      <c r="EZ78" s="248" t="str">
        <f aca="false">IF(BR78=0,"", -0.0000000034*CC78^6 + 0.0000008305*CC78^5 - 0.0000741842*CC78^4 + 0.0030204278*CC78^3 - 0.0541594733*CC78^2 + 0.8083147848*CC78 - 0.6182191243)</f>
        <v/>
      </c>
      <c r="FA78" s="249" t="str">
        <f aca="false">IF(BR78=0,"",(0.134811827956989*CC78 - 0.0383064516129019)/2)</f>
        <v/>
      </c>
      <c r="FB78" s="249" t="str">
        <f aca="false">IF(BR78=0,"",CC78*0.065)</f>
        <v/>
      </c>
      <c r="FC78" s="249" t="str">
        <f aca="false">IF(BR78=0,"",(CC78*0.12*0.48)*SQRT((1+SIN(EZ78*((2*PI())/360))/(1-SIN(EZ78*((2*PI())/360))))))</f>
        <v/>
      </c>
      <c r="FD78" s="249" t="str">
        <f aca="false">IF(BR78=0,"",(CC78/8)/2)</f>
        <v/>
      </c>
      <c r="FE78" s="249" t="str">
        <f aca="false">IF(BR78=0,"",(SUM(FA78:FD78)-MIN(FA78:FD78)-MAX(FA78:FD78))/2)</f>
        <v/>
      </c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</row>
    <row r="79" customFormat="false" ht="9.75" hidden="false" customHeight="true" outlineLevel="0" collapsed="false">
      <c r="A79" s="197" t="n">
        <f aca="false">ROUND(A78+0.1,1)</f>
        <v>6.2</v>
      </c>
      <c r="B79" s="250" t="n">
        <f aca="false">+A79</f>
        <v>6.2</v>
      </c>
      <c r="C79" s="251"/>
      <c r="D79" s="251"/>
      <c r="E79" s="252"/>
      <c r="F79" s="253"/>
      <c r="G79" s="254"/>
      <c r="H79" s="255"/>
      <c r="I79" s="256"/>
      <c r="J79" s="257"/>
      <c r="K79" s="258"/>
      <c r="L79" s="259"/>
      <c r="M79" s="276"/>
      <c r="N79" s="277"/>
      <c r="O79" s="277"/>
      <c r="P79" s="277"/>
      <c r="Q79" s="293"/>
      <c r="R79" s="304"/>
      <c r="S79" s="305"/>
      <c r="T79" s="295"/>
      <c r="U79" s="295"/>
      <c r="V79" s="296"/>
      <c r="W79" s="296"/>
      <c r="X79" s="296"/>
      <c r="Y79" s="296"/>
      <c r="Z79" s="296"/>
      <c r="AA79" s="296"/>
      <c r="AB79" s="297"/>
      <c r="AC79" s="298"/>
      <c r="AD79" s="299"/>
      <c r="AE79" s="298"/>
      <c r="AF79" s="300"/>
      <c r="AG79" s="267"/>
      <c r="AH79" s="267"/>
      <c r="AI79" s="241"/>
      <c r="AJ79" s="241"/>
      <c r="AK79" s="266"/>
      <c r="AL79" s="266"/>
      <c r="AM79" s="268"/>
      <c r="AN79" s="250" t="n">
        <f aca="false">+AN77+0.2</f>
        <v>6.2</v>
      </c>
      <c r="AO79" s="251"/>
      <c r="AP79" s="251"/>
      <c r="AQ79" s="252"/>
      <c r="AR79" s="253"/>
      <c r="AS79" s="269" t="s">
        <v>13</v>
      </c>
      <c r="AT79" s="221"/>
      <c r="AU79" s="269"/>
      <c r="AV79" s="269"/>
      <c r="AW79" s="270" t="n">
        <f aca="false">+K79+L79</f>
        <v>0</v>
      </c>
      <c r="AX79" s="270" t="str">
        <f aca="false">IF(AS79="&gt;50","CONSISTENCIA",IF(AS79="&lt;50","COMPACIDAD"," "))</f>
        <v>COMPACIDAD</v>
      </c>
      <c r="AY79" s="225" t="str">
        <f aca="false">IF(AS79="&gt;50",AZ79,IF(AS79="&lt;50",BA79," "))</f>
        <v> </v>
      </c>
      <c r="AZ79" s="224" t="str">
        <f aca="false">IF(AW79=" "," ",IF(CC79=""," ",IF(CC79&lt;2,"MUY BLANDA",IF(CC79=2,"MUY BLANDA A BLANDA",IF(CC79&lt;4,"BLANDA",IF(CC79=4,"BLANDA A MEDIA",IF(CC79&lt;8,"MEDIA",IF(CC79=8,"MEDIA A FIRME",IF(CC79&lt;15,"FIRME",IF(CC79=15,"FIRME A MUY FIRME",IF(CC79&lt;30,"MUY FIRME",IF(CC79=30,"MUY FIRME A DURA","DURA"))))))))))))</f>
        <v> </v>
      </c>
      <c r="BA79" s="225" t="str">
        <f aca="false">IF(AW79=" "," ",IF(DC79=""," ",IF(DC79&lt;4,"MUY SUELTA",IF(DC79=4,"MUY SUELTA A SUELTA",IF(DC79&lt;10,"SUELTA",IF(DC79=10,"SUELTA A MEDIA",IF(DC79&lt;30,"MEDIA",IF(DC79=30,"MEDIA A DENSO",IF(DC79&lt;50,"DENSO",IF(DC79=50,"DENSO MUY DENSO","MUY DENSO"))))))))))</f>
        <v> </v>
      </c>
      <c r="BB79" s="226" t="str">
        <f aca="false">IF(BR80=0,"",CQ80*0.0101972)</f>
        <v/>
      </c>
      <c r="BC79" s="227" t="n">
        <f aca="false">+BC78+0.1</f>
        <v>6.19999999999999</v>
      </c>
      <c r="BD79" s="227" t="str">
        <f aca="false">IF(BC79&lt;=$AN$10,BC79,"")</f>
        <v/>
      </c>
      <c r="BE79" s="228" t="n">
        <f aca="false">ISNUMBER(BD79)</f>
        <v>0</v>
      </c>
      <c r="BF79" s="229" t="str">
        <f aca="false">MID(M79,1,1)</f>
        <v/>
      </c>
      <c r="BG79" s="230" t="str">
        <f aca="false">IF(BF79="S","",IF(BF79="G","",MID(M79,2,1)))</f>
        <v/>
      </c>
      <c r="BH79" s="231" t="str">
        <f aca="false">CONCATENATE(BF79,BG79)</f>
        <v/>
      </c>
      <c r="BI79" s="6" t="str">
        <f aca="false">IF(BE79=FALSE(),"",IF(BH79="",BI78,BH79))</f>
        <v/>
      </c>
      <c r="BJ79" s="74" t="str">
        <f aca="false">IF(OR(BI79="S",BI79="G"),BI79,"X")</f>
        <v>X</v>
      </c>
      <c r="BK79" s="74" t="s">
        <v>239</v>
      </c>
      <c r="BL79" s="307" t="e">
        <f aca="false">INDEX(sim_0,MATCH($BJ$79,granular,0))</f>
        <v>#NAME?</v>
      </c>
      <c r="BM79" s="307"/>
      <c r="BN79" s="6"/>
      <c r="BO79" s="191" t="n">
        <f aca="false">BO78+0.1</f>
        <v>6.19999999999999</v>
      </c>
      <c r="BP79" s="233" t="e">
        <f aca="false">IF(AW79=0,NA(),IF(AS79=$AX$3,ROUND(DC79,0),NA()))</f>
        <v>#N/A</v>
      </c>
      <c r="BQ79" s="31" t="e">
        <f aca="false">IF(AW79=0,NA(),IF(AS79=$AX$4,ROUND(CC79,0),NA()))</f>
        <v>#N/A</v>
      </c>
      <c r="BR79" s="234" t="n">
        <f aca="false">+AW79</f>
        <v>0</v>
      </c>
      <c r="BS79" s="235" t="str">
        <f aca="false">IF(BR79=0,"", -0.00000000016128755327*CC79^6 + 0.00000006709386362421*CC79^5 - 0.0000106217678052217*CC79^4 + 0.00081068114193385*CC79^3 - 0.0314027378159951*CC79^2 + 0.649796593937842*CC79 + 13.7888866455022)</f>
        <v/>
      </c>
      <c r="BT79" s="235" t="str">
        <f aca="false">IF(BR79=0,"",-0.00000000014625939695*CC79^6 + 0.00000004971732060241*CC79^5 - 0.000006683744342031*CC79^4 + 0.0004563177378098*CC79^3 - 0.0171727530635803*CC79^2 + 0.444529932876435*CC79 + 15.6692518940565)</f>
        <v/>
      </c>
      <c r="BU79" s="236" t="str">
        <f aca="false">IF(BR79=0,"", -0.0000000008152265738*BR79^6 + 0.00000022764320256987*BR79^5 - 0.0000248205675927705*BR79^4 + 0.00133186623684865*BR79^3 - 0.0368442570441677*BR79^2 + 0.580111565569094*BR79 + 14.0417598296107)</f>
        <v/>
      </c>
      <c r="BV79" s="236" t="str">
        <f aca="false">IF(BR79=0,"", -0.00000000004321395721*BR79^6 + 0.00000002531844275498*BR79^5 - 0.00000369428022780862*BR79^4 + 0.00020283665900125*BR79^3 - 0.00462426256803268*BR79^2 + 0.139572935065453*BR79 + 15.4475338156923)</f>
        <v/>
      </c>
      <c r="BW79" s="236" t="str">
        <f aca="false">IF(BR79=0,"",-0.00000000033126390082*BR79^6 + 0.00000010463660614506*BR79^5 - 0.0000129629592998707*BR79^4 + 0.000803946335250767*BR79^3 - 0.0270257140395994*BR79^2 + 0.562590210721552*BR79+ 12.1254107606419)</f>
        <v/>
      </c>
      <c r="BX79" s="236" t="str">
        <f aca="false">IF(BR79=0,"",-0.00000000002593504955*BR79^6 + 0.00000002430495156704*BR79^5 - 0.00000386103271086364*BR79^4 + 0.000214416118986322*BR79^3 - 0.0047271462612021*BR79^2 + 0.156696175741135*BR79 + 15.4598891949502)</f>
        <v/>
      </c>
      <c r="BY79" s="234" t="str">
        <f aca="false">IF(BR79=0,"",$BS$2)</f>
        <v/>
      </c>
      <c r="BZ79" s="234" t="str">
        <f aca="false">IF(BR79=0,"",$BS$3)</f>
        <v/>
      </c>
      <c r="CA79" s="234" t="str">
        <f aca="false">IF(BR79=0,"",$BS$4)</f>
        <v/>
      </c>
      <c r="CB79" s="235" t="str">
        <f aca="false">IF(BR79=0,"",IF(AND(BO79&gt;=0,BO79&lt;4),0.75,IF(AND(BO79&gt;=4,BO79&lt;6),0.85,IF(AND(BO79&gt;=6,BO79&lt;=10),0.95,1))))</f>
        <v/>
      </c>
      <c r="CC79" s="234" t="str">
        <f aca="false">IF(BR79=0,"",BR79*BY79*BZ79*CA79*CB79/60)</f>
        <v/>
      </c>
      <c r="CD79" s="238" t="str">
        <f aca="false">IF(BR79=0,"",IF($S$12="NO","NO",IF($AD$12&lt;=BO79,"SI","NO")))</f>
        <v/>
      </c>
      <c r="CE79" s="235" t="n">
        <f aca="false">IF(BR79=0,0,AB79)</f>
        <v>0</v>
      </c>
      <c r="CF79" s="235" t="n">
        <f aca="false">IF(CE79&gt;0,BO79,0)</f>
        <v>0</v>
      </c>
      <c r="CG79" s="239" t="n">
        <f aca="false">IF(CF79=0,CF79+CG78,CF79)</f>
        <v>0</v>
      </c>
      <c r="CH79" s="239" t="n">
        <f aca="false">IF(CG79=CG78,CH78,ABS(CG79-CG78))</f>
        <v>0</v>
      </c>
      <c r="CI79" s="239" t="n">
        <f aca="false">+CE79*CH79</f>
        <v>0</v>
      </c>
      <c r="CJ79" s="239" t="n">
        <f aca="false">IF(CI79=0,CI79+CJ78,CI79)</f>
        <v>0</v>
      </c>
      <c r="CK79" s="239" t="n">
        <f aca="false">IF(CJ79=CJ78,CK78,ABS(CJ79+CK78))</f>
        <v>0</v>
      </c>
      <c r="CL79" s="241" t="n">
        <f aca="false">IF(CE79=0,0,CK79)</f>
        <v>0</v>
      </c>
      <c r="CM79" s="239" t="n">
        <f aca="false">IF(CE79=0,0,CH79*9.81)</f>
        <v>0</v>
      </c>
      <c r="CN79" s="239" t="n">
        <f aca="false">IF(CM79=0,CM79+CN78,CM79)</f>
        <v>0</v>
      </c>
      <c r="CO79" s="239" t="n">
        <f aca="false">IF(CN79=CN78,CO78,ABS(CN79+CO78))</f>
        <v>0</v>
      </c>
      <c r="CP79" s="241" t="n">
        <f aca="false">IF(CD79="NO",0,IF(CE79=0,0,CO79))</f>
        <v>0</v>
      </c>
      <c r="CQ79" s="244" t="str">
        <f aca="false">IF(BR79=0,"",CL79-CP79)</f>
        <v/>
      </c>
      <c r="CR79" s="244" t="str">
        <f aca="false">IF(BR79=0,"",CQ79/101.3)</f>
        <v/>
      </c>
      <c r="CS79" s="244" t="str">
        <f aca="false">IF(BR79=0,"",LOG(10/CR79))</f>
        <v/>
      </c>
      <c r="CT79" s="243" t="str">
        <f aca="false">IF(BR79=0,"",IF(SQRT(101.3/CQ79)&lt;=1.7,SQRT(101.3/CQ79),2.2/(1.2+(CQ79/101.3))))</f>
        <v/>
      </c>
      <c r="CU79" s="244" t="str">
        <f aca="false">IF(BR79=0,"",1.7/(0.7+CR79))</f>
        <v/>
      </c>
      <c r="CV79" s="244" t="str">
        <f aca="false">IF(BR79=0,"",IF(CR79&gt;=0.25,0.77*LOG(20/CR79),""))</f>
        <v/>
      </c>
      <c r="CW79" s="244" t="str">
        <f aca="false">IF(BR79=0,"",32.5/(10.2+20.3*CR79))</f>
        <v/>
      </c>
      <c r="CX79" s="244" t="str">
        <f aca="false">IF(BR79=0,"",1-1.25*LOG(CR79))</f>
        <v/>
      </c>
      <c r="CY79" s="244" t="str">
        <f aca="false">IF(BR79=0,"",IF(CR79&lt;1,1-1.41*LOG(CR79),1+0.92*LOG(CR79)))</f>
        <v/>
      </c>
      <c r="CZ79" s="244" t="str">
        <f aca="false">IF(BR79=0,"",2/(1+CR79))</f>
        <v/>
      </c>
      <c r="DA79" s="244" t="str">
        <f aca="false">IF(BR79=0,"",IF(CR79&lt;=0.75,4/(1+4*CR79),4/(3.25+CR79)))</f>
        <v/>
      </c>
      <c r="DB79" s="244" t="str">
        <f aca="false">IF(BR79=0,"",CT79)</f>
        <v/>
      </c>
      <c r="DC79" s="244" t="str">
        <f aca="false">IF(BR79=0,"",DB79*CC79)</f>
        <v/>
      </c>
      <c r="DD79" s="244"/>
      <c r="DE79" s="244" t="str">
        <f aca="false">IF(BR79=0,"",0.193*(CC79/(CQ79*0.001))^0.689)</f>
        <v/>
      </c>
      <c r="DF79" s="244" t="str">
        <f aca="false">IF(BR79=0,"",IF(AS79=$AX$4,(0.1348118*CC79 - 0.0383065)*98.0665,""))</f>
        <v/>
      </c>
      <c r="DG79" s="244" t="str">
        <f aca="false">IF(BR79=0,"",IF(AS79=$AX$4,DF79/2,""))</f>
        <v/>
      </c>
      <c r="DH79" s="244" t="str">
        <f aca="false">IF(BR79=0,"",IF(DC79&lt;=15,12*(DC79+6),40+12*(DC79-6)))</f>
        <v/>
      </c>
      <c r="DI79" s="244" t="str">
        <f aca="false">IF(BR79=0,"",IF(CD79="SI",5*(DC79+15),((3.3*(DC79+15))+(4*(DC79+12)))/2))</f>
        <v/>
      </c>
      <c r="DJ79" s="244" t="str">
        <f aca="false">IF(BR79=0,"",8*DC79)</f>
        <v/>
      </c>
      <c r="DK79" s="244" t="str">
        <f aca="false">IF(BR79=0,"",215+(10.6*DC79))</f>
        <v/>
      </c>
      <c r="DL79" s="244" t="str">
        <f aca="false">IF(BR79=0,"",10*(7.5+(0.5*DC79)))</f>
        <v/>
      </c>
      <c r="DM79" s="244" t="str">
        <f aca="false">IF(BR79=0,"",8*DC79)</f>
        <v/>
      </c>
      <c r="DN79" s="244" t="str">
        <f aca="false">IF(AW79=" "," ",IF(DC79=""," ",IF(DC79&lt;4,10*10.2,IF(DC79=4,12*10.2,IF(DC79&lt;10,17.5*10.5,IF(DC79=10,15*10.2,IF(DC79&lt;30,22.5*10.2,IF(DC79=30,35*10.2,IF(DC79&lt;50,40*10.2,IF(DC79=50,50*10.2,55*10.2))))))))))</f>
        <v> </v>
      </c>
      <c r="DO79" s="244" t="str">
        <f aca="false">IF(BR79=0,"",7*SQRT(DC79)*10.1972)</f>
        <v/>
      </c>
      <c r="DP79" s="244" t="str">
        <f aca="false">IF(BR79=0,"",IF(AS79=$AX$4,5*CC79,""))</f>
        <v/>
      </c>
      <c r="DQ79" s="244" t="str">
        <f aca="false">IF(AW79=" "," ",IF(DC79=""," ",IF(DC79&lt;2,4*10.2,IF(DC79=2,6*10.2,IF(DC79&lt;4,12*10.2,IF(DC79=4,20*10.2,IF(DC79&lt;8,30*10.2,IF(DC79=8,35*10.2,IF(DC79&lt;15,40*10.2,IF(DC79=15,42*10.2,IF(DC79&lt;30,45*10.2,IF(DC79=30,50*10.2,70*10.2))))))))))))</f>
        <v> </v>
      </c>
      <c r="DR79" s="244" t="str">
        <f aca="false">IF(BR79=0,"",IF(AS79=$AX$4,220*DP79*0.0101972,""))</f>
        <v/>
      </c>
      <c r="DS79" s="271" t="str">
        <f aca="false">IF(BR79=0,"",IF(AS79=$AX$7,(SUM(DH79:DO79)-MIN(DH79:DO79)-MAX(DH79:DO79))/6,(SUM(DO79:DR79)-MIN(DO79:DR79)-MAX(DO79:DR79))/2))</f>
        <v/>
      </c>
      <c r="DT79" s="244" t="str">
        <f aca="false">IF(AW79=" "," ",IF(DC79=""," ",IF(DC79&lt;4,0.2,IF(DC79=4,0.27,IF(DC79&lt;10,0.33,IF(DC79=10,0.35,IF(DC79&lt;30,0.36,IF(DC79=30,0.37,IF(DC79&lt;50,0.38,IF(DC79=50,0.4,0.45))))))))))</f>
        <v> </v>
      </c>
      <c r="DU79" s="272" t="str">
        <f aca="false">IF(AW79=" "," ",IF(CC79=""," ",IF(CC79&lt;2,0.2,IF(CC79=2,0.23,IF(CC79&lt;4,0.26,IF(CC79=4,0.29,IF(CC79&lt;8,0.32,IF(CC79=8,0.35,IF(CC79&lt;15,0.38,IF(CC79=15,0.41,IF(CC79&lt;30,0.44,IF(CC79=30,0.47,0.5))))))))))))</f>
        <v> </v>
      </c>
      <c r="DV79" s="244" t="str">
        <f aca="false">IF(BR79=0,"",IF(AS79=$AX$3,DT79,DU79))</f>
        <v/>
      </c>
      <c r="DW79" s="244" t="str">
        <f aca="false">IF(BR79=0,"",IF(DC79&gt;15,15+0.5*(DC79-15),DC79))</f>
        <v/>
      </c>
      <c r="DX79" s="244" t="str">
        <f aca="false">IF(BR79=0,"",IF($S$12="SI",IF(CD79="NO",IF($AD$12&gt;(BO79+1.5*$ED$15),1,0.5),0.5),1))</f>
        <v/>
      </c>
      <c r="DY79" s="244" t="str">
        <f aca="false">IF(BR79=0,"",IF($S$12="SI",IF(CD79="NO",IF($AD$12&gt;(BO79+1.5*$EE$15),1,0.5),0.5),1))</f>
        <v/>
      </c>
      <c r="DZ79" s="244" t="str">
        <f aca="false">IF(BR79=0,"",IF($S$12="SI",IF(CD79="NO",IF($AD$12&gt;(BO79+1.5*$EF$15),1,0.5),0.5),1))</f>
        <v/>
      </c>
      <c r="EA79" s="244" t="str">
        <f aca="false">IF(BR79=0,"",IF($S$12="SI",IF(CD79="NO",IF($AD$12&gt;(BO79+1.5*$ED$15),1,0.5),IF($AD$12=BO79,1,0.5)),1))</f>
        <v/>
      </c>
      <c r="EB79" s="244" t="str">
        <f aca="false">IF(BR79=0,"",IF($S$12="SI",IF(CD79="NO",IF($AD$12&gt;(BO79+1.5*$EE$15),1,0.5),IF($AD$12=BO79,1,0.5)),1))</f>
        <v/>
      </c>
      <c r="EC79" s="244" t="str">
        <f aca="false">IF(BR79=0,"",IF($S$12="SI",IF(CD79="NO",IF($AD$12&gt;(BO79+1.5*$EF$15),1,0.5),IF($AD$12=BO79,1,0.5)),1))</f>
        <v/>
      </c>
      <c r="ED79" s="244" t="str">
        <f aca="false">IF(BR79=0,"",(DW79*($ED$15/10)*(DX79+EA79*(BO79/$ED$15))*1)/3)</f>
        <v/>
      </c>
      <c r="EE79" s="244" t="str">
        <f aca="false">IF(BR79=0,"",(DW79*($EE$15/10)*(DY79+EB79*(BO79/$EE$15))*1)/3)</f>
        <v/>
      </c>
      <c r="EF79" s="244" t="str">
        <f aca="false">IF(BR79=0,"",(DW79*($EF$15/10)*(DZ79+EC79*(BO79/$EF$15))*1)/3)</f>
        <v/>
      </c>
      <c r="EG79" s="273" t="str">
        <f aca="false">IF(BR79=0,"",IF(CD79="SI",0.5,1))</f>
        <v/>
      </c>
      <c r="EH79" s="244" t="str">
        <f aca="false">IF(BR79=0,"",IF((1+0.33*(BO79/$ED$15))&lt;=1.33,(1+0.33*(BO79/$ED$15)),1.33))</f>
        <v/>
      </c>
      <c r="EI79" s="244" t="str">
        <f aca="false">IF(BR79=0,"",IF((1+0.33*(BO79/$EE$15))&lt;=1.33,(1+0.33*(BO79/$EE$15)),1.33))</f>
        <v/>
      </c>
      <c r="EJ79" s="244" t="str">
        <f aca="false">IF(BR79=0,"",IF((1+0.33*(BO79/$EF$15))&lt;=1.33,(1+0.33*(BO79/$EF$15)),1.33))</f>
        <v/>
      </c>
      <c r="EK79" s="244" t="str">
        <f aca="false">IF(BR79=0,"",IF($ED$15&lt;=1.2,((20*DC79*EG79*EH79)/3)*0.010197,((12.5*DC79*((($ED$15+0.3)^2)/$ED$15)*EG79*EH79)/3)*0.010197))</f>
        <v/>
      </c>
      <c r="EL79" s="244" t="str">
        <f aca="false">IF(BR79=0,"",IF($EE$15&lt;=1.2,((20*DC79*EG79*EI79)/3)*0.010197,((12.5*DC79*((($EE$15+0.3)^2)/$EE$15)*EG79*EI79)/3)*0.010197))</f>
        <v/>
      </c>
      <c r="EM79" s="244" t="str">
        <f aca="false">IF(BR79=0,"",IF($EF$15&lt;=1.2,((20*DC79*EG79*EJ79)/3)*0.010197,((12.5*DC79*((($EF$15+0.3)^2)/$EF$15)*EG79*EJ79)/3)*0.010197))</f>
        <v/>
      </c>
      <c r="EN79" s="248" t="str">
        <f aca="false">IF(BR79=0,"",SQRT(12*CC79)+25)</f>
        <v/>
      </c>
      <c r="EO79" s="248" t="str">
        <f aca="false">IF(BR79=0,"",28.5+0.25*CC79)</f>
        <v/>
      </c>
      <c r="EP79" s="248" t="str">
        <f aca="false">IF(BR79=0,"",SQRT(20*CC79)+15)</f>
        <v/>
      </c>
      <c r="EQ79" s="248" t="str">
        <f aca="false">IF(BR79=0,"",23.7+0.57*CC79-0.0006*CC79*CC79)</f>
        <v/>
      </c>
      <c r="ER79" s="248" t="str">
        <f aca="false">IF(BR79=0,"",15+SQRT(12.5*DC79))</f>
        <v/>
      </c>
      <c r="ES79" s="248" t="str">
        <f aca="false">IF(BR79=0,"",3.5*SQRT(CC79)+20)</f>
        <v/>
      </c>
      <c r="ET79" s="248" t="str">
        <f aca="false">IF(BR79=0,"",27.1+0.3*DC79-0.00054*DC79*DC79)</f>
        <v/>
      </c>
      <c r="EU79" s="248" t="str">
        <f aca="false">IF(BR79=0,"",SQRT(20*CC79)+20)</f>
        <v/>
      </c>
      <c r="EV79" s="248" t="str">
        <f aca="false">IF(BR79=0,"",12.79+SQRT(25.86*CC79))</f>
        <v/>
      </c>
      <c r="EW79" s="248" t="str">
        <f aca="false">IF(BR79=0,"",DEGREES(_xlfn.ACOT((CC79/(12.2+20.3*CR79))^0.34)))</f>
        <v/>
      </c>
      <c r="EX79" s="248" t="str">
        <f aca="false">IF(BR79=0,"",24+(5.77*LN(0.17*DC79)))</f>
        <v/>
      </c>
      <c r="EY79" s="248" t="str">
        <f aca="false">IF(BR79=0,"",(SUM(EN79:EX79)-MIN(EN79:EX79)-MAX(EN79:EX79))/9)</f>
        <v/>
      </c>
      <c r="EZ79" s="248" t="str">
        <f aca="false">IF(BR79=0,"", -0.0000000034*CC79^6 + 0.0000008305*CC79^5 - 0.0000741842*CC79^4 + 0.0030204278*CC79^3 - 0.0541594733*CC79^2 + 0.8083147848*CC79 - 0.6182191243)</f>
        <v/>
      </c>
      <c r="FA79" s="249" t="str">
        <f aca="false">IF(BR79=0,"",(0.134811827956989*CC79 - 0.0383064516129019)/2)</f>
        <v/>
      </c>
      <c r="FB79" s="249" t="str">
        <f aca="false">IF(BR79=0,"",CC79*0.065)</f>
        <v/>
      </c>
      <c r="FC79" s="249" t="str">
        <f aca="false">IF(BR79=0,"",(CC79*0.12*0.48)*SQRT((1+SIN(EZ79*((2*PI())/360))/(1-SIN(EZ79*((2*PI())/360))))))</f>
        <v/>
      </c>
      <c r="FD79" s="249" t="str">
        <f aca="false">IF(BR79=0,"",(CC79/8)/2)</f>
        <v/>
      </c>
      <c r="FE79" s="249" t="str">
        <f aca="false">IF(BR79=0,"",(SUM(FA79:FD79)-MIN(FA79:FD79)-MAX(FA79:FD79))/2)</f>
        <v/>
      </c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</row>
    <row r="80" customFormat="false" ht="9.75" hidden="false" customHeight="true" outlineLevel="0" collapsed="false">
      <c r="A80" s="197" t="n">
        <f aca="false">ROUND(A79+0.1,1)</f>
        <v>6.3</v>
      </c>
      <c r="B80" s="250"/>
      <c r="C80" s="251"/>
      <c r="D80" s="251"/>
      <c r="E80" s="199"/>
      <c r="F80" s="200"/>
      <c r="G80" s="279"/>
      <c r="H80" s="280"/>
      <c r="I80" s="280"/>
      <c r="J80" s="257"/>
      <c r="K80" s="258"/>
      <c r="L80" s="259"/>
      <c r="M80" s="276"/>
      <c r="N80" s="277"/>
      <c r="O80" s="277"/>
      <c r="P80" s="277"/>
      <c r="Q80" s="293"/>
      <c r="R80" s="304"/>
      <c r="S80" s="305"/>
      <c r="T80" s="295"/>
      <c r="U80" s="295"/>
      <c r="V80" s="296"/>
      <c r="W80" s="296"/>
      <c r="X80" s="296"/>
      <c r="Y80" s="296"/>
      <c r="Z80" s="296"/>
      <c r="AA80" s="296"/>
      <c r="AB80" s="297"/>
      <c r="AC80" s="298"/>
      <c r="AD80" s="299"/>
      <c r="AE80" s="298"/>
      <c r="AF80" s="300"/>
      <c r="AG80" s="267"/>
      <c r="AH80" s="267"/>
      <c r="AI80" s="241"/>
      <c r="AJ80" s="241"/>
      <c r="AK80" s="266"/>
      <c r="AL80" s="266"/>
      <c r="AM80" s="268"/>
      <c r="AN80" s="250"/>
      <c r="AO80" s="251"/>
      <c r="AP80" s="251"/>
      <c r="AQ80" s="199"/>
      <c r="AR80" s="200"/>
      <c r="AS80" s="269" t="s">
        <v>13</v>
      </c>
      <c r="AT80" s="221"/>
      <c r="AU80" s="269"/>
      <c r="AV80" s="269"/>
      <c r="AW80" s="270" t="n">
        <f aca="false">+K80+L80</f>
        <v>0</v>
      </c>
      <c r="AX80" s="270" t="str">
        <f aca="false">IF(AS80="&gt;50","CONSISTENCIA",IF(AS80="&lt;50","COMPACIDAD"," "))</f>
        <v>COMPACIDAD</v>
      </c>
      <c r="AY80" s="225" t="str">
        <f aca="false">IF(AS80="&gt;50",AZ80,IF(AS80="&lt;50",BA80," "))</f>
        <v> </v>
      </c>
      <c r="AZ80" s="224" t="str">
        <f aca="false">IF(AW80=" "," ",IF(CC80=""," ",IF(CC80&lt;2,"MUY BLANDA",IF(CC80=2,"MUY BLANDA A BLANDA",IF(CC80&lt;4,"BLANDA",IF(CC80=4,"BLANDA A MEDIA",IF(CC80&lt;8,"MEDIA",IF(CC80=8,"MEDIA A FIRME",IF(CC80&lt;15,"FIRME",IF(CC80=15,"FIRME A MUY FIRME",IF(CC80&lt;30,"MUY FIRME",IF(CC80=30,"MUY FIRME A DURA","DURA"))))))))))))</f>
        <v> </v>
      </c>
      <c r="BA80" s="225" t="str">
        <f aca="false">IF(AW80=" "," ",IF(DC80=""," ",IF(DC80&lt;4,"MUY SUELTA",IF(DC80=4,"MUY SUELTA A SUELTA",IF(DC80&lt;10,"SUELTA",IF(DC80=10,"SUELTA A MEDIA",IF(DC80&lt;30,"MEDIA",IF(DC80=30,"MEDIA A DENSO",IF(DC80&lt;50,"DENSO",IF(DC80=50,"DENSO MUY DENSO","MUY DENSO"))))))))))</f>
        <v> </v>
      </c>
      <c r="BB80" s="226" t="str">
        <f aca="false">IF(BR81=0,"",CQ81*0.0101972)</f>
        <v/>
      </c>
      <c r="BC80" s="227" t="n">
        <f aca="false">+BC79+0.1</f>
        <v>6.29999999999999</v>
      </c>
      <c r="BD80" s="227" t="str">
        <f aca="false">IF(BC80&lt;=$AN$10,BC80,"")</f>
        <v/>
      </c>
      <c r="BE80" s="228" t="n">
        <f aca="false">ISNUMBER(BD80)</f>
        <v>0</v>
      </c>
      <c r="BF80" s="229" t="str">
        <f aca="false">MID(M80,1,1)</f>
        <v/>
      </c>
      <c r="BG80" s="230" t="str">
        <f aca="false">IF(BF80="S","",IF(BF80="G","",MID(M80,2,1)))</f>
        <v/>
      </c>
      <c r="BH80" s="231" t="str">
        <f aca="false">CONCATENATE(BF80,BG80)</f>
        <v/>
      </c>
      <c r="BI80" s="6" t="str">
        <f aca="false">IF(BE80=FALSE(),"",IF(BH80="",BI79,BH80))</f>
        <v/>
      </c>
      <c r="BJ80" s="74" t="str">
        <f aca="false">IF(OR(BI80="S",BI80="G"),BI80,"X")</f>
        <v>X</v>
      </c>
      <c r="BK80" s="74" t="s">
        <v>240</v>
      </c>
      <c r="BL80" s="307" t="e">
        <f aca="false">INDEX(sim_0,MATCH($BJ$80,granular,0))</f>
        <v>#NAME?</v>
      </c>
      <c r="BM80" s="307"/>
      <c r="BN80" s="6"/>
      <c r="BO80" s="191" t="n">
        <f aca="false">BO79+0.1</f>
        <v>6.29999999999999</v>
      </c>
      <c r="BP80" s="233" t="e">
        <f aca="false">IF(AW80=0,NA(),IF(AS80=$AX$3,ROUND(DC80,0),NA()))</f>
        <v>#N/A</v>
      </c>
      <c r="BQ80" s="31" t="e">
        <f aca="false">IF(AW80=0,NA(),IF(AS80=$AX$4,ROUND(CC80,0),NA()))</f>
        <v>#N/A</v>
      </c>
      <c r="BR80" s="234" t="n">
        <f aca="false">+AW80</f>
        <v>0</v>
      </c>
      <c r="BS80" s="235" t="str">
        <f aca="false">IF(BR80=0,"", -0.00000000016128755327*CC80^6 + 0.00000006709386362421*CC80^5 - 0.0000106217678052217*CC80^4 + 0.00081068114193385*CC80^3 - 0.0314027378159951*CC80^2 + 0.649796593937842*CC80 + 13.7888866455022)</f>
        <v/>
      </c>
      <c r="BT80" s="235" t="str">
        <f aca="false">IF(BR80=0,"",-0.00000000014625939695*CC80^6 + 0.00000004971732060241*CC80^5 - 0.000006683744342031*CC80^4 + 0.0004563177378098*CC80^3 - 0.0171727530635803*CC80^2 + 0.444529932876435*CC80 + 15.6692518940565)</f>
        <v/>
      </c>
      <c r="BU80" s="236" t="str">
        <f aca="false">IF(BR80=0,"", -0.0000000008152265738*BR80^6 + 0.00000022764320256987*BR80^5 - 0.0000248205675927705*BR80^4 + 0.00133186623684865*BR80^3 - 0.0368442570441677*BR80^2 + 0.580111565569094*BR80 + 14.0417598296107)</f>
        <v/>
      </c>
      <c r="BV80" s="236" t="str">
        <f aca="false">IF(BR80=0,"", -0.00000000004321395721*BR80^6 + 0.00000002531844275498*BR80^5 - 0.00000369428022780862*BR80^4 + 0.00020283665900125*BR80^3 - 0.00462426256803268*BR80^2 + 0.139572935065453*BR80 + 15.4475338156923)</f>
        <v/>
      </c>
      <c r="BW80" s="236" t="str">
        <f aca="false">IF(BR80=0,"",-0.00000000033126390082*BR80^6 + 0.00000010463660614506*BR80^5 - 0.0000129629592998707*BR80^4 + 0.000803946335250767*BR80^3 - 0.0270257140395994*BR80^2 + 0.562590210721552*BR80+ 12.1254107606419)</f>
        <v/>
      </c>
      <c r="BX80" s="236" t="str">
        <f aca="false">IF(BR80=0,"",-0.00000000002593504955*BR80^6 + 0.00000002430495156704*BR80^5 - 0.00000386103271086364*BR80^4 + 0.000214416118986322*BR80^3 - 0.0047271462612021*BR80^2 + 0.156696175741135*BR80 + 15.4598891949502)</f>
        <v/>
      </c>
      <c r="BY80" s="234" t="str">
        <f aca="false">IF(BR80=0,"",$BS$2)</f>
        <v/>
      </c>
      <c r="BZ80" s="234" t="str">
        <f aca="false">IF(BR80=0,"",$BS$3)</f>
        <v/>
      </c>
      <c r="CA80" s="234" t="str">
        <f aca="false">IF(BR80=0,"",$BS$4)</f>
        <v/>
      </c>
      <c r="CB80" s="235" t="str">
        <f aca="false">IF(BR80=0,"",IF(AND(BO80&gt;=0,BO80&lt;4),0.75,IF(AND(BO80&gt;=4,BO80&lt;6),0.85,IF(AND(BO80&gt;=6,BO80&lt;=10),0.95,1))))</f>
        <v/>
      </c>
      <c r="CC80" s="234" t="str">
        <f aca="false">IF(BR80=0,"",BR80*BY80*BZ80*CA80*CB80/60)</f>
        <v/>
      </c>
      <c r="CD80" s="238" t="str">
        <f aca="false">IF(BR80=0,"",IF($S$12="NO","NO",IF($AD$12&lt;=BO80,"SI","NO")))</f>
        <v/>
      </c>
      <c r="CE80" s="235" t="n">
        <f aca="false">IF(BR80=0,0,AB80)</f>
        <v>0</v>
      </c>
      <c r="CF80" s="235" t="n">
        <f aca="false">IF(CE80&gt;0,BO80,0)</f>
        <v>0</v>
      </c>
      <c r="CG80" s="239" t="n">
        <f aca="false">IF(CF80=0,CF80+CG79,CF80)</f>
        <v>0</v>
      </c>
      <c r="CH80" s="239" t="n">
        <f aca="false">IF(CG80=CG79,CH79,ABS(CG80-CG79))</f>
        <v>0</v>
      </c>
      <c r="CI80" s="239" t="n">
        <f aca="false">+CE80*CH80</f>
        <v>0</v>
      </c>
      <c r="CJ80" s="239" t="n">
        <f aca="false">IF(CI80=0,CI80+CJ79,CI80)</f>
        <v>0</v>
      </c>
      <c r="CK80" s="239" t="n">
        <f aca="false">IF(CJ80=CJ79,CK79,ABS(CJ80+CK79))</f>
        <v>0</v>
      </c>
      <c r="CL80" s="241" t="n">
        <f aca="false">IF(CE80=0,0,CK80)</f>
        <v>0</v>
      </c>
      <c r="CM80" s="239" t="n">
        <f aca="false">IF(CE80=0,0,CH80*9.81)</f>
        <v>0</v>
      </c>
      <c r="CN80" s="239" t="n">
        <f aca="false">IF(CM80=0,CM80+CN79,CM80)</f>
        <v>0</v>
      </c>
      <c r="CO80" s="239" t="n">
        <f aca="false">IF(CN80=CN79,CO79,ABS(CN80+CO79))</f>
        <v>0</v>
      </c>
      <c r="CP80" s="241" t="n">
        <f aca="false">IF(CD80="NO",0,IF(CE80=0,0,CO80))</f>
        <v>0</v>
      </c>
      <c r="CQ80" s="244" t="str">
        <f aca="false">IF(BR80=0,"",CL80-CP80)</f>
        <v/>
      </c>
      <c r="CR80" s="244" t="str">
        <f aca="false">IF(BR80=0,"",CQ80/101.3)</f>
        <v/>
      </c>
      <c r="CS80" s="244" t="str">
        <f aca="false">IF(BR80=0,"",LOG(10/CR80))</f>
        <v/>
      </c>
      <c r="CT80" s="243" t="str">
        <f aca="false">IF(BR80=0,"",IF(SQRT(101.3/CQ80)&lt;=1.7,SQRT(101.3/CQ80),2.2/(1.2+(CQ80/101.3))))</f>
        <v/>
      </c>
      <c r="CU80" s="244" t="str">
        <f aca="false">IF(BR80=0,"",1.7/(0.7+CR80))</f>
        <v/>
      </c>
      <c r="CV80" s="244" t="str">
        <f aca="false">IF(BR80=0,"",IF(CR80&gt;=0.25,0.77*LOG(20/CR80),""))</f>
        <v/>
      </c>
      <c r="CW80" s="244" t="str">
        <f aca="false">IF(BR80=0,"",32.5/(10.2+20.3*CR80))</f>
        <v/>
      </c>
      <c r="CX80" s="244" t="str">
        <f aca="false">IF(BR80=0,"",1-1.25*LOG(CR80))</f>
        <v/>
      </c>
      <c r="CY80" s="244" t="str">
        <f aca="false">IF(BR80=0,"",IF(CR80&lt;1,1-1.41*LOG(CR80),1+0.92*LOG(CR80)))</f>
        <v/>
      </c>
      <c r="CZ80" s="244" t="str">
        <f aca="false">IF(BR80=0,"",2/(1+CR80))</f>
        <v/>
      </c>
      <c r="DA80" s="244" t="str">
        <f aca="false">IF(BR80=0,"",IF(CR80&lt;=0.75,4/(1+4*CR80),4/(3.25+CR80)))</f>
        <v/>
      </c>
      <c r="DB80" s="244" t="str">
        <f aca="false">IF(BR80=0,"",CT80)</f>
        <v/>
      </c>
      <c r="DC80" s="244" t="str">
        <f aca="false">IF(BR80=0,"",DB80*CC80)</f>
        <v/>
      </c>
      <c r="DD80" s="244"/>
      <c r="DE80" s="244" t="str">
        <f aca="false">IF(BR80=0,"",0.193*(CC80/(CQ80*0.001))^0.689)</f>
        <v/>
      </c>
      <c r="DF80" s="244" t="str">
        <f aca="false">IF(BR80=0,"",IF(AS80=$AX$4,(0.1348118*CC80 - 0.0383065)*98.0665,""))</f>
        <v/>
      </c>
      <c r="DG80" s="244" t="str">
        <f aca="false">IF(BR80=0,"",IF(AS80=$AX$4,DF80/2,""))</f>
        <v/>
      </c>
      <c r="DH80" s="244" t="str">
        <f aca="false">IF(BR80=0,"",IF(DC80&lt;=15,12*(DC80+6),40+12*(DC80-6)))</f>
        <v/>
      </c>
      <c r="DI80" s="244" t="str">
        <f aca="false">IF(BR80=0,"",IF(CD80="SI",5*(DC80+15),((3.3*(DC80+15))+(4*(DC80+12)))/2))</f>
        <v/>
      </c>
      <c r="DJ80" s="244" t="str">
        <f aca="false">IF(BR80=0,"",8*DC80)</f>
        <v/>
      </c>
      <c r="DK80" s="244" t="str">
        <f aca="false">IF(BR80=0,"",215+(10.6*DC80))</f>
        <v/>
      </c>
      <c r="DL80" s="244" t="str">
        <f aca="false">IF(BR80=0,"",10*(7.5+(0.5*DC80)))</f>
        <v/>
      </c>
      <c r="DM80" s="244" t="str">
        <f aca="false">IF(BR80=0,"",8*DC80)</f>
        <v/>
      </c>
      <c r="DN80" s="244" t="str">
        <f aca="false">IF(AW80=" "," ",IF(DC80=""," ",IF(DC80&lt;4,10*10.2,IF(DC80=4,12*10.2,IF(DC80&lt;10,17.5*10.5,IF(DC80=10,15*10.2,IF(DC80&lt;30,22.5*10.2,IF(DC80=30,35*10.2,IF(DC80&lt;50,40*10.2,IF(DC80=50,50*10.2,55*10.2))))))))))</f>
        <v> </v>
      </c>
      <c r="DO80" s="244" t="str">
        <f aca="false">IF(BR80=0,"",7*SQRT(DC80)*10.1972)</f>
        <v/>
      </c>
      <c r="DP80" s="244" t="str">
        <f aca="false">IF(BR80=0,"",IF(AS80=$AX$4,5*CC80,""))</f>
        <v/>
      </c>
      <c r="DQ80" s="244" t="str">
        <f aca="false">IF(AW80=" "," ",IF(DC80=""," ",IF(DC80&lt;2,4*10.2,IF(DC80=2,6*10.2,IF(DC80&lt;4,12*10.2,IF(DC80=4,20*10.2,IF(DC80&lt;8,30*10.2,IF(DC80=8,35*10.2,IF(DC80&lt;15,40*10.2,IF(DC80=15,42*10.2,IF(DC80&lt;30,45*10.2,IF(DC80=30,50*10.2,70*10.2))))))))))))</f>
        <v> </v>
      </c>
      <c r="DR80" s="244" t="str">
        <f aca="false">IF(BR80=0,"",IF(AS80=$AX$4,220*DP80*0.0101972,""))</f>
        <v/>
      </c>
      <c r="DS80" s="271" t="str">
        <f aca="false">IF(BR80=0,"",IF(AS80=$AX$7,(SUM(DH80:DO80)-MIN(DH80:DO80)-MAX(DH80:DO80))/6,(SUM(DO80:DR80)-MIN(DO80:DR80)-MAX(DO80:DR80))/2))</f>
        <v/>
      </c>
      <c r="DT80" s="244" t="str">
        <f aca="false">IF(AW80=" "," ",IF(DC80=""," ",IF(DC80&lt;4,0.2,IF(DC80=4,0.27,IF(DC80&lt;10,0.33,IF(DC80=10,0.35,IF(DC80&lt;30,0.36,IF(DC80=30,0.37,IF(DC80&lt;50,0.38,IF(DC80=50,0.4,0.45))))))))))</f>
        <v> </v>
      </c>
      <c r="DU80" s="272" t="str">
        <f aca="false">IF(AW80=" "," ",IF(CC80=""," ",IF(CC80&lt;2,0.2,IF(CC80=2,0.23,IF(CC80&lt;4,0.26,IF(CC80=4,0.29,IF(CC80&lt;8,0.32,IF(CC80=8,0.35,IF(CC80&lt;15,0.38,IF(CC80=15,0.41,IF(CC80&lt;30,0.44,IF(CC80=30,0.47,0.5))))))))))))</f>
        <v> </v>
      </c>
      <c r="DV80" s="244" t="str">
        <f aca="false">IF(BR80=0,"",IF(AS80=$AX$3,DT80,DU80))</f>
        <v/>
      </c>
      <c r="DW80" s="244" t="str">
        <f aca="false">IF(BR80=0,"",IF(DC80&gt;15,15+0.5*(DC80-15),DC80))</f>
        <v/>
      </c>
      <c r="DX80" s="244" t="str">
        <f aca="false">IF(BR80=0,"",IF($S$12="SI",IF(CD80="NO",IF($AD$12&gt;(BO80+1.5*$ED$15),1,0.5),0.5),1))</f>
        <v/>
      </c>
      <c r="DY80" s="244" t="str">
        <f aca="false">IF(BR80=0,"",IF($S$12="SI",IF(CD80="NO",IF($AD$12&gt;(BO80+1.5*$EE$15),1,0.5),0.5),1))</f>
        <v/>
      </c>
      <c r="DZ80" s="244" t="str">
        <f aca="false">IF(BR80=0,"",IF($S$12="SI",IF(CD80="NO",IF($AD$12&gt;(BO80+1.5*$EF$15),1,0.5),0.5),1))</f>
        <v/>
      </c>
      <c r="EA80" s="244" t="str">
        <f aca="false">IF(BR80=0,"",IF($S$12="SI",IF(CD80="NO",IF($AD$12&gt;(BO80+1.5*$ED$15),1,0.5),IF($AD$12=BO80,1,0.5)),1))</f>
        <v/>
      </c>
      <c r="EB80" s="244" t="str">
        <f aca="false">IF(BR80=0,"",IF($S$12="SI",IF(CD80="NO",IF($AD$12&gt;(BO80+1.5*$EE$15),1,0.5),IF($AD$12=BO80,1,0.5)),1))</f>
        <v/>
      </c>
      <c r="EC80" s="244" t="str">
        <f aca="false">IF(BR80=0,"",IF($S$12="SI",IF(CD80="NO",IF($AD$12&gt;(BO80+1.5*$EF$15),1,0.5),IF($AD$12=BO80,1,0.5)),1))</f>
        <v/>
      </c>
      <c r="ED80" s="244" t="str">
        <f aca="false">IF(BR80=0,"",(DW80*($ED$15/10)*(DX80+EA80*(BO80/$ED$15))*1)/3)</f>
        <v/>
      </c>
      <c r="EE80" s="244" t="str">
        <f aca="false">IF(BR80=0,"",(DW80*($EE$15/10)*(DY80+EB80*(BO80/$EE$15))*1)/3)</f>
        <v/>
      </c>
      <c r="EF80" s="244" t="str">
        <f aca="false">IF(BR80=0,"",(DW80*($EF$15/10)*(DZ80+EC80*(BO80/$EF$15))*1)/3)</f>
        <v/>
      </c>
      <c r="EG80" s="273" t="str">
        <f aca="false">IF(BR80=0,"",IF(CD80="SI",0.5,1))</f>
        <v/>
      </c>
      <c r="EH80" s="244" t="str">
        <f aca="false">IF(BR80=0,"",IF((1+0.33*(BO80/$ED$15))&lt;=1.33,(1+0.33*(BO80/$ED$15)),1.33))</f>
        <v/>
      </c>
      <c r="EI80" s="244" t="str">
        <f aca="false">IF(BR80=0,"",IF((1+0.33*(BO80/$EE$15))&lt;=1.33,(1+0.33*(BO80/$EE$15)),1.33))</f>
        <v/>
      </c>
      <c r="EJ80" s="244" t="str">
        <f aca="false">IF(BR80=0,"",IF((1+0.33*(BO80/$EF$15))&lt;=1.33,(1+0.33*(BO80/$EF$15)),1.33))</f>
        <v/>
      </c>
      <c r="EK80" s="244" t="str">
        <f aca="false">IF(BR80=0,"",IF($ED$15&lt;=1.2,((20*DC80*EG80*EH80)/3)*0.010197,((12.5*DC80*((($ED$15+0.3)^2)/$ED$15)*EG80*EH80)/3)*0.010197))</f>
        <v/>
      </c>
      <c r="EL80" s="244" t="str">
        <f aca="false">IF(BR80=0,"",IF($EE$15&lt;=1.2,((20*DC80*EG80*EI80)/3)*0.010197,((12.5*DC80*((($EE$15+0.3)^2)/$EE$15)*EG80*EI80)/3)*0.010197))</f>
        <v/>
      </c>
      <c r="EM80" s="244" t="str">
        <f aca="false">IF(BR80=0,"",IF($EF$15&lt;=1.2,((20*DC80*EG80*EJ80)/3)*0.010197,((12.5*DC80*((($EF$15+0.3)^2)/$EF$15)*EG80*EJ80)/3)*0.010197))</f>
        <v/>
      </c>
      <c r="EN80" s="248" t="str">
        <f aca="false">IF(BR80=0,"",SQRT(12*CC80)+25)</f>
        <v/>
      </c>
      <c r="EO80" s="248" t="str">
        <f aca="false">IF(BR80=0,"",28.5+0.25*CC80)</f>
        <v/>
      </c>
      <c r="EP80" s="248" t="str">
        <f aca="false">IF(BR80=0,"",SQRT(20*CC80)+15)</f>
        <v/>
      </c>
      <c r="EQ80" s="248" t="str">
        <f aca="false">IF(BR80=0,"",23.7+0.57*CC80-0.0006*CC80*CC80)</f>
        <v/>
      </c>
      <c r="ER80" s="248" t="str">
        <f aca="false">IF(BR80=0,"",15+SQRT(12.5*DC80))</f>
        <v/>
      </c>
      <c r="ES80" s="248" t="str">
        <f aca="false">IF(BR80=0,"",3.5*SQRT(CC80)+20)</f>
        <v/>
      </c>
      <c r="ET80" s="248" t="str">
        <f aca="false">IF(BR80=0,"",27.1+0.3*DC80-0.00054*DC80*DC80)</f>
        <v/>
      </c>
      <c r="EU80" s="248" t="str">
        <f aca="false">IF(BR80=0,"",SQRT(20*CC80)+20)</f>
        <v/>
      </c>
      <c r="EV80" s="248" t="str">
        <f aca="false">IF(BR80=0,"",12.79+SQRT(25.86*CC80))</f>
        <v/>
      </c>
      <c r="EW80" s="248" t="str">
        <f aca="false">IF(BR80=0,"",DEGREES(_xlfn.ACOT((CC80/(12.2+20.3*CR80))^0.34)))</f>
        <v/>
      </c>
      <c r="EX80" s="248" t="str">
        <f aca="false">IF(BR80=0,"",24+(5.77*LN(0.17*DC80)))</f>
        <v/>
      </c>
      <c r="EY80" s="248" t="str">
        <f aca="false">IF(BR80=0,"",(SUM(EN80:EX80)-MIN(EN80:EX80)-MAX(EN80:EX80))/9)</f>
        <v/>
      </c>
      <c r="EZ80" s="248" t="str">
        <f aca="false">IF(BR80=0,"", -0.0000000034*CC80^6 + 0.0000008305*CC80^5 - 0.0000741842*CC80^4 + 0.0030204278*CC80^3 - 0.0541594733*CC80^2 + 0.8083147848*CC80 - 0.6182191243)</f>
        <v/>
      </c>
      <c r="FA80" s="249" t="str">
        <f aca="false">IF(BR80=0,"",(0.134811827956989*CC80 - 0.0383064516129019)/2)</f>
        <v/>
      </c>
      <c r="FB80" s="249" t="str">
        <f aca="false">IF(BR80=0,"",CC80*0.065)</f>
        <v/>
      </c>
      <c r="FC80" s="249" t="str">
        <f aca="false">IF(BR80=0,"",(CC80*0.12*0.48)*SQRT((1+SIN(EZ80*((2*PI())/360))/(1-SIN(EZ80*((2*PI())/360))))))</f>
        <v/>
      </c>
      <c r="FD80" s="249" t="str">
        <f aca="false">IF(BR80=0,"",(CC80/8)/2)</f>
        <v/>
      </c>
      <c r="FE80" s="249" t="str">
        <f aca="false">IF(BR80=0,"",(SUM(FA80:FD80)-MIN(FA80:FD80)-MAX(FA80:FD80))/2)</f>
        <v/>
      </c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</row>
    <row r="81" customFormat="false" ht="9.75" hidden="false" customHeight="true" outlineLevel="0" collapsed="false">
      <c r="A81" s="197" t="n">
        <f aca="false">ROUND(A80+0.1,1)</f>
        <v>6.4</v>
      </c>
      <c r="B81" s="250" t="n">
        <f aca="false">+A81</f>
        <v>6.4</v>
      </c>
      <c r="C81" s="251"/>
      <c r="D81" s="251"/>
      <c r="E81" s="274"/>
      <c r="F81" s="253"/>
      <c r="G81" s="279"/>
      <c r="H81" s="280"/>
      <c r="I81" s="280"/>
      <c r="J81" s="257"/>
      <c r="K81" s="258"/>
      <c r="L81" s="259"/>
      <c r="M81" s="276"/>
      <c r="N81" s="277"/>
      <c r="O81" s="277"/>
      <c r="P81" s="277"/>
      <c r="Q81" s="293"/>
      <c r="R81" s="304"/>
      <c r="S81" s="305"/>
      <c r="T81" s="295"/>
      <c r="U81" s="295"/>
      <c r="V81" s="296"/>
      <c r="W81" s="296"/>
      <c r="X81" s="296"/>
      <c r="Y81" s="296"/>
      <c r="Z81" s="296"/>
      <c r="AA81" s="296"/>
      <c r="AB81" s="297"/>
      <c r="AC81" s="298"/>
      <c r="AD81" s="299"/>
      <c r="AE81" s="298"/>
      <c r="AF81" s="300"/>
      <c r="AG81" s="267"/>
      <c r="AH81" s="267"/>
      <c r="AI81" s="241"/>
      <c r="AJ81" s="241"/>
      <c r="AK81" s="266"/>
      <c r="AL81" s="266"/>
      <c r="AM81" s="268"/>
      <c r="AN81" s="250" t="n">
        <f aca="false">+AN79+0.2</f>
        <v>6.4</v>
      </c>
      <c r="AO81" s="251"/>
      <c r="AP81" s="251"/>
      <c r="AQ81" s="274"/>
      <c r="AR81" s="253"/>
      <c r="AS81" s="269" t="s">
        <v>13</v>
      </c>
      <c r="AT81" s="221" t="s">
        <v>54</v>
      </c>
      <c r="AU81" s="269"/>
      <c r="AV81" s="269"/>
      <c r="AW81" s="270" t="n">
        <f aca="false">+K81+L81</f>
        <v>0</v>
      </c>
      <c r="AX81" s="270" t="str">
        <f aca="false">IF(AS81="&gt;50","CONSISTENCIA",IF(AS81="&lt;50","COMPACIDAD"," "))</f>
        <v>COMPACIDAD</v>
      </c>
      <c r="AY81" s="225" t="str">
        <f aca="false">IF(AS81="&gt;50",AZ81,IF(AS81="&lt;50",BA81," "))</f>
        <v> </v>
      </c>
      <c r="AZ81" s="224" t="str">
        <f aca="false">IF(AW81=" "," ",IF(CC81=""," ",IF(CC81&lt;2,"MUY BLANDA",IF(CC81=2,"MUY BLANDA A BLANDA",IF(CC81&lt;4,"BLANDA",IF(CC81=4,"BLANDA A MEDIA",IF(CC81&lt;8,"MEDIA",IF(CC81=8,"MEDIA A FIRME",IF(CC81&lt;15,"FIRME",IF(CC81=15,"FIRME A MUY FIRME",IF(CC81&lt;30,"MUY FIRME",IF(CC81=30,"MUY FIRME A DURA","DURA"))))))))))))</f>
        <v> </v>
      </c>
      <c r="BA81" s="225" t="str">
        <f aca="false">IF(AW81=" "," ",IF(DC81=""," ",IF(DC81&lt;4,"MUY SUELTA",IF(DC81=4,"MUY SUELTA A SUELTA",IF(DC81&lt;10,"SUELTA",IF(DC81=10,"SUELTA A MEDIA",IF(DC81&lt;30,"MEDIA",IF(DC81=30,"MEDIA A DENSO",IF(DC81&lt;50,"DENSO",IF(DC81=50,"DENSO MUY DENSO","MUY DENSO"))))))))))</f>
        <v> </v>
      </c>
      <c r="BB81" s="226" t="str">
        <f aca="false">IF(BR82=0,"",CQ82*0.0101972)</f>
        <v/>
      </c>
      <c r="BC81" s="227" t="n">
        <f aca="false">+BC80+0.1</f>
        <v>6.39999999999999</v>
      </c>
      <c r="BD81" s="227" t="str">
        <f aca="false">IF(BC81&lt;=$AN$10,BC81,"")</f>
        <v/>
      </c>
      <c r="BE81" s="228" t="n">
        <f aca="false">ISNUMBER(BD81)</f>
        <v>0</v>
      </c>
      <c r="BF81" s="229" t="str">
        <f aca="false">MID(M81,1,1)</f>
        <v/>
      </c>
      <c r="BG81" s="230" t="str">
        <f aca="false">IF(BF81="S","",IF(BF81="G","",MID(M81,2,1)))</f>
        <v/>
      </c>
      <c r="BH81" s="231" t="str">
        <f aca="false">CONCATENATE(BF81,BG81)</f>
        <v/>
      </c>
      <c r="BI81" s="6" t="str">
        <f aca="false">IF(BE81=FALSE(),"",IF(BH81="",BI80,BH81))</f>
        <v/>
      </c>
      <c r="BJ81" s="74" t="str">
        <f aca="false">IF(OR(BI81="S",BI81="G"),BI81,"X")</f>
        <v>X</v>
      </c>
      <c r="BK81" s="74" t="s">
        <v>241</v>
      </c>
      <c r="BL81" s="307" t="e">
        <f aca="false">INDEX(sim_0,MATCH($BJ$81,granular,0))</f>
        <v>#NAME?</v>
      </c>
      <c r="BM81" s="307"/>
      <c r="BN81" s="6"/>
      <c r="BO81" s="191" t="n">
        <f aca="false">BO80+0.1</f>
        <v>6.39999999999999</v>
      </c>
      <c r="BP81" s="233" t="e">
        <f aca="false">IF(AW81=0,NA(),IF(AS81=$AX$3,ROUND(DC81,0),NA()))</f>
        <v>#N/A</v>
      </c>
      <c r="BQ81" s="31" t="e">
        <f aca="false">IF(AW81=0,NA(),IF(AS81=$AX$4,ROUND(CC81,0),NA()))</f>
        <v>#N/A</v>
      </c>
      <c r="BR81" s="234" t="n">
        <f aca="false">+AW81</f>
        <v>0</v>
      </c>
      <c r="BS81" s="235" t="str">
        <f aca="false">IF(BR81=0,"", -0.00000000016128755327*CC81^6 + 0.00000006709386362421*CC81^5 - 0.0000106217678052217*CC81^4 + 0.00081068114193385*CC81^3 - 0.0314027378159951*CC81^2 + 0.649796593937842*CC81 + 13.7888866455022)</f>
        <v/>
      </c>
      <c r="BT81" s="235" t="str">
        <f aca="false">IF(BR81=0,"",-0.00000000014625939695*CC81^6 + 0.00000004971732060241*CC81^5 - 0.000006683744342031*CC81^4 + 0.0004563177378098*CC81^3 - 0.0171727530635803*CC81^2 + 0.444529932876435*CC81 + 15.6692518940565)</f>
        <v/>
      </c>
      <c r="BU81" s="236" t="str">
        <f aca="false">IF(BR81=0,"", -0.0000000008152265738*BR81^6 + 0.00000022764320256987*BR81^5 - 0.0000248205675927705*BR81^4 + 0.00133186623684865*BR81^3 - 0.0368442570441677*BR81^2 + 0.580111565569094*BR81 + 14.0417598296107)</f>
        <v/>
      </c>
      <c r="BV81" s="236" t="str">
        <f aca="false">IF(BR81=0,"", -0.00000000004321395721*BR81^6 + 0.00000002531844275498*BR81^5 - 0.00000369428022780862*BR81^4 + 0.00020283665900125*BR81^3 - 0.00462426256803268*BR81^2 + 0.139572935065453*BR81 + 15.4475338156923)</f>
        <v/>
      </c>
      <c r="BW81" s="236" t="str">
        <f aca="false">IF(BR81=0,"",-0.00000000033126390082*BR81^6 + 0.00000010463660614506*BR81^5 - 0.0000129629592998707*BR81^4 + 0.000803946335250767*BR81^3 - 0.0270257140395994*BR81^2 + 0.562590210721552*BR81+ 12.1254107606419)</f>
        <v/>
      </c>
      <c r="BX81" s="236" t="str">
        <f aca="false">IF(BR81=0,"",-0.00000000002593504955*BR81^6 + 0.00000002430495156704*BR81^5 - 0.00000386103271086364*BR81^4 + 0.000214416118986322*BR81^3 - 0.0047271462612021*BR81^2 + 0.156696175741135*BR81 + 15.4598891949502)</f>
        <v/>
      </c>
      <c r="BY81" s="234" t="str">
        <f aca="false">IF(BR81=0,"",$BS$2)</f>
        <v/>
      </c>
      <c r="BZ81" s="234" t="str">
        <f aca="false">IF(BR81=0,"",$BS$3)</f>
        <v/>
      </c>
      <c r="CA81" s="234" t="str">
        <f aca="false">IF(BR81=0,"",$BS$4)</f>
        <v/>
      </c>
      <c r="CB81" s="235" t="str">
        <f aca="false">IF(BR81=0,"",IF(AND(BO81&gt;=0,BO81&lt;4),0.75,IF(AND(BO81&gt;=4,BO81&lt;6),0.85,IF(AND(BO81&gt;=6,BO81&lt;=10),0.95,1))))</f>
        <v/>
      </c>
      <c r="CC81" s="234" t="str">
        <f aca="false">IF(BR81=0,"",BR81*BY81*BZ81*CA81*CB81/60)</f>
        <v/>
      </c>
      <c r="CD81" s="238" t="str">
        <f aca="false">IF(BR81=0,"",IF($S$12="NO","NO",IF($AD$12&lt;=BO81,"SI","NO")))</f>
        <v/>
      </c>
      <c r="CE81" s="235" t="n">
        <f aca="false">IF(BR81=0,0,AB81)</f>
        <v>0</v>
      </c>
      <c r="CF81" s="235" t="n">
        <f aca="false">IF(CE81&gt;0,BO81,0)</f>
        <v>0</v>
      </c>
      <c r="CG81" s="239" t="n">
        <f aca="false">IF(CF81=0,CF81+CG80,CF81)</f>
        <v>0</v>
      </c>
      <c r="CH81" s="239" t="n">
        <f aca="false">IF(CG81=CG80,CH80,ABS(CG81-CG80))</f>
        <v>0</v>
      </c>
      <c r="CI81" s="239" t="n">
        <f aca="false">+CE81*CH81</f>
        <v>0</v>
      </c>
      <c r="CJ81" s="239" t="n">
        <f aca="false">IF(CI81=0,CI81+CJ80,CI81)</f>
        <v>0</v>
      </c>
      <c r="CK81" s="239" t="n">
        <f aca="false">IF(CJ81=CJ80,CK80,ABS(CJ81+CK80))</f>
        <v>0</v>
      </c>
      <c r="CL81" s="241" t="n">
        <f aca="false">IF(CE81=0,0,CK81)</f>
        <v>0</v>
      </c>
      <c r="CM81" s="239" t="n">
        <f aca="false">IF(CE81=0,0,CH81*9.81)</f>
        <v>0</v>
      </c>
      <c r="CN81" s="239" t="n">
        <f aca="false">IF(CM81=0,CM81+CN80,CM81)</f>
        <v>0</v>
      </c>
      <c r="CO81" s="239" t="n">
        <f aca="false">IF(CN81=CN80,CO80,ABS(CN81+CO80))</f>
        <v>0</v>
      </c>
      <c r="CP81" s="241" t="n">
        <f aca="false">IF(CD81="NO",0,IF(CE81=0,0,CO81))</f>
        <v>0</v>
      </c>
      <c r="CQ81" s="244" t="str">
        <f aca="false">IF(BR81=0,"",CL81-CP81)</f>
        <v/>
      </c>
      <c r="CR81" s="244" t="str">
        <f aca="false">IF(BR81=0,"",CQ81/101.3)</f>
        <v/>
      </c>
      <c r="CS81" s="244" t="str">
        <f aca="false">IF(BR81=0,"",LOG(10/CR81))</f>
        <v/>
      </c>
      <c r="CT81" s="243" t="str">
        <f aca="false">IF(BR81=0,"",IF(SQRT(101.3/CQ81)&lt;=1.7,SQRT(101.3/CQ81),2.2/(1.2+(CQ81/101.3))))</f>
        <v/>
      </c>
      <c r="CU81" s="244" t="str">
        <f aca="false">IF(BR81=0,"",1.7/(0.7+CR81))</f>
        <v/>
      </c>
      <c r="CV81" s="244" t="str">
        <f aca="false">IF(BR81=0,"",IF(CR81&gt;=0.25,0.77*LOG(20/CR81),""))</f>
        <v/>
      </c>
      <c r="CW81" s="244" t="str">
        <f aca="false">IF(BR81=0,"",32.5/(10.2+20.3*CR81))</f>
        <v/>
      </c>
      <c r="CX81" s="244" t="str">
        <f aca="false">IF(BR81=0,"",1-1.25*LOG(CR81))</f>
        <v/>
      </c>
      <c r="CY81" s="244" t="str">
        <f aca="false">IF(BR81=0,"",IF(CR81&lt;1,1-1.41*LOG(CR81),1+0.92*LOG(CR81)))</f>
        <v/>
      </c>
      <c r="CZ81" s="244" t="str">
        <f aca="false">IF(BR81=0,"",2/(1+CR81))</f>
        <v/>
      </c>
      <c r="DA81" s="244" t="str">
        <f aca="false">IF(BR81=0,"",IF(CR81&lt;=0.75,4/(1+4*CR81),4/(3.25+CR81)))</f>
        <v/>
      </c>
      <c r="DB81" s="244" t="str">
        <f aca="false">IF(BR81=0,"",CT81)</f>
        <v/>
      </c>
      <c r="DC81" s="244" t="str">
        <f aca="false">IF(BR81=0,"",DB81*CC81)</f>
        <v/>
      </c>
      <c r="DD81" s="244"/>
      <c r="DE81" s="244" t="str">
        <f aca="false">IF(BR81=0,"",0.193*(CC81/(CQ81*0.001))^0.689)</f>
        <v/>
      </c>
      <c r="DF81" s="244" t="str">
        <f aca="false">IF(BR81=0,"",IF(AS81=$AX$4,(0.1348118*CC81 - 0.0383065)*98.0665,""))</f>
        <v/>
      </c>
      <c r="DG81" s="244" t="str">
        <f aca="false">IF(BR81=0,"",IF(AS81=$AX$4,DF81/2,""))</f>
        <v/>
      </c>
      <c r="DH81" s="244" t="str">
        <f aca="false">IF(BR81=0,"",IF(DC81&lt;=15,12*(DC81+6),40+12*(DC81-6)))</f>
        <v/>
      </c>
      <c r="DI81" s="244" t="str">
        <f aca="false">IF(BR81=0,"",IF(CD81="SI",5*(DC81+15),((3.3*(DC81+15))+(4*(DC81+12)))/2))</f>
        <v/>
      </c>
      <c r="DJ81" s="244" t="str">
        <f aca="false">IF(BR81=0,"",8*DC81)</f>
        <v/>
      </c>
      <c r="DK81" s="244" t="str">
        <f aca="false">IF(BR81=0,"",215+(10.6*DC81))</f>
        <v/>
      </c>
      <c r="DL81" s="244" t="str">
        <f aca="false">IF(BR81=0,"",10*(7.5+(0.5*DC81)))</f>
        <v/>
      </c>
      <c r="DM81" s="244" t="str">
        <f aca="false">IF(BR81=0,"",8*DC81)</f>
        <v/>
      </c>
      <c r="DN81" s="244" t="str">
        <f aca="false">IF(AW81=" "," ",IF(DC81=""," ",IF(DC81&lt;4,10*10.2,IF(DC81=4,12*10.2,IF(DC81&lt;10,17.5*10.5,IF(DC81=10,15*10.2,IF(DC81&lt;30,22.5*10.2,IF(DC81=30,35*10.2,IF(DC81&lt;50,40*10.2,IF(DC81=50,50*10.2,55*10.2))))))))))</f>
        <v> </v>
      </c>
      <c r="DO81" s="244" t="str">
        <f aca="false">IF(BR81=0,"",7*SQRT(DC81)*10.1972)</f>
        <v/>
      </c>
      <c r="DP81" s="244" t="str">
        <f aca="false">IF(BR81=0,"",IF(AS81=$AX$4,5*CC81,""))</f>
        <v/>
      </c>
      <c r="DQ81" s="244" t="str">
        <f aca="false">IF(AW81=" "," ",IF(DC81=""," ",IF(DC81&lt;2,4*10.2,IF(DC81=2,6*10.2,IF(DC81&lt;4,12*10.2,IF(DC81=4,20*10.2,IF(DC81&lt;8,30*10.2,IF(DC81=8,35*10.2,IF(DC81&lt;15,40*10.2,IF(DC81=15,42*10.2,IF(DC81&lt;30,45*10.2,IF(DC81=30,50*10.2,70*10.2))))))))))))</f>
        <v> </v>
      </c>
      <c r="DR81" s="244" t="str">
        <f aca="false">IF(BR81=0,"",IF(AS81=$AX$4,220*DP81*0.0101972,""))</f>
        <v/>
      </c>
      <c r="DS81" s="271" t="str">
        <f aca="false">IF(BR81=0,"",IF(AS81=$AX$7,(SUM(DH81:DO81)-MIN(DH81:DO81)-MAX(DH81:DO81))/6,(SUM(DO81:DR81)-MIN(DO81:DR81)-MAX(DO81:DR81))/2))</f>
        <v/>
      </c>
      <c r="DT81" s="244" t="str">
        <f aca="false">IF(AW81=" "," ",IF(DC81=""," ",IF(DC81&lt;4,0.2,IF(DC81=4,0.27,IF(DC81&lt;10,0.33,IF(DC81=10,0.35,IF(DC81&lt;30,0.36,IF(DC81=30,0.37,IF(DC81&lt;50,0.38,IF(DC81=50,0.4,0.45))))))))))</f>
        <v> </v>
      </c>
      <c r="DU81" s="272" t="str">
        <f aca="false">IF(AW81=" "," ",IF(CC81=""," ",IF(CC81&lt;2,0.2,IF(CC81=2,0.23,IF(CC81&lt;4,0.26,IF(CC81=4,0.29,IF(CC81&lt;8,0.32,IF(CC81=8,0.35,IF(CC81&lt;15,0.38,IF(CC81=15,0.41,IF(CC81&lt;30,0.44,IF(CC81=30,0.47,0.5))))))))))))</f>
        <v> </v>
      </c>
      <c r="DV81" s="244" t="str">
        <f aca="false">IF(BR81=0,"",IF(AS81=$AX$3,DT81,DU81))</f>
        <v/>
      </c>
      <c r="DW81" s="244" t="str">
        <f aca="false">IF(BR81=0,"",IF(DC81&gt;15,15+0.5*(DC81-15),DC81))</f>
        <v/>
      </c>
      <c r="DX81" s="244" t="str">
        <f aca="false">IF(BR81=0,"",IF($S$12="SI",IF(CD81="NO",IF($AD$12&gt;(BO81+1.5*$ED$15),1,0.5),0.5),1))</f>
        <v/>
      </c>
      <c r="DY81" s="244" t="str">
        <f aca="false">IF(BR81=0,"",IF($S$12="SI",IF(CD81="NO",IF($AD$12&gt;(BO81+1.5*$EE$15),1,0.5),0.5),1))</f>
        <v/>
      </c>
      <c r="DZ81" s="244" t="str">
        <f aca="false">IF(BR81=0,"",IF($S$12="SI",IF(CD81="NO",IF($AD$12&gt;(BO81+1.5*$EF$15),1,0.5),0.5),1))</f>
        <v/>
      </c>
      <c r="EA81" s="244" t="str">
        <f aca="false">IF(BR81=0,"",IF($S$12="SI",IF(CD81="NO",IF($AD$12&gt;(BO81+1.5*$ED$15),1,0.5),IF($AD$12=BO81,1,0.5)),1))</f>
        <v/>
      </c>
      <c r="EB81" s="244" t="str">
        <f aca="false">IF(BR81=0,"",IF($S$12="SI",IF(CD81="NO",IF($AD$12&gt;(BO81+1.5*$EE$15),1,0.5),IF($AD$12=BO81,1,0.5)),1))</f>
        <v/>
      </c>
      <c r="EC81" s="244" t="str">
        <f aca="false">IF(BR81=0,"",IF($S$12="SI",IF(CD81="NO",IF($AD$12&gt;(BO81+1.5*$EF$15),1,0.5),IF($AD$12=BO81,1,0.5)),1))</f>
        <v/>
      </c>
      <c r="ED81" s="244" t="str">
        <f aca="false">IF(BR81=0,"",(DW81*($ED$15/10)*(DX81+EA81*(BO81/$ED$15))*1)/3)</f>
        <v/>
      </c>
      <c r="EE81" s="244" t="str">
        <f aca="false">IF(BR81=0,"",(DW81*($EE$15/10)*(DY81+EB81*(BO81/$EE$15))*1)/3)</f>
        <v/>
      </c>
      <c r="EF81" s="244" t="str">
        <f aca="false">IF(BR81=0,"",(DW81*($EF$15/10)*(DZ81+EC81*(BO81/$EF$15))*1)/3)</f>
        <v/>
      </c>
      <c r="EG81" s="273" t="str">
        <f aca="false">IF(BR81=0,"",IF(CD81="SI",0.5,1))</f>
        <v/>
      </c>
      <c r="EH81" s="244" t="str">
        <f aca="false">IF(BR81=0,"",IF((1+0.33*(BO81/$ED$15))&lt;=1.33,(1+0.33*(BO81/$ED$15)),1.33))</f>
        <v/>
      </c>
      <c r="EI81" s="244" t="str">
        <f aca="false">IF(BR81=0,"",IF((1+0.33*(BO81/$EE$15))&lt;=1.33,(1+0.33*(BO81/$EE$15)),1.33))</f>
        <v/>
      </c>
      <c r="EJ81" s="244" t="str">
        <f aca="false">IF(BR81=0,"",IF((1+0.33*(BO81/$EF$15))&lt;=1.33,(1+0.33*(BO81/$EF$15)),1.33))</f>
        <v/>
      </c>
      <c r="EK81" s="244" t="str">
        <f aca="false">IF(BR81=0,"",IF($ED$15&lt;=1.2,((20*DC81*EG81*EH81)/3)*0.010197,((12.5*DC81*((($ED$15+0.3)^2)/$ED$15)*EG81*EH81)/3)*0.010197))</f>
        <v/>
      </c>
      <c r="EL81" s="244" t="str">
        <f aca="false">IF(BR81=0,"",IF($EE$15&lt;=1.2,((20*DC81*EG81*EI81)/3)*0.010197,((12.5*DC81*((($EE$15+0.3)^2)/$EE$15)*EG81*EI81)/3)*0.010197))</f>
        <v/>
      </c>
      <c r="EM81" s="244" t="str">
        <f aca="false">IF(BR81=0,"",IF($EF$15&lt;=1.2,((20*DC81*EG81*EJ81)/3)*0.010197,((12.5*DC81*((($EF$15+0.3)^2)/$EF$15)*EG81*EJ81)/3)*0.010197))</f>
        <v/>
      </c>
      <c r="EN81" s="248" t="str">
        <f aca="false">IF(BR81=0,"",SQRT(12*CC81)+25)</f>
        <v/>
      </c>
      <c r="EO81" s="248" t="str">
        <f aca="false">IF(BR81=0,"",28.5+0.25*CC81)</f>
        <v/>
      </c>
      <c r="EP81" s="248" t="str">
        <f aca="false">IF(BR81=0,"",SQRT(20*CC81)+15)</f>
        <v/>
      </c>
      <c r="EQ81" s="248" t="str">
        <f aca="false">IF(BR81=0,"",23.7+0.57*CC81-0.0006*CC81*CC81)</f>
        <v/>
      </c>
      <c r="ER81" s="248" t="str">
        <f aca="false">IF(BR81=0,"",15+SQRT(12.5*DC81))</f>
        <v/>
      </c>
      <c r="ES81" s="248" t="str">
        <f aca="false">IF(BR81=0,"",3.5*SQRT(CC81)+20)</f>
        <v/>
      </c>
      <c r="ET81" s="248" t="str">
        <f aca="false">IF(BR81=0,"",27.1+0.3*DC81-0.00054*DC81*DC81)</f>
        <v/>
      </c>
      <c r="EU81" s="248" t="str">
        <f aca="false">IF(BR81=0,"",SQRT(20*CC81)+20)</f>
        <v/>
      </c>
      <c r="EV81" s="248" t="str">
        <f aca="false">IF(BR81=0,"",12.79+SQRT(25.86*CC81))</f>
        <v/>
      </c>
      <c r="EW81" s="248" t="str">
        <f aca="false">IF(BR81=0,"",DEGREES(_xlfn.ACOT((CC81/(12.2+20.3*CR81))^0.34)))</f>
        <v/>
      </c>
      <c r="EX81" s="248" t="str">
        <f aca="false">IF(BR81=0,"",24+(5.77*LN(0.17*DC81)))</f>
        <v/>
      </c>
      <c r="EY81" s="248" t="str">
        <f aca="false">IF(BR81=0,"",(SUM(EN81:EX81)-MIN(EN81:EX81)-MAX(EN81:EX81))/9)</f>
        <v/>
      </c>
      <c r="EZ81" s="248" t="str">
        <f aca="false">IF(BR81=0,"", -0.0000000034*CC81^6 + 0.0000008305*CC81^5 - 0.0000741842*CC81^4 + 0.0030204278*CC81^3 - 0.0541594733*CC81^2 + 0.8083147848*CC81 - 0.6182191243)</f>
        <v/>
      </c>
      <c r="FA81" s="249" t="str">
        <f aca="false">IF(BR81=0,"",(0.134811827956989*CC81 - 0.0383064516129019)/2)</f>
        <v/>
      </c>
      <c r="FB81" s="249" t="str">
        <f aca="false">IF(BR81=0,"",CC81*0.065)</f>
        <v/>
      </c>
      <c r="FC81" s="249" t="str">
        <f aca="false">IF(BR81=0,"",(CC81*0.12*0.48)*SQRT((1+SIN(EZ81*((2*PI())/360))/(1-SIN(EZ81*((2*PI())/360))))))</f>
        <v/>
      </c>
      <c r="FD81" s="249" t="str">
        <f aca="false">IF(BR81=0,"",(CC81/8)/2)</f>
        <v/>
      </c>
      <c r="FE81" s="249" t="str">
        <f aca="false">IF(BR81=0,"",(SUM(FA81:FD81)-MIN(FA81:FD81)-MAX(FA81:FD81))/2)</f>
        <v/>
      </c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</row>
    <row r="82" customFormat="false" ht="9.75" hidden="false" customHeight="true" outlineLevel="0" collapsed="false">
      <c r="A82" s="197" t="n">
        <f aca="false">ROUND(A81+0.1,1)</f>
        <v>6.5</v>
      </c>
      <c r="B82" s="250"/>
      <c r="C82" s="251"/>
      <c r="D82" s="251"/>
      <c r="E82" s="199"/>
      <c r="F82" s="200"/>
      <c r="G82" s="254"/>
      <c r="H82" s="284"/>
      <c r="I82" s="285"/>
      <c r="J82" s="257"/>
      <c r="K82" s="258"/>
      <c r="L82" s="259"/>
      <c r="M82" s="276"/>
      <c r="N82" s="277"/>
      <c r="O82" s="277"/>
      <c r="P82" s="277"/>
      <c r="Q82" s="293"/>
      <c r="R82" s="304"/>
      <c r="S82" s="305"/>
      <c r="T82" s="295"/>
      <c r="U82" s="295"/>
      <c r="V82" s="296"/>
      <c r="W82" s="296"/>
      <c r="X82" s="296"/>
      <c r="Y82" s="296"/>
      <c r="Z82" s="296"/>
      <c r="AA82" s="296"/>
      <c r="AB82" s="297"/>
      <c r="AC82" s="298"/>
      <c r="AD82" s="299"/>
      <c r="AE82" s="298"/>
      <c r="AF82" s="300"/>
      <c r="AG82" s="267"/>
      <c r="AH82" s="267"/>
      <c r="AI82" s="241"/>
      <c r="AJ82" s="241"/>
      <c r="AK82" s="266"/>
      <c r="AL82" s="266"/>
      <c r="AM82" s="268"/>
      <c r="AN82" s="250"/>
      <c r="AO82" s="251"/>
      <c r="AP82" s="251"/>
      <c r="AQ82" s="199"/>
      <c r="AR82" s="200"/>
      <c r="AS82" s="269" t="s">
        <v>21</v>
      </c>
      <c r="AT82" s="221"/>
      <c r="AU82" s="269"/>
      <c r="AV82" s="269"/>
      <c r="AW82" s="270" t="n">
        <f aca="false">+K82+L82</f>
        <v>0</v>
      </c>
      <c r="AX82" s="270" t="str">
        <f aca="false">IF(AS82="&gt;50","CONSISTENCIA",IF(AS82="&lt;50","COMPACIDAD"," "))</f>
        <v>CONSISTENCIA</v>
      </c>
      <c r="AY82" s="225" t="str">
        <f aca="false">IF(AS82="&gt;50",AZ82,IF(AS82="&lt;50",BA82," "))</f>
        <v> </v>
      </c>
      <c r="AZ82" s="224" t="str">
        <f aca="false">IF(AW82=" "," ",IF(CC82=""," ",IF(CC82&lt;2,"MUY BLANDA",IF(CC82=2,"MUY BLANDA A BLANDA",IF(CC82&lt;4,"BLANDA",IF(CC82=4,"BLANDA A MEDIA",IF(CC82&lt;8,"MEDIA",IF(CC82=8,"MEDIA A FIRME",IF(CC82&lt;15,"FIRME",IF(CC82=15,"FIRME A MUY FIRME",IF(CC82&lt;30,"MUY FIRME",IF(CC82=30,"MUY FIRME A DURA","DURA"))))))))))))</f>
        <v> </v>
      </c>
      <c r="BA82" s="225" t="str">
        <f aca="false">IF(AW82=" "," ",IF(DC82=""," ",IF(DC82&lt;4,"MUY SUELTA",IF(DC82=4,"MUY SUELTA A SUELTA",IF(DC82&lt;10,"SUELTA",IF(DC82=10,"SUELTA A MEDIA",IF(DC82&lt;30,"MEDIA",IF(DC82=30,"MEDIA A DENSO",IF(DC82&lt;50,"DENSO",IF(DC82=50,"DENSO MUY DENSO","MUY DENSO"))))))))))</f>
        <v> </v>
      </c>
      <c r="BB82" s="226" t="str">
        <f aca="false">IF(BR83=0,"",CQ83*0.0101972)</f>
        <v/>
      </c>
      <c r="BC82" s="227" t="n">
        <f aca="false">+BC81+0.1</f>
        <v>6.49999999999999</v>
      </c>
      <c r="BD82" s="227" t="str">
        <f aca="false">IF(BC82&lt;=$AN$10,BC82,"")</f>
        <v/>
      </c>
      <c r="BE82" s="228" t="n">
        <f aca="false">ISNUMBER(BD82)</f>
        <v>0</v>
      </c>
      <c r="BF82" s="229" t="str">
        <f aca="false">MID(M82,1,1)</f>
        <v/>
      </c>
      <c r="BG82" s="230" t="str">
        <f aca="false">IF(BF82="S","",IF(BF82="G","",MID(M82,2,1)))</f>
        <v/>
      </c>
      <c r="BH82" s="231" t="str">
        <f aca="false">CONCATENATE(BF82,BG82)</f>
        <v/>
      </c>
      <c r="BI82" s="6" t="str">
        <f aca="false">IF(BE82=FALSE(),"",IF(BH82="",BI81,BH82))</f>
        <v/>
      </c>
      <c r="BJ82" s="74" t="str">
        <f aca="false">IF(OR(BI82="S",BI82="G"),BI82,"X")</f>
        <v>X</v>
      </c>
      <c r="BK82" s="74" t="s">
        <v>242</v>
      </c>
      <c r="BL82" s="307" t="e">
        <f aca="false">INDEX(sim_0,MATCH($BJ$82,granular,0))</f>
        <v>#NAME?</v>
      </c>
      <c r="BM82" s="307"/>
      <c r="BN82" s="6"/>
      <c r="BO82" s="191" t="n">
        <f aca="false">BO81+0.1</f>
        <v>6.49999999999999</v>
      </c>
      <c r="BP82" s="233" t="e">
        <f aca="false">IF(AW82=0,NA(),IF(AS82=$AX$3,ROUND(DC82,0),NA()))</f>
        <v>#N/A</v>
      </c>
      <c r="BQ82" s="31" t="e">
        <f aca="false">IF(AW82=0,NA(),IF(AS82=$AX$4,ROUND(CC82,0),NA()))</f>
        <v>#N/A</v>
      </c>
      <c r="BR82" s="234" t="n">
        <f aca="false">+AW82</f>
        <v>0</v>
      </c>
      <c r="BS82" s="235" t="str">
        <f aca="false">IF(BR82=0,"", -0.00000000016128755327*CC82^6 + 0.00000006709386362421*CC82^5 - 0.0000106217678052217*CC82^4 + 0.00081068114193385*CC82^3 - 0.0314027378159951*CC82^2 + 0.649796593937842*CC82 + 13.7888866455022)</f>
        <v/>
      </c>
      <c r="BT82" s="235" t="str">
        <f aca="false">IF(BR82=0,"",-0.00000000014625939695*CC82^6 + 0.00000004971732060241*CC82^5 - 0.000006683744342031*CC82^4 + 0.0004563177378098*CC82^3 - 0.0171727530635803*CC82^2 + 0.444529932876435*CC82 + 15.6692518940565)</f>
        <v/>
      </c>
      <c r="BU82" s="236" t="str">
        <f aca="false">IF(BR82=0,"", -0.0000000008152265738*BR82^6 + 0.00000022764320256987*BR82^5 - 0.0000248205675927705*BR82^4 + 0.00133186623684865*BR82^3 - 0.0368442570441677*BR82^2 + 0.580111565569094*BR82 + 14.0417598296107)</f>
        <v/>
      </c>
      <c r="BV82" s="236" t="str">
        <f aca="false">IF(BR82=0,"", -0.00000000004321395721*BR82^6 + 0.00000002531844275498*BR82^5 - 0.00000369428022780862*BR82^4 + 0.00020283665900125*BR82^3 - 0.00462426256803268*BR82^2 + 0.139572935065453*BR82 + 15.4475338156923)</f>
        <v/>
      </c>
      <c r="BW82" s="236" t="str">
        <f aca="false">IF(BR82=0,"",-0.00000000033126390082*BR82^6 + 0.00000010463660614506*BR82^5 - 0.0000129629592998707*BR82^4 + 0.000803946335250767*BR82^3 - 0.0270257140395994*BR82^2 + 0.562590210721552*BR82+ 12.1254107606419)</f>
        <v/>
      </c>
      <c r="BX82" s="236" t="str">
        <f aca="false">IF(BR82=0,"",-0.00000000002593504955*BR82^6 + 0.00000002430495156704*BR82^5 - 0.00000386103271086364*BR82^4 + 0.000214416118986322*BR82^3 - 0.0047271462612021*BR82^2 + 0.156696175741135*BR82 + 15.4598891949502)</f>
        <v/>
      </c>
      <c r="BY82" s="234" t="str">
        <f aca="false">IF(BR82=0,"",$BS$2)</f>
        <v/>
      </c>
      <c r="BZ82" s="234" t="str">
        <f aca="false">IF(BR82=0,"",$BS$3)</f>
        <v/>
      </c>
      <c r="CA82" s="234" t="str">
        <f aca="false">IF(BR82=0,"",$BS$4)</f>
        <v/>
      </c>
      <c r="CB82" s="235" t="str">
        <f aca="false">IF(BR82=0,"",IF(AND(BO82&gt;=0,BO82&lt;4),0.75,IF(AND(BO82&gt;=4,BO82&lt;6),0.85,IF(AND(BO82&gt;=6,BO82&lt;=10),0.95,1))))</f>
        <v/>
      </c>
      <c r="CC82" s="234" t="str">
        <f aca="false">IF(BR82=0,"",BR82*BY82*BZ82*CA82*CB82/60)</f>
        <v/>
      </c>
      <c r="CD82" s="238" t="str">
        <f aca="false">IF(BR82=0,"",IF($S$12="NO","NO",IF($AD$12&lt;=BO82,"SI","NO")))</f>
        <v/>
      </c>
      <c r="CE82" s="235" t="n">
        <f aca="false">IF(BR82=0,0,AB82)</f>
        <v>0</v>
      </c>
      <c r="CF82" s="235" t="n">
        <f aca="false">IF(CE82&gt;0,BO82,0)</f>
        <v>0</v>
      </c>
      <c r="CG82" s="239" t="n">
        <f aca="false">IF(CF82=0,CF82+CG81,CF82)</f>
        <v>0</v>
      </c>
      <c r="CH82" s="239" t="n">
        <f aca="false">IF(CG82=CG81,CH81,ABS(CG82-CG81))</f>
        <v>0</v>
      </c>
      <c r="CI82" s="239" t="n">
        <f aca="false">+CE82*CH82</f>
        <v>0</v>
      </c>
      <c r="CJ82" s="239" t="n">
        <f aca="false">IF(CI82=0,CI82+CJ81,CI82)</f>
        <v>0</v>
      </c>
      <c r="CK82" s="239" t="n">
        <f aca="false">IF(CJ82=CJ81,CK81,ABS(CJ82+CK81))</f>
        <v>0</v>
      </c>
      <c r="CL82" s="241" t="n">
        <f aca="false">IF(CE82=0,0,CK82)</f>
        <v>0</v>
      </c>
      <c r="CM82" s="239" t="n">
        <f aca="false">IF(CE82=0,0,CH82*9.81)</f>
        <v>0</v>
      </c>
      <c r="CN82" s="239" t="n">
        <f aca="false">IF(CM82=0,CM82+CN81,CM82)</f>
        <v>0</v>
      </c>
      <c r="CO82" s="239" t="n">
        <f aca="false">IF(CN82=CN81,CO81,ABS(CN82+CO81))</f>
        <v>0</v>
      </c>
      <c r="CP82" s="241" t="n">
        <f aca="false">IF(CD82="NO",0,IF(CE82=0,0,CO82))</f>
        <v>0</v>
      </c>
      <c r="CQ82" s="244" t="str">
        <f aca="false">IF(BR82=0,"",CL82-CP82)</f>
        <v/>
      </c>
      <c r="CR82" s="244" t="str">
        <f aca="false">IF(BR82=0,"",CQ82/101.3)</f>
        <v/>
      </c>
      <c r="CS82" s="244" t="str">
        <f aca="false">IF(BR82=0,"",LOG(10/CR82))</f>
        <v/>
      </c>
      <c r="CT82" s="243" t="str">
        <f aca="false">IF(BR82=0,"",IF(SQRT(101.3/CQ82)&lt;=1.7,SQRT(101.3/CQ82),2.2/(1.2+(CQ82/101.3))))</f>
        <v/>
      </c>
      <c r="CU82" s="244" t="str">
        <f aca="false">IF(BR82=0,"",1.7/(0.7+CR82))</f>
        <v/>
      </c>
      <c r="CV82" s="244" t="str">
        <f aca="false">IF(BR82=0,"",IF(CR82&gt;=0.25,0.77*LOG(20/CR82),""))</f>
        <v/>
      </c>
      <c r="CW82" s="244" t="str">
        <f aca="false">IF(BR82=0,"",32.5/(10.2+20.3*CR82))</f>
        <v/>
      </c>
      <c r="CX82" s="244" t="str">
        <f aca="false">IF(BR82=0,"",1-1.25*LOG(CR82))</f>
        <v/>
      </c>
      <c r="CY82" s="244" t="str">
        <f aca="false">IF(BR82=0,"",IF(CR82&lt;1,1-1.41*LOG(CR82),1+0.92*LOG(CR82)))</f>
        <v/>
      </c>
      <c r="CZ82" s="244" t="str">
        <f aca="false">IF(BR82=0,"",2/(1+CR82))</f>
        <v/>
      </c>
      <c r="DA82" s="244" t="str">
        <f aca="false">IF(BR82=0,"",IF(CR82&lt;=0.75,4/(1+4*CR82),4/(3.25+CR82)))</f>
        <v/>
      </c>
      <c r="DB82" s="244" t="str">
        <f aca="false">IF(BR82=0,"",CT82)</f>
        <v/>
      </c>
      <c r="DC82" s="244" t="str">
        <f aca="false">IF(BR82=0,"",DB82*CC82)</f>
        <v/>
      </c>
      <c r="DD82" s="244"/>
      <c r="DE82" s="244" t="str">
        <f aca="false">IF(BR82=0,"",0.193*(CC82/(CQ82*0.001))^0.689)</f>
        <v/>
      </c>
      <c r="DF82" s="244" t="str">
        <f aca="false">IF(BR82=0,"",IF(AS82=$AX$4,(0.1348118*CC82 - 0.0383065)*98.0665,""))</f>
        <v/>
      </c>
      <c r="DG82" s="244" t="str">
        <f aca="false">IF(BR82=0,"",IF(AS82=$AX$4,DF82/2,""))</f>
        <v/>
      </c>
      <c r="DH82" s="244" t="str">
        <f aca="false">IF(BR82=0,"",IF(DC82&lt;=15,12*(DC82+6),40+12*(DC82-6)))</f>
        <v/>
      </c>
      <c r="DI82" s="244" t="str">
        <f aca="false">IF(BR82=0,"",IF(CD82="SI",5*(DC82+15),((3.3*(DC82+15))+(4*(DC82+12)))/2))</f>
        <v/>
      </c>
      <c r="DJ82" s="244" t="str">
        <f aca="false">IF(BR82=0,"",8*DC82)</f>
        <v/>
      </c>
      <c r="DK82" s="244" t="str">
        <f aca="false">IF(BR82=0,"",215+(10.6*DC82))</f>
        <v/>
      </c>
      <c r="DL82" s="244" t="str">
        <f aca="false">IF(BR82=0,"",10*(7.5+(0.5*DC82)))</f>
        <v/>
      </c>
      <c r="DM82" s="244" t="str">
        <f aca="false">IF(BR82=0,"",8*DC82)</f>
        <v/>
      </c>
      <c r="DN82" s="244" t="str">
        <f aca="false">IF(AW82=" "," ",IF(DC82=""," ",IF(DC82&lt;4,10*10.2,IF(DC82=4,12*10.2,IF(DC82&lt;10,17.5*10.5,IF(DC82=10,15*10.2,IF(DC82&lt;30,22.5*10.2,IF(DC82=30,35*10.2,IF(DC82&lt;50,40*10.2,IF(DC82=50,50*10.2,55*10.2))))))))))</f>
        <v> </v>
      </c>
      <c r="DO82" s="244" t="str">
        <f aca="false">IF(BR82=0,"",7*SQRT(DC82)*10.1972)</f>
        <v/>
      </c>
      <c r="DP82" s="244" t="str">
        <f aca="false">IF(BR82=0,"",IF(AS82=$AX$4,5*CC82,""))</f>
        <v/>
      </c>
      <c r="DQ82" s="244" t="str">
        <f aca="false">IF(AW82=" "," ",IF(DC82=""," ",IF(DC82&lt;2,4*10.2,IF(DC82=2,6*10.2,IF(DC82&lt;4,12*10.2,IF(DC82=4,20*10.2,IF(DC82&lt;8,30*10.2,IF(DC82=8,35*10.2,IF(DC82&lt;15,40*10.2,IF(DC82=15,42*10.2,IF(DC82&lt;30,45*10.2,IF(DC82=30,50*10.2,70*10.2))))))))))))</f>
        <v> </v>
      </c>
      <c r="DR82" s="244" t="str">
        <f aca="false">IF(BR82=0,"",IF(AS82=$AX$4,220*DP82*0.0101972,""))</f>
        <v/>
      </c>
      <c r="DS82" s="271" t="str">
        <f aca="false">IF(BR82=0,"",IF(AS82=$AX$7,(SUM(DH82:DO82)-MIN(DH82:DO82)-MAX(DH82:DO82))/6,(SUM(DO82:DR82)-MIN(DO82:DR82)-MAX(DO82:DR82))/2))</f>
        <v/>
      </c>
      <c r="DT82" s="244" t="str">
        <f aca="false">IF(AW82=" "," ",IF(DC82=""," ",IF(DC82&lt;4,0.2,IF(DC82=4,0.27,IF(DC82&lt;10,0.33,IF(DC82=10,0.35,IF(DC82&lt;30,0.36,IF(DC82=30,0.37,IF(DC82&lt;50,0.38,IF(DC82=50,0.4,0.45))))))))))</f>
        <v> </v>
      </c>
      <c r="DU82" s="272" t="str">
        <f aca="false">IF(AW82=" "," ",IF(CC82=""," ",IF(CC82&lt;2,0.2,IF(CC82=2,0.23,IF(CC82&lt;4,0.26,IF(CC82=4,0.29,IF(CC82&lt;8,0.32,IF(CC82=8,0.35,IF(CC82&lt;15,0.38,IF(CC82=15,0.41,IF(CC82&lt;30,0.44,IF(CC82=30,0.47,0.5))))))))))))</f>
        <v> </v>
      </c>
      <c r="DV82" s="244" t="str">
        <f aca="false">IF(BR82=0,"",IF(AS82=$AX$3,DT82,DU82))</f>
        <v/>
      </c>
      <c r="DW82" s="244" t="str">
        <f aca="false">IF(BR82=0,"",IF(DC82&gt;15,15+0.5*(DC82-15),DC82))</f>
        <v/>
      </c>
      <c r="DX82" s="244" t="str">
        <f aca="false">IF(BR82=0,"",IF($S$12="SI",IF(CD82="NO",IF($AD$12&gt;(BO82+1.5*$ED$15),1,0.5),0.5),1))</f>
        <v/>
      </c>
      <c r="DY82" s="244" t="str">
        <f aca="false">IF(BR82=0,"",IF($S$12="SI",IF(CD82="NO",IF($AD$12&gt;(BO82+1.5*$EE$15),1,0.5),0.5),1))</f>
        <v/>
      </c>
      <c r="DZ82" s="244" t="str">
        <f aca="false">IF(BR82=0,"",IF($S$12="SI",IF(CD82="NO",IF($AD$12&gt;(BO82+1.5*$EF$15),1,0.5),0.5),1))</f>
        <v/>
      </c>
      <c r="EA82" s="244" t="str">
        <f aca="false">IF(BR82=0,"",IF($S$12="SI",IF(CD82="NO",IF($AD$12&gt;(BO82+1.5*$ED$15),1,0.5),IF($AD$12=BO82,1,0.5)),1))</f>
        <v/>
      </c>
      <c r="EB82" s="244" t="str">
        <f aca="false">IF(BR82=0,"",IF($S$12="SI",IF(CD82="NO",IF($AD$12&gt;(BO82+1.5*$EE$15),1,0.5),IF($AD$12=BO82,1,0.5)),1))</f>
        <v/>
      </c>
      <c r="EC82" s="244" t="str">
        <f aca="false">IF(BR82=0,"",IF($S$12="SI",IF(CD82="NO",IF($AD$12&gt;(BO82+1.5*$EF$15),1,0.5),IF($AD$12=BO82,1,0.5)),1))</f>
        <v/>
      </c>
      <c r="ED82" s="244" t="str">
        <f aca="false">IF(BR82=0,"",(DW82*($ED$15/10)*(DX82+EA82*(BO82/$ED$15))*1)/3)</f>
        <v/>
      </c>
      <c r="EE82" s="244" t="str">
        <f aca="false">IF(BR82=0,"",(DW82*($EE$15/10)*(DY82+EB82*(BO82/$EE$15))*1)/3)</f>
        <v/>
      </c>
      <c r="EF82" s="244" t="str">
        <f aca="false">IF(BR82=0,"",(DW82*($EF$15/10)*(DZ82+EC82*(BO82/$EF$15))*1)/3)</f>
        <v/>
      </c>
      <c r="EG82" s="273" t="str">
        <f aca="false">IF(BR82=0,"",IF(CD82="SI",0.5,1))</f>
        <v/>
      </c>
      <c r="EH82" s="244" t="str">
        <f aca="false">IF(BR82=0,"",IF((1+0.33*(BO82/$ED$15))&lt;=1.33,(1+0.33*(BO82/$ED$15)),1.33))</f>
        <v/>
      </c>
      <c r="EI82" s="244" t="str">
        <f aca="false">IF(BR82=0,"",IF((1+0.33*(BO82/$EE$15))&lt;=1.33,(1+0.33*(BO82/$EE$15)),1.33))</f>
        <v/>
      </c>
      <c r="EJ82" s="244" t="str">
        <f aca="false">IF(BR82=0,"",IF((1+0.33*(BO82/$EF$15))&lt;=1.33,(1+0.33*(BO82/$EF$15)),1.33))</f>
        <v/>
      </c>
      <c r="EK82" s="244" t="str">
        <f aca="false">IF(BR82=0,"",IF($ED$15&lt;=1.2,((20*DC82*EG82*EH82)/3)*0.010197,((12.5*DC82*((($ED$15+0.3)^2)/$ED$15)*EG82*EH82)/3)*0.010197))</f>
        <v/>
      </c>
      <c r="EL82" s="244" t="str">
        <f aca="false">IF(BR82=0,"",IF($EE$15&lt;=1.2,((20*DC82*EG82*EI82)/3)*0.010197,((12.5*DC82*((($EE$15+0.3)^2)/$EE$15)*EG82*EI82)/3)*0.010197))</f>
        <v/>
      </c>
      <c r="EM82" s="244" t="str">
        <f aca="false">IF(BR82=0,"",IF($EF$15&lt;=1.2,((20*DC82*EG82*EJ82)/3)*0.010197,((12.5*DC82*((($EF$15+0.3)^2)/$EF$15)*EG82*EJ82)/3)*0.010197))</f>
        <v/>
      </c>
      <c r="EN82" s="248" t="str">
        <f aca="false">IF(BR82=0,"",SQRT(12*CC82)+25)</f>
        <v/>
      </c>
      <c r="EO82" s="248" t="str">
        <f aca="false">IF(BR82=0,"",28.5+0.25*CC82)</f>
        <v/>
      </c>
      <c r="EP82" s="248" t="str">
        <f aca="false">IF(BR82=0,"",SQRT(20*CC82)+15)</f>
        <v/>
      </c>
      <c r="EQ82" s="248" t="str">
        <f aca="false">IF(BR82=0,"",23.7+0.57*CC82-0.0006*CC82*CC82)</f>
        <v/>
      </c>
      <c r="ER82" s="248" t="str">
        <f aca="false">IF(BR82=0,"",15+SQRT(12.5*DC82))</f>
        <v/>
      </c>
      <c r="ES82" s="248" t="str">
        <f aca="false">IF(BR82=0,"",3.5*SQRT(CC82)+20)</f>
        <v/>
      </c>
      <c r="ET82" s="248" t="str">
        <f aca="false">IF(BR82=0,"",27.1+0.3*DC82-0.00054*DC82*DC82)</f>
        <v/>
      </c>
      <c r="EU82" s="248" t="str">
        <f aca="false">IF(BR82=0,"",SQRT(20*CC82)+20)</f>
        <v/>
      </c>
      <c r="EV82" s="248" t="str">
        <f aca="false">IF(BR82=0,"",12.79+SQRT(25.86*CC82))</f>
        <v/>
      </c>
      <c r="EW82" s="248" t="str">
        <f aca="false">IF(BR82=0,"",DEGREES(_xlfn.ACOT((CC82/(12.2+20.3*CR82))^0.34)))</f>
        <v/>
      </c>
      <c r="EX82" s="248" t="str">
        <f aca="false">IF(BR82=0,"",24+(5.77*LN(0.17*DC82)))</f>
        <v/>
      </c>
      <c r="EY82" s="248" t="str">
        <f aca="false">IF(BR82=0,"",(SUM(EN82:EX82)-MIN(EN82:EX82)-MAX(EN82:EX82))/9)</f>
        <v/>
      </c>
      <c r="EZ82" s="248" t="str">
        <f aca="false">IF(BR82=0,"", -0.0000000034*CC82^6 + 0.0000008305*CC82^5 - 0.0000741842*CC82^4 + 0.0030204278*CC82^3 - 0.0541594733*CC82^2 + 0.8083147848*CC82 - 0.6182191243)</f>
        <v/>
      </c>
      <c r="FA82" s="249" t="str">
        <f aca="false">IF(BR82=0,"",(0.134811827956989*CC82 - 0.0383064516129019)/2)</f>
        <v/>
      </c>
      <c r="FB82" s="249" t="str">
        <f aca="false">IF(BR82=0,"",CC82*0.065)</f>
        <v/>
      </c>
      <c r="FC82" s="249" t="str">
        <f aca="false">IF(BR82=0,"",(CC82*0.12*0.48)*SQRT((1+SIN(EZ82*((2*PI())/360))/(1-SIN(EZ82*((2*PI())/360))))))</f>
        <v/>
      </c>
      <c r="FD82" s="249" t="str">
        <f aca="false">IF(BR82=0,"",(CC82/8)/2)</f>
        <v/>
      </c>
      <c r="FE82" s="249" t="str">
        <f aca="false">IF(BR82=0,"",(SUM(FA82:FD82)-MIN(FA82:FD82)-MAX(FA82:FD82))/2)</f>
        <v/>
      </c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</row>
    <row r="83" customFormat="false" ht="9.75" hidden="false" customHeight="true" outlineLevel="0" collapsed="false">
      <c r="A83" s="197" t="n">
        <f aca="false">ROUND(A82+0.1,1)</f>
        <v>6.6</v>
      </c>
      <c r="B83" s="250" t="n">
        <f aca="false">+A83</f>
        <v>6.6</v>
      </c>
      <c r="C83" s="251"/>
      <c r="D83" s="275"/>
      <c r="E83" s="252"/>
      <c r="F83" s="253"/>
      <c r="G83" s="254"/>
      <c r="H83" s="284"/>
      <c r="I83" s="285"/>
      <c r="J83" s="257"/>
      <c r="K83" s="258"/>
      <c r="L83" s="259"/>
      <c r="M83" s="276"/>
      <c r="N83" s="277"/>
      <c r="O83" s="277"/>
      <c r="P83" s="277"/>
      <c r="Q83" s="293"/>
      <c r="R83" s="304"/>
      <c r="S83" s="305"/>
      <c r="T83" s="295"/>
      <c r="U83" s="295"/>
      <c r="V83" s="296"/>
      <c r="W83" s="296"/>
      <c r="X83" s="296"/>
      <c r="Y83" s="296"/>
      <c r="Z83" s="296"/>
      <c r="AA83" s="296"/>
      <c r="AB83" s="297"/>
      <c r="AC83" s="298"/>
      <c r="AD83" s="299"/>
      <c r="AE83" s="298"/>
      <c r="AF83" s="300"/>
      <c r="AG83" s="267"/>
      <c r="AH83" s="267"/>
      <c r="AI83" s="241"/>
      <c r="AJ83" s="241"/>
      <c r="AK83" s="266"/>
      <c r="AL83" s="266"/>
      <c r="AM83" s="268"/>
      <c r="AN83" s="250" t="n">
        <f aca="false">+AN81+0.2</f>
        <v>6.6</v>
      </c>
      <c r="AO83" s="251"/>
      <c r="AP83" s="275"/>
      <c r="AQ83" s="252"/>
      <c r="AR83" s="253"/>
      <c r="AS83" s="269" t="s">
        <v>13</v>
      </c>
      <c r="AT83" s="221"/>
      <c r="AU83" s="269"/>
      <c r="AV83" s="269"/>
      <c r="AW83" s="270" t="n">
        <f aca="false">+K83+L83</f>
        <v>0</v>
      </c>
      <c r="AX83" s="270" t="str">
        <f aca="false">IF(AS83="&gt;50","CONSISTENCIA",IF(AS83="&lt;50","COMPACIDAD"," "))</f>
        <v>COMPACIDAD</v>
      </c>
      <c r="AY83" s="225" t="str">
        <f aca="false">IF(AS83="&gt;50",AZ83,IF(AS83="&lt;50",BA83," "))</f>
        <v> </v>
      </c>
      <c r="AZ83" s="224" t="str">
        <f aca="false">IF(AW83=" "," ",IF(CC83=""," ",IF(CC83&lt;2,"MUY BLANDA",IF(CC83=2,"MUY BLANDA A BLANDA",IF(CC83&lt;4,"BLANDA",IF(CC83=4,"BLANDA A MEDIA",IF(CC83&lt;8,"MEDIA",IF(CC83=8,"MEDIA A FIRME",IF(CC83&lt;15,"FIRME",IF(CC83=15,"FIRME A MUY FIRME",IF(CC83&lt;30,"MUY FIRME",IF(CC83=30,"MUY FIRME A DURA","DURA"))))))))))))</f>
        <v> </v>
      </c>
      <c r="BA83" s="225" t="str">
        <f aca="false">IF(AW83=" "," ",IF(DC83=""," ",IF(DC83&lt;4,"MUY SUELTA",IF(DC83=4,"MUY SUELTA A SUELTA",IF(DC83&lt;10,"SUELTA",IF(DC83=10,"SUELTA A MEDIA",IF(DC83&lt;30,"MEDIA",IF(DC83=30,"MEDIA A DENSO",IF(DC83&lt;50,"DENSO",IF(DC83=50,"DENSO MUY DENSO","MUY DENSO"))))))))))</f>
        <v> </v>
      </c>
      <c r="BB83" s="226" t="str">
        <f aca="false">IF(BR84=0,"",CQ84*0.0101972)</f>
        <v/>
      </c>
      <c r="BC83" s="227" t="n">
        <f aca="false">+BC82+0.1</f>
        <v>6.59999999999999</v>
      </c>
      <c r="BD83" s="227" t="str">
        <f aca="false">IF(BC83&lt;=$AN$10,BC83,"")</f>
        <v/>
      </c>
      <c r="BE83" s="228" t="n">
        <f aca="false">ISNUMBER(BD83)</f>
        <v>0</v>
      </c>
      <c r="BF83" s="229" t="str">
        <f aca="false">MID(M83,1,1)</f>
        <v/>
      </c>
      <c r="BG83" s="230" t="str">
        <f aca="false">IF(BF83="S","",IF(BF83="G","",MID(M83,2,1)))</f>
        <v/>
      </c>
      <c r="BH83" s="231" t="str">
        <f aca="false">CONCATENATE(BF83,BG83)</f>
        <v/>
      </c>
      <c r="BI83" s="6" t="str">
        <f aca="false">IF(BE83=FALSE(),"",IF(BH83="",BI82,BH83))</f>
        <v/>
      </c>
      <c r="BJ83" s="74" t="str">
        <f aca="false">IF(OR(BI83="S",BI83="G"),BI83,"X")</f>
        <v>X</v>
      </c>
      <c r="BK83" s="74" t="s">
        <v>243</v>
      </c>
      <c r="BL83" s="307" t="e">
        <f aca="false">INDEX(sim_0,MATCH($BJ$83,granular,0))</f>
        <v>#NAME?</v>
      </c>
      <c r="BM83" s="307"/>
      <c r="BN83" s="6"/>
      <c r="BO83" s="191" t="n">
        <f aca="false">BO82+0.1</f>
        <v>6.59999999999999</v>
      </c>
      <c r="BP83" s="233" t="e">
        <f aca="false">IF(AW83=0,NA(),IF(AS83=$AX$3,ROUND(DC83,0),NA()))</f>
        <v>#N/A</v>
      </c>
      <c r="BQ83" s="31" t="e">
        <f aca="false">IF(AW83=0,NA(),IF(AS83=$AX$4,ROUND(CC83,0),NA()))</f>
        <v>#N/A</v>
      </c>
      <c r="BR83" s="234" t="n">
        <f aca="false">+AW83</f>
        <v>0</v>
      </c>
      <c r="BS83" s="235" t="str">
        <f aca="false">IF(BR83=0,"", -0.00000000016128755327*CC83^6 + 0.00000006709386362421*CC83^5 - 0.0000106217678052217*CC83^4 + 0.00081068114193385*CC83^3 - 0.0314027378159951*CC83^2 + 0.649796593937842*CC83 + 13.7888866455022)</f>
        <v/>
      </c>
      <c r="BT83" s="235" t="str">
        <f aca="false">IF(BR83=0,"",-0.00000000014625939695*CC83^6 + 0.00000004971732060241*CC83^5 - 0.000006683744342031*CC83^4 + 0.0004563177378098*CC83^3 - 0.0171727530635803*CC83^2 + 0.444529932876435*CC83 + 15.6692518940565)</f>
        <v/>
      </c>
      <c r="BU83" s="236" t="str">
        <f aca="false">IF(BR83=0,"", -0.0000000008152265738*BR83^6 + 0.00000022764320256987*BR83^5 - 0.0000248205675927705*BR83^4 + 0.00133186623684865*BR83^3 - 0.0368442570441677*BR83^2 + 0.580111565569094*BR83 + 14.0417598296107)</f>
        <v/>
      </c>
      <c r="BV83" s="236" t="str">
        <f aca="false">IF(BR83=0,"", -0.00000000004321395721*BR83^6 + 0.00000002531844275498*BR83^5 - 0.00000369428022780862*BR83^4 + 0.00020283665900125*BR83^3 - 0.00462426256803268*BR83^2 + 0.139572935065453*BR83 + 15.4475338156923)</f>
        <v/>
      </c>
      <c r="BW83" s="236" t="str">
        <f aca="false">IF(BR83=0,"",-0.00000000033126390082*BR83^6 + 0.00000010463660614506*BR83^5 - 0.0000129629592998707*BR83^4 + 0.000803946335250767*BR83^3 - 0.0270257140395994*BR83^2 + 0.562590210721552*BR83+ 12.1254107606419)</f>
        <v/>
      </c>
      <c r="BX83" s="236" t="str">
        <f aca="false">IF(BR83=0,"",-0.00000000002593504955*BR83^6 + 0.00000002430495156704*BR83^5 - 0.00000386103271086364*BR83^4 + 0.000214416118986322*BR83^3 - 0.0047271462612021*BR83^2 + 0.156696175741135*BR83 + 15.4598891949502)</f>
        <v/>
      </c>
      <c r="BY83" s="234" t="str">
        <f aca="false">IF(BR83=0,"",$BS$2)</f>
        <v/>
      </c>
      <c r="BZ83" s="234" t="str">
        <f aca="false">IF(BR83=0,"",$BS$3)</f>
        <v/>
      </c>
      <c r="CA83" s="234" t="str">
        <f aca="false">IF(BR83=0,"",$BS$4)</f>
        <v/>
      </c>
      <c r="CB83" s="235" t="str">
        <f aca="false">IF(BR83=0,"",IF(AND(BO83&gt;=0,BO83&lt;4),0.75,IF(AND(BO83&gt;=4,BO83&lt;6),0.85,IF(AND(BO83&gt;=6,BO83&lt;=10),0.95,1))))</f>
        <v/>
      </c>
      <c r="CC83" s="234" t="str">
        <f aca="false">IF(BR83=0,"",BR83*BY83*BZ83*CA83*CB83/60)</f>
        <v/>
      </c>
      <c r="CD83" s="238" t="str">
        <f aca="false">IF(BR83=0,"",IF($S$12="NO","NO",IF($AD$12&lt;=BO83,"SI","NO")))</f>
        <v/>
      </c>
      <c r="CE83" s="235" t="n">
        <f aca="false">IF(BR83=0,0,AB83)</f>
        <v>0</v>
      </c>
      <c r="CF83" s="235" t="n">
        <f aca="false">IF(CE83&gt;0,BO83,0)</f>
        <v>0</v>
      </c>
      <c r="CG83" s="239" t="n">
        <f aca="false">IF(CF83=0,CF83+CG82,CF83)</f>
        <v>0</v>
      </c>
      <c r="CH83" s="239" t="n">
        <f aca="false">IF(CG83=CG82,CH82,ABS(CG83-CG82))</f>
        <v>0</v>
      </c>
      <c r="CI83" s="239" t="n">
        <f aca="false">+CE83*CH83</f>
        <v>0</v>
      </c>
      <c r="CJ83" s="239" t="n">
        <f aca="false">IF(CI83=0,CI83+CJ82,CI83)</f>
        <v>0</v>
      </c>
      <c r="CK83" s="239" t="n">
        <f aca="false">IF(CJ83=CJ82,CK82,ABS(CJ83+CK82))</f>
        <v>0</v>
      </c>
      <c r="CL83" s="241" t="n">
        <f aca="false">IF(CE83=0,0,CK83)</f>
        <v>0</v>
      </c>
      <c r="CM83" s="239" t="n">
        <f aca="false">IF(CE83=0,0,CH83*9.81)</f>
        <v>0</v>
      </c>
      <c r="CN83" s="239" t="n">
        <f aca="false">IF(CM83=0,CM83+CN82,CM83)</f>
        <v>0</v>
      </c>
      <c r="CO83" s="239" t="n">
        <f aca="false">IF(CN83=CN82,CO82,ABS(CN83+CO82))</f>
        <v>0</v>
      </c>
      <c r="CP83" s="241" t="n">
        <f aca="false">IF(CD83="NO",0,IF(CE83=0,0,CO83))</f>
        <v>0</v>
      </c>
      <c r="CQ83" s="244" t="str">
        <f aca="false">IF(BR83=0,"",CL83-CP83)</f>
        <v/>
      </c>
      <c r="CR83" s="244" t="str">
        <f aca="false">IF(BR83=0,"",CQ83/101.3)</f>
        <v/>
      </c>
      <c r="CS83" s="244" t="str">
        <f aca="false">IF(BR83=0,"",LOG(10/CR83))</f>
        <v/>
      </c>
      <c r="CT83" s="243" t="str">
        <f aca="false">IF(BR83=0,"",IF(SQRT(101.3/CQ83)&lt;=1.7,SQRT(101.3/CQ83),2.2/(1.2+(CQ83/101.3))))</f>
        <v/>
      </c>
      <c r="CU83" s="244" t="str">
        <f aca="false">IF(BR83=0,"",1.7/(0.7+CR83))</f>
        <v/>
      </c>
      <c r="CV83" s="244" t="str">
        <f aca="false">IF(BR83=0,"",IF(CR83&gt;=0.25,0.77*LOG(20/CR83),""))</f>
        <v/>
      </c>
      <c r="CW83" s="244" t="str">
        <f aca="false">IF(BR83=0,"",32.5/(10.2+20.3*CR83))</f>
        <v/>
      </c>
      <c r="CX83" s="244" t="str">
        <f aca="false">IF(BR83=0,"",1-1.25*LOG(CR83))</f>
        <v/>
      </c>
      <c r="CY83" s="244" t="str">
        <f aca="false">IF(BR83=0,"",IF(CR83&lt;1,1-1.41*LOG(CR83),1+0.92*LOG(CR83)))</f>
        <v/>
      </c>
      <c r="CZ83" s="244" t="str">
        <f aca="false">IF(BR83=0,"",2/(1+CR83))</f>
        <v/>
      </c>
      <c r="DA83" s="244" t="str">
        <f aca="false">IF(BR83=0,"",IF(CR83&lt;=0.75,4/(1+4*CR83),4/(3.25+CR83)))</f>
        <v/>
      </c>
      <c r="DB83" s="244" t="str">
        <f aca="false">IF(BR83=0,"",CT83)</f>
        <v/>
      </c>
      <c r="DC83" s="244" t="str">
        <f aca="false">IF(BR83=0,"",DB83*CC83)</f>
        <v/>
      </c>
      <c r="DD83" s="244"/>
      <c r="DE83" s="244" t="str">
        <f aca="false">IF(BR83=0,"",0.193*(CC83/(CQ83*0.001))^0.689)</f>
        <v/>
      </c>
      <c r="DF83" s="244" t="str">
        <f aca="false">IF(BR83=0,"",IF(AS83=$AX$4,(0.1348118*CC83 - 0.0383065)*98.0665,""))</f>
        <v/>
      </c>
      <c r="DG83" s="244" t="str">
        <f aca="false">IF(BR83=0,"",IF(AS83=$AX$4,DF83/2,""))</f>
        <v/>
      </c>
      <c r="DH83" s="244" t="str">
        <f aca="false">IF(BR83=0,"",IF(DC83&lt;=15,12*(DC83+6),40+12*(DC83-6)))</f>
        <v/>
      </c>
      <c r="DI83" s="244" t="str">
        <f aca="false">IF(BR83=0,"",IF(CD83="SI",5*(DC83+15),((3.3*(DC83+15))+(4*(DC83+12)))/2))</f>
        <v/>
      </c>
      <c r="DJ83" s="244" t="str">
        <f aca="false">IF(BR83=0,"",8*DC83)</f>
        <v/>
      </c>
      <c r="DK83" s="244" t="str">
        <f aca="false">IF(BR83=0,"",215+(10.6*DC83))</f>
        <v/>
      </c>
      <c r="DL83" s="244" t="str">
        <f aca="false">IF(BR83=0,"",10*(7.5+(0.5*DC83)))</f>
        <v/>
      </c>
      <c r="DM83" s="244" t="str">
        <f aca="false">IF(BR83=0,"",8*DC83)</f>
        <v/>
      </c>
      <c r="DN83" s="244" t="str">
        <f aca="false">IF(AW83=" "," ",IF(DC83=""," ",IF(DC83&lt;4,10*10.2,IF(DC83=4,12*10.2,IF(DC83&lt;10,17.5*10.5,IF(DC83=10,15*10.2,IF(DC83&lt;30,22.5*10.2,IF(DC83=30,35*10.2,IF(DC83&lt;50,40*10.2,IF(DC83=50,50*10.2,55*10.2))))))))))</f>
        <v> </v>
      </c>
      <c r="DO83" s="244" t="str">
        <f aca="false">IF(BR83=0,"",7*SQRT(DC83)*10.1972)</f>
        <v/>
      </c>
      <c r="DP83" s="244" t="str">
        <f aca="false">IF(BR83=0,"",IF(AS83=$AX$4,5*CC83,""))</f>
        <v/>
      </c>
      <c r="DQ83" s="244" t="str">
        <f aca="false">IF(AW83=" "," ",IF(DC83=""," ",IF(DC83&lt;2,4*10.2,IF(DC83=2,6*10.2,IF(DC83&lt;4,12*10.2,IF(DC83=4,20*10.2,IF(DC83&lt;8,30*10.2,IF(DC83=8,35*10.2,IF(DC83&lt;15,40*10.2,IF(DC83=15,42*10.2,IF(DC83&lt;30,45*10.2,IF(DC83=30,50*10.2,70*10.2))))))))))))</f>
        <v> </v>
      </c>
      <c r="DR83" s="244" t="str">
        <f aca="false">IF(BR83=0,"",IF(AS83=$AX$4,220*DP83*0.0101972,""))</f>
        <v/>
      </c>
      <c r="DS83" s="271" t="str">
        <f aca="false">IF(BR83=0,"",IF(AS83=$AX$7,(SUM(DH83:DO83)-MIN(DH83:DO83)-MAX(DH83:DO83))/6,(SUM(DO83:DR83)-MIN(DO83:DR83)-MAX(DO83:DR83))/2))</f>
        <v/>
      </c>
      <c r="DT83" s="244" t="str">
        <f aca="false">IF(AW83=" "," ",IF(DC83=""," ",IF(DC83&lt;4,0.2,IF(DC83=4,0.27,IF(DC83&lt;10,0.33,IF(DC83=10,0.35,IF(DC83&lt;30,0.36,IF(DC83=30,0.37,IF(DC83&lt;50,0.38,IF(DC83=50,0.4,0.45))))))))))</f>
        <v> </v>
      </c>
      <c r="DU83" s="272" t="str">
        <f aca="false">IF(AW83=" "," ",IF(CC83=""," ",IF(CC83&lt;2,0.2,IF(CC83=2,0.23,IF(CC83&lt;4,0.26,IF(CC83=4,0.29,IF(CC83&lt;8,0.32,IF(CC83=8,0.35,IF(CC83&lt;15,0.38,IF(CC83=15,0.41,IF(CC83&lt;30,0.44,IF(CC83=30,0.47,0.5))))))))))))</f>
        <v> </v>
      </c>
      <c r="DV83" s="244" t="str">
        <f aca="false">IF(BR83=0,"",IF(AS83=$AX$3,DT83,DU83))</f>
        <v/>
      </c>
      <c r="DW83" s="244" t="str">
        <f aca="false">IF(BR83=0,"",IF(DC83&gt;15,15+0.5*(DC83-15),DC83))</f>
        <v/>
      </c>
      <c r="DX83" s="244" t="str">
        <f aca="false">IF(BR83=0,"",IF($S$12="SI",IF(CD83="NO",IF($AD$12&gt;(BO83+1.5*$ED$15),1,0.5),0.5),1))</f>
        <v/>
      </c>
      <c r="DY83" s="244" t="str">
        <f aca="false">IF(BR83=0,"",IF($S$12="SI",IF(CD83="NO",IF($AD$12&gt;(BO83+1.5*$EE$15),1,0.5),0.5),1))</f>
        <v/>
      </c>
      <c r="DZ83" s="244" t="str">
        <f aca="false">IF(BR83=0,"",IF($S$12="SI",IF(CD83="NO",IF($AD$12&gt;(BO83+1.5*$EF$15),1,0.5),0.5),1))</f>
        <v/>
      </c>
      <c r="EA83" s="244" t="str">
        <f aca="false">IF(BR83=0,"",IF($S$12="SI",IF(CD83="NO",IF($AD$12&gt;(BO83+1.5*$ED$15),1,0.5),IF($AD$12=BO83,1,0.5)),1))</f>
        <v/>
      </c>
      <c r="EB83" s="244" t="str">
        <f aca="false">IF(BR83=0,"",IF($S$12="SI",IF(CD83="NO",IF($AD$12&gt;(BO83+1.5*$EE$15),1,0.5),IF($AD$12=BO83,1,0.5)),1))</f>
        <v/>
      </c>
      <c r="EC83" s="244" t="str">
        <f aca="false">IF(BR83=0,"",IF($S$12="SI",IF(CD83="NO",IF($AD$12&gt;(BO83+1.5*$EF$15),1,0.5),IF($AD$12=BO83,1,0.5)),1))</f>
        <v/>
      </c>
      <c r="ED83" s="244" t="str">
        <f aca="false">IF(BR83=0,"",(DW83*($ED$15/10)*(DX83+EA83*(BO83/$ED$15))*1)/3)</f>
        <v/>
      </c>
      <c r="EE83" s="244" t="str">
        <f aca="false">IF(BR83=0,"",(DW83*($EE$15/10)*(DY83+EB83*(BO83/$EE$15))*1)/3)</f>
        <v/>
      </c>
      <c r="EF83" s="244" t="str">
        <f aca="false">IF(BR83=0,"",(DW83*($EF$15/10)*(DZ83+EC83*(BO83/$EF$15))*1)/3)</f>
        <v/>
      </c>
      <c r="EG83" s="273" t="str">
        <f aca="false">IF(BR83=0,"",IF(CD83="SI",0.5,1))</f>
        <v/>
      </c>
      <c r="EH83" s="244" t="str">
        <f aca="false">IF(BR83=0,"",IF((1+0.33*(BO83/$ED$15))&lt;=1.33,(1+0.33*(BO83/$ED$15)),1.33))</f>
        <v/>
      </c>
      <c r="EI83" s="244" t="str">
        <f aca="false">IF(BR83=0,"",IF((1+0.33*(BO83/$EE$15))&lt;=1.33,(1+0.33*(BO83/$EE$15)),1.33))</f>
        <v/>
      </c>
      <c r="EJ83" s="244" t="str">
        <f aca="false">IF(BR83=0,"",IF((1+0.33*(BO83/$EF$15))&lt;=1.33,(1+0.33*(BO83/$EF$15)),1.33))</f>
        <v/>
      </c>
      <c r="EK83" s="244" t="str">
        <f aca="false">IF(BR83=0,"",IF($ED$15&lt;=1.2,((20*DC83*EG83*EH83)/3)*0.010197,((12.5*DC83*((($ED$15+0.3)^2)/$ED$15)*EG83*EH83)/3)*0.010197))</f>
        <v/>
      </c>
      <c r="EL83" s="244" t="str">
        <f aca="false">IF(BR83=0,"",IF($EE$15&lt;=1.2,((20*DC83*EG83*EI83)/3)*0.010197,((12.5*DC83*((($EE$15+0.3)^2)/$EE$15)*EG83*EI83)/3)*0.010197))</f>
        <v/>
      </c>
      <c r="EM83" s="244" t="str">
        <f aca="false">IF(BR83=0,"",IF($EF$15&lt;=1.2,((20*DC83*EG83*EJ83)/3)*0.010197,((12.5*DC83*((($EF$15+0.3)^2)/$EF$15)*EG83*EJ83)/3)*0.010197))</f>
        <v/>
      </c>
      <c r="EN83" s="248" t="str">
        <f aca="false">IF(BR83=0,"",SQRT(12*CC83)+25)</f>
        <v/>
      </c>
      <c r="EO83" s="248" t="str">
        <f aca="false">IF(BR83=0,"",28.5+0.25*CC83)</f>
        <v/>
      </c>
      <c r="EP83" s="248" t="str">
        <f aca="false">IF(BR83=0,"",SQRT(20*CC83)+15)</f>
        <v/>
      </c>
      <c r="EQ83" s="248" t="str">
        <f aca="false">IF(BR83=0,"",23.7+0.57*CC83-0.0006*CC83*CC83)</f>
        <v/>
      </c>
      <c r="ER83" s="248" t="str">
        <f aca="false">IF(BR83=0,"",15+SQRT(12.5*DC83))</f>
        <v/>
      </c>
      <c r="ES83" s="248" t="str">
        <f aca="false">IF(BR83=0,"",3.5*SQRT(CC83)+20)</f>
        <v/>
      </c>
      <c r="ET83" s="248" t="str">
        <f aca="false">IF(BR83=0,"",27.1+0.3*DC83-0.00054*DC83*DC83)</f>
        <v/>
      </c>
      <c r="EU83" s="248" t="str">
        <f aca="false">IF(BR83=0,"",SQRT(20*CC83)+20)</f>
        <v/>
      </c>
      <c r="EV83" s="248" t="str">
        <f aca="false">IF(BR83=0,"",12.79+SQRT(25.86*CC83))</f>
        <v/>
      </c>
      <c r="EW83" s="248" t="str">
        <f aca="false">IF(BR83=0,"",DEGREES(_xlfn.ACOT((CC83/(12.2+20.3*CR83))^0.34)))</f>
        <v/>
      </c>
      <c r="EX83" s="248" t="str">
        <f aca="false">IF(BR83=0,"",24+(5.77*LN(0.17*DC83)))</f>
        <v/>
      </c>
      <c r="EY83" s="248" t="str">
        <f aca="false">IF(BR83=0,"",(SUM(EN83:EX83)-MIN(EN83:EX83)-MAX(EN83:EX83))/9)</f>
        <v/>
      </c>
      <c r="EZ83" s="248" t="str">
        <f aca="false">IF(BR83=0,"", -0.0000000034*CC83^6 + 0.0000008305*CC83^5 - 0.0000741842*CC83^4 + 0.0030204278*CC83^3 - 0.0541594733*CC83^2 + 0.8083147848*CC83 - 0.6182191243)</f>
        <v/>
      </c>
      <c r="FA83" s="249" t="str">
        <f aca="false">IF(BR83=0,"",(0.134811827956989*CC83 - 0.0383064516129019)/2)</f>
        <v/>
      </c>
      <c r="FB83" s="249" t="str">
        <f aca="false">IF(BR83=0,"",CC83*0.065)</f>
        <v/>
      </c>
      <c r="FC83" s="249" t="str">
        <f aca="false">IF(BR83=0,"",(CC83*0.12*0.48)*SQRT((1+SIN(EZ83*((2*PI())/360))/(1-SIN(EZ83*((2*PI())/360))))))</f>
        <v/>
      </c>
      <c r="FD83" s="249" t="str">
        <f aca="false">IF(BR83=0,"",(CC83/8)/2)</f>
        <v/>
      </c>
      <c r="FE83" s="249" t="str">
        <f aca="false">IF(BR83=0,"",(SUM(FA83:FD83)-MIN(FA83:FD83)-MAX(FA83:FD83))/2)</f>
        <v/>
      </c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</row>
    <row r="84" customFormat="false" ht="9.75" hidden="false" customHeight="true" outlineLevel="0" collapsed="false">
      <c r="A84" s="197" t="n">
        <f aca="false">ROUND(A83+0.1,1)</f>
        <v>6.7</v>
      </c>
      <c r="B84" s="250"/>
      <c r="C84" s="251"/>
      <c r="D84" s="251"/>
      <c r="E84" s="199"/>
      <c r="F84" s="200"/>
      <c r="G84" s="254"/>
      <c r="H84" s="284"/>
      <c r="I84" s="285"/>
      <c r="J84" s="308"/>
      <c r="K84" s="309"/>
      <c r="L84" s="310"/>
      <c r="M84" s="276"/>
      <c r="N84" s="277"/>
      <c r="O84" s="277"/>
      <c r="P84" s="277"/>
      <c r="Q84" s="293"/>
      <c r="R84" s="304"/>
      <c r="S84" s="305"/>
      <c r="T84" s="295"/>
      <c r="U84" s="295"/>
      <c r="V84" s="296"/>
      <c r="W84" s="296"/>
      <c r="X84" s="296"/>
      <c r="Y84" s="296"/>
      <c r="Z84" s="296"/>
      <c r="AA84" s="296"/>
      <c r="AB84" s="297"/>
      <c r="AC84" s="298"/>
      <c r="AD84" s="299"/>
      <c r="AE84" s="298"/>
      <c r="AF84" s="300"/>
      <c r="AG84" s="267"/>
      <c r="AH84" s="267"/>
      <c r="AI84" s="241"/>
      <c r="AJ84" s="241"/>
      <c r="AK84" s="266"/>
      <c r="AL84" s="266"/>
      <c r="AM84" s="268"/>
      <c r="AN84" s="250"/>
      <c r="AO84" s="251"/>
      <c r="AP84" s="251"/>
      <c r="AQ84" s="199"/>
      <c r="AR84" s="200"/>
      <c r="AS84" s="269" t="s">
        <v>13</v>
      </c>
      <c r="AT84" s="221"/>
      <c r="AU84" s="269"/>
      <c r="AV84" s="269"/>
      <c r="AW84" s="270" t="n">
        <f aca="false">+K84+L84</f>
        <v>0</v>
      </c>
      <c r="AX84" s="270" t="str">
        <f aca="false">IF(AS84="&gt;50","CONSISTENCIA",IF(AS84="&lt;50","COMPACIDAD"," "))</f>
        <v>COMPACIDAD</v>
      </c>
      <c r="AY84" s="225" t="str">
        <f aca="false">IF(AS84="&gt;50",AZ84,IF(AS84="&lt;50",BA84," "))</f>
        <v> </v>
      </c>
      <c r="AZ84" s="224" t="str">
        <f aca="false">IF(AW84=" "," ",IF(CC84=""," ",IF(CC84&lt;2,"MUY BLANDA",IF(CC84=2,"MUY BLANDA A BLANDA",IF(CC84&lt;4,"BLANDA",IF(CC84=4,"BLANDA A MEDIA",IF(CC84&lt;8,"MEDIA",IF(CC84=8,"MEDIA A FIRME",IF(CC84&lt;15,"FIRME",IF(CC84=15,"FIRME A MUY FIRME",IF(CC84&lt;30,"MUY FIRME",IF(CC84=30,"MUY FIRME A DURA","DURA"))))))))))))</f>
        <v> </v>
      </c>
      <c r="BA84" s="225" t="str">
        <f aca="false">IF(AW84=" "," ",IF(DC84=""," ",IF(DC84&lt;4,"MUY SUELTA",IF(DC84=4,"MUY SUELTA A SUELTA",IF(DC84&lt;10,"SUELTA",IF(DC84=10,"SUELTA A MEDIA",IF(DC84&lt;30,"MEDIA",IF(DC84=30,"MEDIA A DENSO",IF(DC84&lt;50,"DENSO",IF(DC84=50,"DENSO MUY DENSO","MUY DENSO"))))))))))</f>
        <v> </v>
      </c>
      <c r="BB84" s="226" t="str">
        <f aca="false">IF(BR85=0,"",CQ85*0.0101972)</f>
        <v/>
      </c>
      <c r="BC84" s="227" t="n">
        <f aca="false">+BC83+0.1</f>
        <v>6.69999999999999</v>
      </c>
      <c r="BD84" s="227" t="str">
        <f aca="false">IF(BC84&lt;=$AN$10,BC84,"")</f>
        <v/>
      </c>
      <c r="BE84" s="228" t="n">
        <f aca="false">ISNUMBER(BD84)</f>
        <v>0</v>
      </c>
      <c r="BF84" s="229" t="str">
        <f aca="false">MID(M84,1,1)</f>
        <v/>
      </c>
      <c r="BG84" s="230" t="str">
        <f aca="false">IF(BF84="S","",IF(BF84="G","",MID(M84,2,1)))</f>
        <v/>
      </c>
      <c r="BH84" s="231" t="str">
        <f aca="false">CONCATENATE(BF84,BG84)</f>
        <v/>
      </c>
      <c r="BI84" s="6" t="str">
        <f aca="false">IF(BE84=FALSE(),"",IF(BH84="",BI83,BH84))</f>
        <v/>
      </c>
      <c r="BJ84" s="74" t="str">
        <f aca="false">IF(OR(BI84="S",BI84="G"),BI84,"X")</f>
        <v>X</v>
      </c>
      <c r="BK84" s="74" t="s">
        <v>244</v>
      </c>
      <c r="BL84" s="307" t="e">
        <f aca="false">INDEX(sim_0,MATCH($BJ$84,granular,0))</f>
        <v>#NAME?</v>
      </c>
      <c r="BM84" s="307"/>
      <c r="BN84" s="6"/>
      <c r="BO84" s="191" t="n">
        <f aca="false">BO83+0.1</f>
        <v>6.69999999999999</v>
      </c>
      <c r="BP84" s="233" t="e">
        <f aca="false">IF(AW84=0,NA(),IF(AS84=$AX$3,ROUND(DC84,0),NA()))</f>
        <v>#N/A</v>
      </c>
      <c r="BQ84" s="31" t="e">
        <f aca="false">IF(AW84=0,NA(),IF(AS84=$AX$4,ROUND(CC84,0),NA()))</f>
        <v>#N/A</v>
      </c>
      <c r="BR84" s="234" t="n">
        <f aca="false">+AW84</f>
        <v>0</v>
      </c>
      <c r="BS84" s="235" t="str">
        <f aca="false">IF(BR84=0,"", -0.00000000016128755327*CC84^6 + 0.00000006709386362421*CC84^5 - 0.0000106217678052217*CC84^4 + 0.00081068114193385*CC84^3 - 0.0314027378159951*CC84^2 + 0.649796593937842*CC84 + 13.7888866455022)</f>
        <v/>
      </c>
      <c r="BT84" s="235" t="str">
        <f aca="false">IF(BR84=0,"",-0.00000000014625939695*CC84^6 + 0.00000004971732060241*CC84^5 - 0.000006683744342031*CC84^4 + 0.0004563177378098*CC84^3 - 0.0171727530635803*CC84^2 + 0.444529932876435*CC84 + 15.6692518940565)</f>
        <v/>
      </c>
      <c r="BU84" s="236" t="str">
        <f aca="false">IF(BR84=0,"", -0.0000000008152265738*BR84^6 + 0.00000022764320256987*BR84^5 - 0.0000248205675927705*BR84^4 + 0.00133186623684865*BR84^3 - 0.0368442570441677*BR84^2 + 0.580111565569094*BR84 + 14.0417598296107)</f>
        <v/>
      </c>
      <c r="BV84" s="236" t="str">
        <f aca="false">IF(BR84=0,"", -0.00000000004321395721*BR84^6 + 0.00000002531844275498*BR84^5 - 0.00000369428022780862*BR84^4 + 0.00020283665900125*BR84^3 - 0.00462426256803268*BR84^2 + 0.139572935065453*BR84 + 15.4475338156923)</f>
        <v/>
      </c>
      <c r="BW84" s="236" t="str">
        <f aca="false">IF(BR84=0,"",-0.00000000033126390082*BR84^6 + 0.00000010463660614506*BR84^5 - 0.0000129629592998707*BR84^4 + 0.000803946335250767*BR84^3 - 0.0270257140395994*BR84^2 + 0.562590210721552*BR84+ 12.1254107606419)</f>
        <v/>
      </c>
      <c r="BX84" s="236" t="str">
        <f aca="false">IF(BR84=0,"",-0.00000000002593504955*BR84^6 + 0.00000002430495156704*BR84^5 - 0.00000386103271086364*BR84^4 + 0.000214416118986322*BR84^3 - 0.0047271462612021*BR84^2 + 0.156696175741135*BR84 + 15.4598891949502)</f>
        <v/>
      </c>
      <c r="BY84" s="234" t="str">
        <f aca="false">IF(BR84=0,"",$BS$2)</f>
        <v/>
      </c>
      <c r="BZ84" s="234" t="str">
        <f aca="false">IF(BR84=0,"",$BS$3)</f>
        <v/>
      </c>
      <c r="CA84" s="234" t="str">
        <f aca="false">IF(BR84=0,"",$BS$4)</f>
        <v/>
      </c>
      <c r="CB84" s="235" t="str">
        <f aca="false">IF(BR84=0,"",IF(AND(BO84&gt;=0,BO84&lt;4),0.75,IF(AND(BO84&gt;=4,BO84&lt;6),0.85,IF(AND(BO84&gt;=6,BO84&lt;=10),0.95,1))))</f>
        <v/>
      </c>
      <c r="CC84" s="234" t="str">
        <f aca="false">IF(BR84=0,"",BR84*BY84*BZ84*CA84*CB84/60)</f>
        <v/>
      </c>
      <c r="CD84" s="238" t="str">
        <f aca="false">IF(BR84=0,"",IF($S$12="NO","NO",IF($AD$12&lt;=BO84,"SI","NO")))</f>
        <v/>
      </c>
      <c r="CE84" s="235" t="n">
        <f aca="false">IF(BR84=0,0,AB84)</f>
        <v>0</v>
      </c>
      <c r="CF84" s="235" t="n">
        <f aca="false">IF(CE84&gt;0,BO84,0)</f>
        <v>0</v>
      </c>
      <c r="CG84" s="239" t="n">
        <f aca="false">IF(CF84=0,CF84+CG83,CF84)</f>
        <v>0</v>
      </c>
      <c r="CH84" s="239" t="n">
        <f aca="false">IF(CG84=CG83,CH83,ABS(CG84-CG83))</f>
        <v>0</v>
      </c>
      <c r="CI84" s="239" t="n">
        <f aca="false">+CE84*CH84</f>
        <v>0</v>
      </c>
      <c r="CJ84" s="239" t="n">
        <f aca="false">IF(CI84=0,CI84+CJ83,CI84)</f>
        <v>0</v>
      </c>
      <c r="CK84" s="239" t="n">
        <f aca="false">IF(CJ84=CJ83,CK83,ABS(CJ84+CK83))</f>
        <v>0</v>
      </c>
      <c r="CL84" s="241" t="n">
        <f aca="false">IF(CE84=0,0,CK84)</f>
        <v>0</v>
      </c>
      <c r="CM84" s="239" t="n">
        <f aca="false">IF(CE84=0,0,CH84*9.81)</f>
        <v>0</v>
      </c>
      <c r="CN84" s="239" t="n">
        <f aca="false">IF(CM84=0,CM84+CN83,CM84)</f>
        <v>0</v>
      </c>
      <c r="CO84" s="239" t="n">
        <f aca="false">IF(CN84=CN83,CO83,ABS(CN84+CO83))</f>
        <v>0</v>
      </c>
      <c r="CP84" s="241" t="n">
        <f aca="false">IF(CD84="NO",0,IF(CE84=0,0,CO84))</f>
        <v>0</v>
      </c>
      <c r="CQ84" s="244" t="str">
        <f aca="false">IF(BR84=0,"",CL84-CP84)</f>
        <v/>
      </c>
      <c r="CR84" s="244" t="str">
        <f aca="false">IF(BR84=0,"",CQ84/101.3)</f>
        <v/>
      </c>
      <c r="CS84" s="244" t="str">
        <f aca="false">IF(BR84=0,"",LOG(10/CR84))</f>
        <v/>
      </c>
      <c r="CT84" s="243" t="str">
        <f aca="false">IF(BR84=0,"",IF(SQRT(101.3/CQ84)&lt;=1.7,SQRT(101.3/CQ84),2.2/(1.2+(CQ84/101.3))))</f>
        <v/>
      </c>
      <c r="CU84" s="244" t="str">
        <f aca="false">IF(BR84=0,"",1.7/(0.7+CR84))</f>
        <v/>
      </c>
      <c r="CV84" s="244" t="str">
        <f aca="false">IF(BR84=0,"",IF(CR84&gt;=0.25,0.77*LOG(20/CR84),""))</f>
        <v/>
      </c>
      <c r="CW84" s="244" t="str">
        <f aca="false">IF(BR84=0,"",32.5/(10.2+20.3*CR84))</f>
        <v/>
      </c>
      <c r="CX84" s="244" t="str">
        <f aca="false">IF(BR84=0,"",1-1.25*LOG(CR84))</f>
        <v/>
      </c>
      <c r="CY84" s="244" t="str">
        <f aca="false">IF(BR84=0,"",IF(CR84&lt;1,1-1.41*LOG(CR84),1+0.92*LOG(CR84)))</f>
        <v/>
      </c>
      <c r="CZ84" s="244" t="str">
        <f aca="false">IF(BR84=0,"",2/(1+CR84))</f>
        <v/>
      </c>
      <c r="DA84" s="244" t="str">
        <f aca="false">IF(BR84=0,"",IF(CR84&lt;=0.75,4/(1+4*CR84),4/(3.25+CR84)))</f>
        <v/>
      </c>
      <c r="DB84" s="244" t="str">
        <f aca="false">IF(BR84=0,"",CT84)</f>
        <v/>
      </c>
      <c r="DC84" s="244" t="str">
        <f aca="false">IF(BR84=0,"",DB84*CC84)</f>
        <v/>
      </c>
      <c r="DD84" s="244"/>
      <c r="DE84" s="244" t="str">
        <f aca="false">IF(BR84=0,"",0.193*(CC84/(CQ84*0.001))^0.689)</f>
        <v/>
      </c>
      <c r="DF84" s="244" t="str">
        <f aca="false">IF(BR84=0,"",IF(AS84=$AX$4,(0.1348118*CC84 - 0.0383065)*98.0665,""))</f>
        <v/>
      </c>
      <c r="DG84" s="244" t="str">
        <f aca="false">IF(BR84=0,"",IF(AS84=$AX$4,DF84/2,""))</f>
        <v/>
      </c>
      <c r="DH84" s="244" t="str">
        <f aca="false">IF(BR84=0,"",IF(DC84&lt;=15,12*(DC84+6),40+12*(DC84-6)))</f>
        <v/>
      </c>
      <c r="DI84" s="244" t="str">
        <f aca="false">IF(BR84=0,"",IF(CD84="SI",5*(DC84+15),((3.3*(DC84+15))+(4*(DC84+12)))/2))</f>
        <v/>
      </c>
      <c r="DJ84" s="244" t="str">
        <f aca="false">IF(BR84=0,"",8*DC84)</f>
        <v/>
      </c>
      <c r="DK84" s="244" t="str">
        <f aca="false">IF(BR84=0,"",215+(10.6*DC84))</f>
        <v/>
      </c>
      <c r="DL84" s="244" t="str">
        <f aca="false">IF(BR84=0,"",10*(7.5+(0.5*DC84)))</f>
        <v/>
      </c>
      <c r="DM84" s="244" t="str">
        <f aca="false">IF(BR84=0,"",8*DC84)</f>
        <v/>
      </c>
      <c r="DN84" s="244" t="str">
        <f aca="false">IF(AW84=" "," ",IF(DC84=""," ",IF(DC84&lt;4,10*10.2,IF(DC84=4,12*10.2,IF(DC84&lt;10,17.5*10.5,IF(DC84=10,15*10.2,IF(DC84&lt;30,22.5*10.2,IF(DC84=30,35*10.2,IF(DC84&lt;50,40*10.2,IF(DC84=50,50*10.2,55*10.2))))))))))</f>
        <v> </v>
      </c>
      <c r="DO84" s="244" t="str">
        <f aca="false">IF(BR84=0,"",7*SQRT(DC84)*10.1972)</f>
        <v/>
      </c>
      <c r="DP84" s="244" t="str">
        <f aca="false">IF(BR84=0,"",IF(AS84=$AX$4,5*CC84,""))</f>
        <v/>
      </c>
      <c r="DQ84" s="244" t="str">
        <f aca="false">IF(AW84=" "," ",IF(DC84=""," ",IF(DC84&lt;2,4*10.2,IF(DC84=2,6*10.2,IF(DC84&lt;4,12*10.2,IF(DC84=4,20*10.2,IF(DC84&lt;8,30*10.2,IF(DC84=8,35*10.2,IF(DC84&lt;15,40*10.2,IF(DC84=15,42*10.2,IF(DC84&lt;30,45*10.2,IF(DC84=30,50*10.2,70*10.2))))))))))))</f>
        <v> </v>
      </c>
      <c r="DR84" s="244" t="str">
        <f aca="false">IF(BR84=0,"",IF(AS84=$AX$4,220*DP84*0.0101972,""))</f>
        <v/>
      </c>
      <c r="DS84" s="271" t="str">
        <f aca="false">IF(BR84=0,"",IF(AS84=$AX$7,(SUM(DH84:DO84)-MIN(DH84:DO84)-MAX(DH84:DO84))/6,(SUM(DO84:DR84)-MIN(DO84:DR84)-MAX(DO84:DR84))/2))</f>
        <v/>
      </c>
      <c r="DT84" s="244" t="str">
        <f aca="false">IF(AW84=" "," ",IF(DC84=""," ",IF(DC84&lt;4,0.2,IF(DC84=4,0.27,IF(DC84&lt;10,0.33,IF(DC84=10,0.35,IF(DC84&lt;30,0.36,IF(DC84=30,0.37,IF(DC84&lt;50,0.38,IF(DC84=50,0.4,0.45))))))))))</f>
        <v> </v>
      </c>
      <c r="DU84" s="272" t="str">
        <f aca="false">IF(AW84=" "," ",IF(CC84=""," ",IF(CC84&lt;2,0.2,IF(CC84=2,0.23,IF(CC84&lt;4,0.26,IF(CC84=4,0.29,IF(CC84&lt;8,0.32,IF(CC84=8,0.35,IF(CC84&lt;15,0.38,IF(CC84=15,0.41,IF(CC84&lt;30,0.44,IF(CC84=30,0.47,0.5))))))))))))</f>
        <v> </v>
      </c>
      <c r="DV84" s="244" t="str">
        <f aca="false">IF(BR84=0,"",IF(AS84=$AX$3,DT84,DU84))</f>
        <v/>
      </c>
      <c r="DW84" s="244" t="str">
        <f aca="false">IF(BR84=0,"",IF(DC84&gt;15,15+0.5*(DC84-15),DC84))</f>
        <v/>
      </c>
      <c r="DX84" s="244" t="str">
        <f aca="false">IF(BR84=0,"",IF($S$12="SI",IF(CD84="NO",IF($AD$12&gt;(BO84+1.5*$ED$15),1,0.5),0.5),1))</f>
        <v/>
      </c>
      <c r="DY84" s="244" t="str">
        <f aca="false">IF(BR84=0,"",IF($S$12="SI",IF(CD84="NO",IF($AD$12&gt;(BO84+1.5*$EE$15),1,0.5),0.5),1))</f>
        <v/>
      </c>
      <c r="DZ84" s="244" t="str">
        <f aca="false">IF(BR84=0,"",IF($S$12="SI",IF(CD84="NO",IF($AD$12&gt;(BO84+1.5*$EF$15),1,0.5),0.5),1))</f>
        <v/>
      </c>
      <c r="EA84" s="244" t="str">
        <f aca="false">IF(BR84=0,"",IF($S$12="SI",IF(CD84="NO",IF($AD$12&gt;(BO84+1.5*$ED$15),1,0.5),IF($AD$12=BO84,1,0.5)),1))</f>
        <v/>
      </c>
      <c r="EB84" s="244" t="str">
        <f aca="false">IF(BR84=0,"",IF($S$12="SI",IF(CD84="NO",IF($AD$12&gt;(BO84+1.5*$EE$15),1,0.5),IF($AD$12=BO84,1,0.5)),1))</f>
        <v/>
      </c>
      <c r="EC84" s="244" t="str">
        <f aca="false">IF(BR84=0,"",IF($S$12="SI",IF(CD84="NO",IF($AD$12&gt;(BO84+1.5*$EF$15),1,0.5),IF($AD$12=BO84,1,0.5)),1))</f>
        <v/>
      </c>
      <c r="ED84" s="244" t="str">
        <f aca="false">IF(BR84=0,"",(DW84*($ED$15/10)*(DX84+EA84*(BO84/$ED$15))*1)/3)</f>
        <v/>
      </c>
      <c r="EE84" s="244" t="str">
        <f aca="false">IF(BR84=0,"",(DW84*($EE$15/10)*(DY84+EB84*(BO84/$EE$15))*1)/3)</f>
        <v/>
      </c>
      <c r="EF84" s="244" t="str">
        <f aca="false">IF(BR84=0,"",(DW84*($EF$15/10)*(DZ84+EC84*(BO84/$EF$15))*1)/3)</f>
        <v/>
      </c>
      <c r="EG84" s="273" t="str">
        <f aca="false">IF(BR84=0,"",IF(CD84="SI",0.5,1))</f>
        <v/>
      </c>
      <c r="EH84" s="244" t="str">
        <f aca="false">IF(BR84=0,"",IF((1+0.33*(BO84/$ED$15))&lt;=1.33,(1+0.33*(BO84/$ED$15)),1.33))</f>
        <v/>
      </c>
      <c r="EI84" s="244" t="str">
        <f aca="false">IF(BR84=0,"",IF((1+0.33*(BO84/$EE$15))&lt;=1.33,(1+0.33*(BO84/$EE$15)),1.33))</f>
        <v/>
      </c>
      <c r="EJ84" s="244" t="str">
        <f aca="false">IF(BR84=0,"",IF((1+0.33*(BO84/$EF$15))&lt;=1.33,(1+0.33*(BO84/$EF$15)),1.33))</f>
        <v/>
      </c>
      <c r="EK84" s="244" t="str">
        <f aca="false">IF(BR84=0,"",IF($ED$15&lt;=1.2,((20*DC84*EG84*EH84)/3)*0.010197,((12.5*DC84*((($ED$15+0.3)^2)/$ED$15)*EG84*EH84)/3)*0.010197))</f>
        <v/>
      </c>
      <c r="EL84" s="244" t="str">
        <f aca="false">IF(BR84=0,"",IF($EE$15&lt;=1.2,((20*DC84*EG84*EI84)/3)*0.010197,((12.5*DC84*((($EE$15+0.3)^2)/$EE$15)*EG84*EI84)/3)*0.010197))</f>
        <v/>
      </c>
      <c r="EM84" s="244" t="str">
        <f aca="false">IF(BR84=0,"",IF($EF$15&lt;=1.2,((20*DC84*EG84*EJ84)/3)*0.010197,((12.5*DC84*((($EF$15+0.3)^2)/$EF$15)*EG84*EJ84)/3)*0.010197))</f>
        <v/>
      </c>
      <c r="EN84" s="248" t="str">
        <f aca="false">IF(BR84=0,"",SQRT(12*CC84)+25)</f>
        <v/>
      </c>
      <c r="EO84" s="248" t="str">
        <f aca="false">IF(BR84=0,"",28.5+0.25*CC84)</f>
        <v/>
      </c>
      <c r="EP84" s="248" t="str">
        <f aca="false">IF(BR84=0,"",SQRT(20*CC84)+15)</f>
        <v/>
      </c>
      <c r="EQ84" s="248" t="str">
        <f aca="false">IF(BR84=0,"",23.7+0.57*CC84-0.0006*CC84*CC84)</f>
        <v/>
      </c>
      <c r="ER84" s="248" t="str">
        <f aca="false">IF(BR84=0,"",15+SQRT(12.5*DC84))</f>
        <v/>
      </c>
      <c r="ES84" s="248" t="str">
        <f aca="false">IF(BR84=0,"",3.5*SQRT(CC84)+20)</f>
        <v/>
      </c>
      <c r="ET84" s="248" t="str">
        <f aca="false">IF(BR84=0,"",27.1+0.3*DC84-0.00054*DC84*DC84)</f>
        <v/>
      </c>
      <c r="EU84" s="248" t="str">
        <f aca="false">IF(BR84=0,"",SQRT(20*CC84)+20)</f>
        <v/>
      </c>
      <c r="EV84" s="248" t="str">
        <f aca="false">IF(BR84=0,"",12.79+SQRT(25.86*CC84))</f>
        <v/>
      </c>
      <c r="EW84" s="248" t="str">
        <f aca="false">IF(BR84=0,"",DEGREES(_xlfn.ACOT((CC84/(12.2+20.3*CR84))^0.34)))</f>
        <v/>
      </c>
      <c r="EX84" s="248" t="str">
        <f aca="false">IF(BR84=0,"",24+(5.77*LN(0.17*DC84)))</f>
        <v/>
      </c>
      <c r="EY84" s="248" t="str">
        <f aca="false">IF(BR84=0,"",(SUM(EN84:EX84)-MIN(EN84:EX84)-MAX(EN84:EX84))/9)</f>
        <v/>
      </c>
      <c r="EZ84" s="248" t="str">
        <f aca="false">IF(BR84=0,"", -0.0000000034*CC84^6 + 0.0000008305*CC84^5 - 0.0000741842*CC84^4 + 0.0030204278*CC84^3 - 0.0541594733*CC84^2 + 0.8083147848*CC84 - 0.6182191243)</f>
        <v/>
      </c>
      <c r="FA84" s="249" t="str">
        <f aca="false">IF(BR84=0,"",(0.134811827956989*CC84 - 0.0383064516129019)/2)</f>
        <v/>
      </c>
      <c r="FB84" s="249" t="str">
        <f aca="false">IF(BR84=0,"",CC84*0.065)</f>
        <v/>
      </c>
      <c r="FC84" s="249" t="str">
        <f aca="false">IF(BR84=0,"",(CC84*0.12*0.48)*SQRT((1+SIN(EZ84*((2*PI())/360))/(1-SIN(EZ84*((2*PI())/360))))))</f>
        <v/>
      </c>
      <c r="FD84" s="249" t="str">
        <f aca="false">IF(BR84=0,"",(CC84/8)/2)</f>
        <v/>
      </c>
      <c r="FE84" s="249" t="str">
        <f aca="false">IF(BR84=0,"",(SUM(FA84:FD84)-MIN(FA84:FD84)-MAX(FA84:FD84))/2)</f>
        <v/>
      </c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</row>
    <row r="85" customFormat="false" ht="9.75" hidden="false" customHeight="true" outlineLevel="0" collapsed="false">
      <c r="A85" s="197" t="n">
        <f aca="false">ROUND(A84+0.1,1)</f>
        <v>6.8</v>
      </c>
      <c r="B85" s="250" t="n">
        <f aca="false">+A85</f>
        <v>6.8</v>
      </c>
      <c r="C85" s="251"/>
      <c r="D85" s="251"/>
      <c r="E85" s="274"/>
      <c r="F85" s="253"/>
      <c r="G85" s="254"/>
      <c r="H85" s="284"/>
      <c r="I85" s="285"/>
      <c r="J85" s="308"/>
      <c r="K85" s="309"/>
      <c r="L85" s="310"/>
      <c r="M85" s="276"/>
      <c r="N85" s="277"/>
      <c r="O85" s="277"/>
      <c r="P85" s="277"/>
      <c r="Q85" s="293"/>
      <c r="R85" s="304"/>
      <c r="S85" s="305"/>
      <c r="T85" s="295"/>
      <c r="U85" s="295"/>
      <c r="V85" s="296"/>
      <c r="W85" s="296"/>
      <c r="X85" s="296"/>
      <c r="Y85" s="296"/>
      <c r="Z85" s="296"/>
      <c r="AA85" s="296"/>
      <c r="AB85" s="297"/>
      <c r="AC85" s="298"/>
      <c r="AD85" s="299"/>
      <c r="AE85" s="298"/>
      <c r="AF85" s="300"/>
      <c r="AG85" s="267"/>
      <c r="AH85" s="267"/>
      <c r="AI85" s="241"/>
      <c r="AJ85" s="241"/>
      <c r="AK85" s="266"/>
      <c r="AL85" s="266"/>
      <c r="AM85" s="268"/>
      <c r="AN85" s="250" t="n">
        <f aca="false">+AN83+0.2</f>
        <v>6.8</v>
      </c>
      <c r="AO85" s="251"/>
      <c r="AP85" s="251"/>
      <c r="AQ85" s="274"/>
      <c r="AR85" s="253"/>
      <c r="AS85" s="269" t="s">
        <v>13</v>
      </c>
      <c r="AT85" s="221"/>
      <c r="AU85" s="269"/>
      <c r="AV85" s="269"/>
      <c r="AW85" s="270" t="n">
        <f aca="false">+K85+L85</f>
        <v>0</v>
      </c>
      <c r="AX85" s="270" t="str">
        <f aca="false">IF(AS85="&gt;50","CONSISTENCIA",IF(AS85="&lt;50","COMPACIDAD"," "))</f>
        <v>COMPACIDAD</v>
      </c>
      <c r="AY85" s="225" t="str">
        <f aca="false">IF(AS85="&gt;50",AZ85,IF(AS85="&lt;50",BA85," "))</f>
        <v> </v>
      </c>
      <c r="AZ85" s="224" t="str">
        <f aca="false">IF(AW85=" "," ",IF(CC85=""," ",IF(CC85&lt;2,"MUY BLANDA",IF(CC85=2,"MUY BLANDA A BLANDA",IF(CC85&lt;4,"BLANDA",IF(CC85=4,"BLANDA A MEDIA",IF(CC85&lt;8,"MEDIA",IF(CC85=8,"MEDIA A FIRME",IF(CC85&lt;15,"FIRME",IF(CC85=15,"FIRME A MUY FIRME",IF(CC85&lt;30,"MUY FIRME",IF(CC85=30,"MUY FIRME A DURA","DURA"))))))))))))</f>
        <v> </v>
      </c>
      <c r="BA85" s="225" t="str">
        <f aca="false">IF(AW85=" "," ",IF(DC85=""," ",IF(DC85&lt;4,"MUY SUELTA",IF(DC85=4,"MUY SUELTA A SUELTA",IF(DC85&lt;10,"SUELTA",IF(DC85=10,"SUELTA A MEDIA",IF(DC85&lt;30,"MEDIA",IF(DC85=30,"MEDIA A DENSO",IF(DC85&lt;50,"DENSO",IF(DC85=50,"DENSO MUY DENSO","MUY DENSO"))))))))))</f>
        <v> </v>
      </c>
      <c r="BB85" s="226" t="str">
        <f aca="false">IF(BR86=0,"",CQ86*0.0101972)</f>
        <v/>
      </c>
      <c r="BC85" s="227" t="n">
        <f aca="false">+BC84+0.1</f>
        <v>6.79999999999999</v>
      </c>
      <c r="BD85" s="227" t="str">
        <f aca="false">IF(BC85&lt;=$AN$10,BC85,"")</f>
        <v/>
      </c>
      <c r="BE85" s="228" t="n">
        <f aca="false">ISNUMBER(BD85)</f>
        <v>0</v>
      </c>
      <c r="BF85" s="229" t="str">
        <f aca="false">MID(M85,1,1)</f>
        <v/>
      </c>
      <c r="BG85" s="230" t="str">
        <f aca="false">IF(BF85="S","",IF(BF85="G","",MID(M85,2,1)))</f>
        <v/>
      </c>
      <c r="BH85" s="231" t="str">
        <f aca="false">CONCATENATE(BF85,BG85)</f>
        <v/>
      </c>
      <c r="BI85" s="6" t="str">
        <f aca="false">IF(BE85=FALSE(),"",IF(BH85="",BI84,BH85))</f>
        <v/>
      </c>
      <c r="BJ85" s="74" t="str">
        <f aca="false">IF(OR(BI85="S",BI85="G"),BI85,"X")</f>
        <v>X</v>
      </c>
      <c r="BK85" s="74" t="s">
        <v>245</v>
      </c>
      <c r="BL85" s="307" t="e">
        <f aca="false">INDEX(sim_0,MATCH($BJ$85,granular,0))</f>
        <v>#NAME?</v>
      </c>
      <c r="BM85" s="307"/>
      <c r="BN85" s="6"/>
      <c r="BO85" s="191" t="n">
        <f aca="false">BO84+0.1</f>
        <v>6.79999999999999</v>
      </c>
      <c r="BP85" s="233" t="e">
        <f aca="false">IF(AW85=0,NA(),IF(AS85=$AX$3,ROUND(DC85,0),NA()))</f>
        <v>#N/A</v>
      </c>
      <c r="BQ85" s="31" t="e">
        <f aca="false">IF(AW85=0,NA(),IF(AS85=$AX$4,ROUND(CC85,0),NA()))</f>
        <v>#N/A</v>
      </c>
      <c r="BR85" s="234" t="n">
        <f aca="false">+AW85</f>
        <v>0</v>
      </c>
      <c r="BS85" s="235" t="str">
        <f aca="false">IF(BR85=0,"", -0.00000000016128755327*CC85^6 + 0.00000006709386362421*CC85^5 - 0.0000106217678052217*CC85^4 + 0.00081068114193385*CC85^3 - 0.0314027378159951*CC85^2 + 0.649796593937842*CC85 + 13.7888866455022)</f>
        <v/>
      </c>
      <c r="BT85" s="235" t="str">
        <f aca="false">IF(BR85=0,"",-0.00000000014625939695*CC85^6 + 0.00000004971732060241*CC85^5 - 0.000006683744342031*CC85^4 + 0.0004563177378098*CC85^3 - 0.0171727530635803*CC85^2 + 0.444529932876435*CC85 + 15.6692518940565)</f>
        <v/>
      </c>
      <c r="BU85" s="236" t="str">
        <f aca="false">IF(BR85=0,"", -0.0000000008152265738*BR85^6 + 0.00000022764320256987*BR85^5 - 0.0000248205675927705*BR85^4 + 0.00133186623684865*BR85^3 - 0.0368442570441677*BR85^2 + 0.580111565569094*BR85 + 14.0417598296107)</f>
        <v/>
      </c>
      <c r="BV85" s="236" t="str">
        <f aca="false">IF(BR85=0,"", -0.00000000004321395721*BR85^6 + 0.00000002531844275498*BR85^5 - 0.00000369428022780862*BR85^4 + 0.00020283665900125*BR85^3 - 0.00462426256803268*BR85^2 + 0.139572935065453*BR85 + 15.4475338156923)</f>
        <v/>
      </c>
      <c r="BW85" s="236" t="str">
        <f aca="false">IF(BR85=0,"",-0.00000000033126390082*BR85^6 + 0.00000010463660614506*BR85^5 - 0.0000129629592998707*BR85^4 + 0.000803946335250767*BR85^3 - 0.0270257140395994*BR85^2 + 0.562590210721552*BR85+ 12.1254107606419)</f>
        <v/>
      </c>
      <c r="BX85" s="236" t="str">
        <f aca="false">IF(BR85=0,"",-0.00000000002593504955*BR85^6 + 0.00000002430495156704*BR85^5 - 0.00000386103271086364*BR85^4 + 0.000214416118986322*BR85^3 - 0.0047271462612021*BR85^2 + 0.156696175741135*BR85 + 15.4598891949502)</f>
        <v/>
      </c>
      <c r="BY85" s="234" t="str">
        <f aca="false">IF(BR85=0,"",$BS$2)</f>
        <v/>
      </c>
      <c r="BZ85" s="234" t="str">
        <f aca="false">IF(BR85=0,"",$BS$3)</f>
        <v/>
      </c>
      <c r="CA85" s="234" t="str">
        <f aca="false">IF(BR85=0,"",$BS$4)</f>
        <v/>
      </c>
      <c r="CB85" s="235" t="str">
        <f aca="false">IF(BR85=0,"",IF(AND(BO85&gt;=0,BO85&lt;4),0.75,IF(AND(BO85&gt;=4,BO85&lt;6),0.85,IF(AND(BO85&gt;=6,BO85&lt;=10),0.95,1))))</f>
        <v/>
      </c>
      <c r="CC85" s="234" t="str">
        <f aca="false">IF(BR85=0,"",BR85*BY85*BZ85*CA85*CB85/60)</f>
        <v/>
      </c>
      <c r="CD85" s="238" t="str">
        <f aca="false">IF(BR85=0,"",IF($S$12="NO","NO",IF($AD$12&lt;=BO85,"SI","NO")))</f>
        <v/>
      </c>
      <c r="CE85" s="235" t="n">
        <f aca="false">IF(BR85=0,0,AB85)</f>
        <v>0</v>
      </c>
      <c r="CF85" s="235" t="n">
        <f aca="false">IF(CE85&gt;0,BO85,0)</f>
        <v>0</v>
      </c>
      <c r="CG85" s="239" t="n">
        <f aca="false">IF(CF85=0,CF85+CG84,CF85)</f>
        <v>0</v>
      </c>
      <c r="CH85" s="239" t="n">
        <f aca="false">IF(CG85=CG84,CH84,ABS(CG85-CG84))</f>
        <v>0</v>
      </c>
      <c r="CI85" s="239" t="n">
        <f aca="false">+CE85*CH85</f>
        <v>0</v>
      </c>
      <c r="CJ85" s="239" t="n">
        <f aca="false">IF(CI85=0,CI85+CJ84,CI85)</f>
        <v>0</v>
      </c>
      <c r="CK85" s="239" t="n">
        <f aca="false">IF(CJ85=CJ84,CK84,ABS(CJ85+CK84))</f>
        <v>0</v>
      </c>
      <c r="CL85" s="241" t="n">
        <f aca="false">IF(CE85=0,0,CK85)</f>
        <v>0</v>
      </c>
      <c r="CM85" s="239" t="n">
        <f aca="false">IF(CE85=0,0,CH85*9.81)</f>
        <v>0</v>
      </c>
      <c r="CN85" s="239" t="n">
        <f aca="false">IF(CM85=0,CM85+CN84,CM85)</f>
        <v>0</v>
      </c>
      <c r="CO85" s="239" t="n">
        <f aca="false">IF(CN85=CN84,CO84,ABS(CN85+CO84))</f>
        <v>0</v>
      </c>
      <c r="CP85" s="241" t="n">
        <f aca="false">IF(CD85="NO",0,IF(CE85=0,0,CO85))</f>
        <v>0</v>
      </c>
      <c r="CQ85" s="244" t="str">
        <f aca="false">IF(BR85=0,"",CL85-CP85)</f>
        <v/>
      </c>
      <c r="CR85" s="244" t="str">
        <f aca="false">IF(BR85=0,"",CQ85/101.3)</f>
        <v/>
      </c>
      <c r="CS85" s="244" t="str">
        <f aca="false">IF(BR85=0,"",LOG(10/CR85))</f>
        <v/>
      </c>
      <c r="CT85" s="243" t="str">
        <f aca="false">IF(BR85=0,"",IF(SQRT(101.3/CQ85)&lt;=1.7,SQRT(101.3/CQ85),2.2/(1.2+(CQ85/101.3))))</f>
        <v/>
      </c>
      <c r="CU85" s="244" t="str">
        <f aca="false">IF(BR85=0,"",1.7/(0.7+CR85))</f>
        <v/>
      </c>
      <c r="CV85" s="244" t="str">
        <f aca="false">IF(BR85=0,"",IF(CR85&gt;=0.25,0.77*LOG(20/CR85),""))</f>
        <v/>
      </c>
      <c r="CW85" s="244" t="str">
        <f aca="false">IF(BR85=0,"",32.5/(10.2+20.3*CR85))</f>
        <v/>
      </c>
      <c r="CX85" s="244" t="str">
        <f aca="false">IF(BR85=0,"",1-1.25*LOG(CR85))</f>
        <v/>
      </c>
      <c r="CY85" s="244" t="str">
        <f aca="false">IF(BR85=0,"",IF(CR85&lt;1,1-1.41*LOG(CR85),1+0.92*LOG(CR85)))</f>
        <v/>
      </c>
      <c r="CZ85" s="244" t="str">
        <f aca="false">IF(BR85=0,"",2/(1+CR85))</f>
        <v/>
      </c>
      <c r="DA85" s="244" t="str">
        <f aca="false">IF(BR85=0,"",IF(CR85&lt;=0.75,4/(1+4*CR85),4/(3.25+CR85)))</f>
        <v/>
      </c>
      <c r="DB85" s="244" t="str">
        <f aca="false">IF(BR85=0,"",CT85)</f>
        <v/>
      </c>
      <c r="DC85" s="244" t="str">
        <f aca="false">IF(BR85=0,"",DB85*CC85)</f>
        <v/>
      </c>
      <c r="DD85" s="244"/>
      <c r="DE85" s="244" t="str">
        <f aca="false">IF(BR85=0,"",0.193*(CC85/(CQ85*0.001))^0.689)</f>
        <v/>
      </c>
      <c r="DF85" s="244" t="str">
        <f aca="false">IF(BR85=0,"",IF(AS85=$AX$4,(0.1348118*CC85 - 0.0383065)*98.0665,""))</f>
        <v/>
      </c>
      <c r="DG85" s="244" t="str">
        <f aca="false">IF(BR85=0,"",IF(AS85=$AX$4,DF85/2,""))</f>
        <v/>
      </c>
      <c r="DH85" s="244" t="str">
        <f aca="false">IF(BR85=0,"",IF(DC85&lt;=15,12*(DC85+6),40+12*(DC85-6)))</f>
        <v/>
      </c>
      <c r="DI85" s="244" t="str">
        <f aca="false">IF(BR85=0,"",IF(CD85="SI",5*(DC85+15),((3.3*(DC85+15))+(4*(DC85+12)))/2))</f>
        <v/>
      </c>
      <c r="DJ85" s="244" t="str">
        <f aca="false">IF(BR85=0,"",8*DC85)</f>
        <v/>
      </c>
      <c r="DK85" s="244" t="str">
        <f aca="false">IF(BR85=0,"",215+(10.6*DC85))</f>
        <v/>
      </c>
      <c r="DL85" s="244" t="str">
        <f aca="false">IF(BR85=0,"",10*(7.5+(0.5*DC85)))</f>
        <v/>
      </c>
      <c r="DM85" s="244" t="str">
        <f aca="false">IF(BR85=0,"",8*DC85)</f>
        <v/>
      </c>
      <c r="DN85" s="244" t="str">
        <f aca="false">IF(AW85=" "," ",IF(DC85=""," ",IF(DC85&lt;4,10*10.2,IF(DC85=4,12*10.2,IF(DC85&lt;10,17.5*10.5,IF(DC85=10,15*10.2,IF(DC85&lt;30,22.5*10.2,IF(DC85=30,35*10.2,IF(DC85&lt;50,40*10.2,IF(DC85=50,50*10.2,55*10.2))))))))))</f>
        <v> </v>
      </c>
      <c r="DO85" s="244" t="str">
        <f aca="false">IF(BR85=0,"",7*SQRT(DC85)*10.1972)</f>
        <v/>
      </c>
      <c r="DP85" s="244" t="str">
        <f aca="false">IF(BR85=0,"",IF(AS85=$AX$4,5*CC85,""))</f>
        <v/>
      </c>
      <c r="DQ85" s="244" t="str">
        <f aca="false">IF(AW85=" "," ",IF(DC85=""," ",IF(DC85&lt;2,4*10.2,IF(DC85=2,6*10.2,IF(DC85&lt;4,12*10.2,IF(DC85=4,20*10.2,IF(DC85&lt;8,30*10.2,IF(DC85=8,35*10.2,IF(DC85&lt;15,40*10.2,IF(DC85=15,42*10.2,IF(DC85&lt;30,45*10.2,IF(DC85=30,50*10.2,70*10.2))))))))))))</f>
        <v> </v>
      </c>
      <c r="DR85" s="244" t="str">
        <f aca="false">IF(BR85=0,"",IF(AS85=$AX$4,220*DP85*0.0101972,""))</f>
        <v/>
      </c>
      <c r="DS85" s="271" t="str">
        <f aca="false">IF(BR85=0,"",IF(AS85=$AX$7,(SUM(DH85:DO85)-MIN(DH85:DO85)-MAX(DH85:DO85))/6,(SUM(DO85:DR85)-MIN(DO85:DR85)-MAX(DO85:DR85))/2))</f>
        <v/>
      </c>
      <c r="DT85" s="244" t="str">
        <f aca="false">IF(AW85=" "," ",IF(DC85=""," ",IF(DC85&lt;4,0.2,IF(DC85=4,0.27,IF(DC85&lt;10,0.33,IF(DC85=10,0.35,IF(DC85&lt;30,0.36,IF(DC85=30,0.37,IF(DC85&lt;50,0.38,IF(DC85=50,0.4,0.45))))))))))</f>
        <v> </v>
      </c>
      <c r="DU85" s="272" t="str">
        <f aca="false">IF(AW85=" "," ",IF(CC85=""," ",IF(CC85&lt;2,0.2,IF(CC85=2,0.23,IF(CC85&lt;4,0.26,IF(CC85=4,0.29,IF(CC85&lt;8,0.32,IF(CC85=8,0.35,IF(CC85&lt;15,0.38,IF(CC85=15,0.41,IF(CC85&lt;30,0.44,IF(CC85=30,0.47,0.5))))))))))))</f>
        <v> </v>
      </c>
      <c r="DV85" s="244" t="str">
        <f aca="false">IF(BR85=0,"",IF(AS85=$AX$3,DT85,DU85))</f>
        <v/>
      </c>
      <c r="DW85" s="244" t="str">
        <f aca="false">IF(BR85=0,"",IF(DC85&gt;15,15+0.5*(DC85-15),DC85))</f>
        <v/>
      </c>
      <c r="DX85" s="244" t="str">
        <f aca="false">IF(BR85=0,"",IF($S$12="SI",IF(CD85="NO",IF($AD$12&gt;(BO85+1.5*$ED$15),1,0.5),0.5),1))</f>
        <v/>
      </c>
      <c r="DY85" s="244" t="str">
        <f aca="false">IF(BR85=0,"",IF($S$12="SI",IF(CD85="NO",IF($AD$12&gt;(BO85+1.5*$EE$15),1,0.5),0.5),1))</f>
        <v/>
      </c>
      <c r="DZ85" s="244" t="str">
        <f aca="false">IF(BR85=0,"",IF($S$12="SI",IF(CD85="NO",IF($AD$12&gt;(BO85+1.5*$EF$15),1,0.5),0.5),1))</f>
        <v/>
      </c>
      <c r="EA85" s="244" t="str">
        <f aca="false">IF(BR85=0,"",IF($S$12="SI",IF(CD85="NO",IF($AD$12&gt;(BO85+1.5*$ED$15),1,0.5),IF($AD$12=BO85,1,0.5)),1))</f>
        <v/>
      </c>
      <c r="EB85" s="244" t="str">
        <f aca="false">IF(BR85=0,"",IF($S$12="SI",IF(CD85="NO",IF($AD$12&gt;(BO85+1.5*$EE$15),1,0.5),IF($AD$12=BO85,1,0.5)),1))</f>
        <v/>
      </c>
      <c r="EC85" s="244" t="str">
        <f aca="false">IF(BR85=0,"",IF($S$12="SI",IF(CD85="NO",IF($AD$12&gt;(BO85+1.5*$EF$15),1,0.5),IF($AD$12=BO85,1,0.5)),1))</f>
        <v/>
      </c>
      <c r="ED85" s="244" t="str">
        <f aca="false">IF(BR85=0,"",(DW85*($ED$15/10)*(DX85+EA85*(BO85/$ED$15))*1)/3)</f>
        <v/>
      </c>
      <c r="EE85" s="244" t="str">
        <f aca="false">IF(BR85=0,"",(DW85*($EE$15/10)*(DY85+EB85*(BO85/$EE$15))*1)/3)</f>
        <v/>
      </c>
      <c r="EF85" s="244" t="str">
        <f aca="false">IF(BR85=0,"",(DW85*($EF$15/10)*(DZ85+EC85*(BO85/$EF$15))*1)/3)</f>
        <v/>
      </c>
      <c r="EG85" s="273" t="str">
        <f aca="false">IF(BR85=0,"",IF(CD85="SI",0.5,1))</f>
        <v/>
      </c>
      <c r="EH85" s="244" t="str">
        <f aca="false">IF(BR85=0,"",IF((1+0.33*(BO85/$ED$15))&lt;=1.33,(1+0.33*(BO85/$ED$15)),1.33))</f>
        <v/>
      </c>
      <c r="EI85" s="244" t="str">
        <f aca="false">IF(BR85=0,"",IF((1+0.33*(BO85/$EE$15))&lt;=1.33,(1+0.33*(BO85/$EE$15)),1.33))</f>
        <v/>
      </c>
      <c r="EJ85" s="244" t="str">
        <f aca="false">IF(BR85=0,"",IF((1+0.33*(BO85/$EF$15))&lt;=1.33,(1+0.33*(BO85/$EF$15)),1.33))</f>
        <v/>
      </c>
      <c r="EK85" s="244" t="str">
        <f aca="false">IF(BR85=0,"",IF($ED$15&lt;=1.2,((20*DC85*EG85*EH85)/3)*0.010197,((12.5*DC85*((($ED$15+0.3)^2)/$ED$15)*EG85*EH85)/3)*0.010197))</f>
        <v/>
      </c>
      <c r="EL85" s="244" t="str">
        <f aca="false">IF(BR85=0,"",IF($EE$15&lt;=1.2,((20*DC85*EG85*EI85)/3)*0.010197,((12.5*DC85*((($EE$15+0.3)^2)/$EE$15)*EG85*EI85)/3)*0.010197))</f>
        <v/>
      </c>
      <c r="EM85" s="244" t="str">
        <f aca="false">IF(BR85=0,"",IF($EF$15&lt;=1.2,((20*DC85*EG85*EJ85)/3)*0.010197,((12.5*DC85*((($EF$15+0.3)^2)/$EF$15)*EG85*EJ85)/3)*0.010197))</f>
        <v/>
      </c>
      <c r="EN85" s="248" t="str">
        <f aca="false">IF(BR85=0,"",SQRT(12*CC85)+25)</f>
        <v/>
      </c>
      <c r="EO85" s="248" t="str">
        <f aca="false">IF(BR85=0,"",28.5+0.25*CC85)</f>
        <v/>
      </c>
      <c r="EP85" s="248" t="str">
        <f aca="false">IF(BR85=0,"",SQRT(20*CC85)+15)</f>
        <v/>
      </c>
      <c r="EQ85" s="248" t="str">
        <f aca="false">IF(BR85=0,"",23.7+0.57*CC85-0.0006*CC85*CC85)</f>
        <v/>
      </c>
      <c r="ER85" s="248" t="str">
        <f aca="false">IF(BR85=0,"",15+SQRT(12.5*DC85))</f>
        <v/>
      </c>
      <c r="ES85" s="248" t="str">
        <f aca="false">IF(BR85=0,"",3.5*SQRT(CC85)+20)</f>
        <v/>
      </c>
      <c r="ET85" s="248" t="str">
        <f aca="false">IF(BR85=0,"",27.1+0.3*DC85-0.00054*DC85*DC85)</f>
        <v/>
      </c>
      <c r="EU85" s="248" t="str">
        <f aca="false">IF(BR85=0,"",SQRT(20*CC85)+20)</f>
        <v/>
      </c>
      <c r="EV85" s="248" t="str">
        <f aca="false">IF(BR85=0,"",12.79+SQRT(25.86*CC85))</f>
        <v/>
      </c>
      <c r="EW85" s="248" t="str">
        <f aca="false">IF(BR85=0,"",DEGREES(_xlfn.ACOT((CC85/(12.2+20.3*CR85))^0.34)))</f>
        <v/>
      </c>
      <c r="EX85" s="248" t="str">
        <f aca="false">IF(BR85=0,"",24+(5.77*LN(0.17*DC85)))</f>
        <v/>
      </c>
      <c r="EY85" s="248" t="str">
        <f aca="false">IF(BR85=0,"",(SUM(EN85:EX85)-MIN(EN85:EX85)-MAX(EN85:EX85))/9)</f>
        <v/>
      </c>
      <c r="EZ85" s="248" t="str">
        <f aca="false">IF(BR85=0,"", -0.0000000034*CC85^6 + 0.0000008305*CC85^5 - 0.0000741842*CC85^4 + 0.0030204278*CC85^3 - 0.0541594733*CC85^2 + 0.8083147848*CC85 - 0.6182191243)</f>
        <v/>
      </c>
      <c r="FA85" s="249" t="str">
        <f aca="false">IF(BR85=0,"",(0.134811827956989*CC85 - 0.0383064516129019)/2)</f>
        <v/>
      </c>
      <c r="FB85" s="249" t="str">
        <f aca="false">IF(BR85=0,"",CC85*0.065)</f>
        <v/>
      </c>
      <c r="FC85" s="249" t="str">
        <f aca="false">IF(BR85=0,"",(CC85*0.12*0.48)*SQRT((1+SIN(EZ85*((2*PI())/360))/(1-SIN(EZ85*((2*PI())/360))))))</f>
        <v/>
      </c>
      <c r="FD85" s="249" t="str">
        <f aca="false">IF(BR85=0,"",(CC85/8)/2)</f>
        <v/>
      </c>
      <c r="FE85" s="249" t="str">
        <f aca="false">IF(BR85=0,"",(SUM(FA85:FD85)-MIN(FA85:FD85)-MAX(FA85:FD85))/2)</f>
        <v/>
      </c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</row>
    <row r="86" customFormat="false" ht="9.75" hidden="false" customHeight="true" outlineLevel="0" collapsed="false">
      <c r="A86" s="197" t="n">
        <f aca="false">ROUND(A85+0.1,1)</f>
        <v>6.9</v>
      </c>
      <c r="B86" s="250"/>
      <c r="C86" s="251"/>
      <c r="D86" s="251"/>
      <c r="E86" s="199"/>
      <c r="F86" s="200"/>
      <c r="G86" s="254"/>
      <c r="H86" s="284"/>
      <c r="I86" s="285"/>
      <c r="J86" s="308"/>
      <c r="K86" s="309"/>
      <c r="L86" s="310"/>
      <c r="M86" s="276"/>
      <c r="N86" s="277"/>
      <c r="O86" s="277"/>
      <c r="P86" s="277"/>
      <c r="Q86" s="293"/>
      <c r="R86" s="304"/>
      <c r="S86" s="305"/>
      <c r="T86" s="295"/>
      <c r="U86" s="295"/>
      <c r="V86" s="296"/>
      <c r="W86" s="296"/>
      <c r="X86" s="296"/>
      <c r="Y86" s="296"/>
      <c r="Z86" s="296"/>
      <c r="AA86" s="296"/>
      <c r="AB86" s="297"/>
      <c r="AC86" s="298"/>
      <c r="AD86" s="299"/>
      <c r="AE86" s="298"/>
      <c r="AF86" s="300"/>
      <c r="AG86" s="267"/>
      <c r="AH86" s="267"/>
      <c r="AI86" s="241"/>
      <c r="AJ86" s="241"/>
      <c r="AK86" s="266"/>
      <c r="AL86" s="266"/>
      <c r="AM86" s="268"/>
      <c r="AN86" s="250"/>
      <c r="AO86" s="251"/>
      <c r="AP86" s="251"/>
      <c r="AQ86" s="199"/>
      <c r="AR86" s="200"/>
      <c r="AS86" s="269" t="s">
        <v>13</v>
      </c>
      <c r="AT86" s="221"/>
      <c r="AU86" s="269"/>
      <c r="AV86" s="269"/>
      <c r="AW86" s="270" t="n">
        <f aca="false">+K86+L86</f>
        <v>0</v>
      </c>
      <c r="AX86" s="270" t="str">
        <f aca="false">IF(AS86="&gt;50","CONSISTENCIA",IF(AS86="&lt;50","COMPACIDAD"," "))</f>
        <v>COMPACIDAD</v>
      </c>
      <c r="AY86" s="225" t="str">
        <f aca="false">IF(AS86="&gt;50",AZ86,IF(AS86="&lt;50",BA86," "))</f>
        <v> </v>
      </c>
      <c r="AZ86" s="224" t="str">
        <f aca="false">IF(AW86=" "," ",IF(CC86=""," ",IF(CC86&lt;2,"MUY BLANDA",IF(CC86=2,"MUY BLANDA A BLANDA",IF(CC86&lt;4,"BLANDA",IF(CC86=4,"BLANDA A MEDIA",IF(CC86&lt;8,"MEDIA",IF(CC86=8,"MEDIA A FIRME",IF(CC86&lt;15,"FIRME",IF(CC86=15,"FIRME A MUY FIRME",IF(CC86&lt;30,"MUY FIRME",IF(CC86=30,"MUY FIRME A DURA","DURA"))))))))))))</f>
        <v> </v>
      </c>
      <c r="BA86" s="225" t="str">
        <f aca="false">IF(AW86=" "," ",IF(DC86=""," ",IF(DC86&lt;4,"MUY SUELTA",IF(DC86=4,"MUY SUELTA A SUELTA",IF(DC86&lt;10,"SUELTA",IF(DC86=10,"SUELTA A MEDIA",IF(DC86&lt;30,"MEDIA",IF(DC86=30,"MEDIA A DENSO",IF(DC86&lt;50,"DENSO",IF(DC86=50,"DENSO MUY DENSO","MUY DENSO"))))))))))</f>
        <v> </v>
      </c>
      <c r="BB86" s="290" t="str">
        <f aca="false">IF(BR87=0,"",CQ87*0.0101972)</f>
        <v/>
      </c>
      <c r="BC86" s="227" t="n">
        <f aca="false">+BC85+0.1</f>
        <v>6.89999999999999</v>
      </c>
      <c r="BD86" s="227" t="str">
        <f aca="false">IF(BC86&lt;=$AN$10,BC86,"")</f>
        <v/>
      </c>
      <c r="BE86" s="228" t="n">
        <f aca="false">ISNUMBER(BD86)</f>
        <v>0</v>
      </c>
      <c r="BF86" s="229" t="str">
        <f aca="false">MID(M86,1,1)</f>
        <v/>
      </c>
      <c r="BG86" s="230" t="str">
        <f aca="false">IF(BF86="S","",IF(BF86="G","",MID(M86,2,1)))</f>
        <v/>
      </c>
      <c r="BH86" s="231" t="str">
        <f aca="false">CONCATENATE(BF86,BG86)</f>
        <v/>
      </c>
      <c r="BI86" s="6" t="str">
        <f aca="false">IF(BE86=FALSE(),"",IF(BH86="",BI85,BH86))</f>
        <v/>
      </c>
      <c r="BJ86" s="74" t="str">
        <f aca="false">IF(OR(BI86="S",BI86="G"),BI86,"X")</f>
        <v>X</v>
      </c>
      <c r="BK86" s="74" t="s">
        <v>246</v>
      </c>
      <c r="BL86" s="307" t="e">
        <f aca="false">INDEX(sim_0,MATCH($BJ$86,granular,0))</f>
        <v>#NAME?</v>
      </c>
      <c r="BM86" s="307"/>
      <c r="BN86" s="6"/>
      <c r="BO86" s="191" t="n">
        <f aca="false">BO85+0.1</f>
        <v>6.89999999999999</v>
      </c>
      <c r="BP86" s="233" t="e">
        <f aca="false">IF(AW86=0,NA(),IF(AS86=$AX$3,ROUND(DC86,0),NA()))</f>
        <v>#N/A</v>
      </c>
      <c r="BQ86" s="31" t="e">
        <f aca="false">IF(AW86=0,NA(),IF(AS86=$AX$4,ROUND(CC86,0),NA()))</f>
        <v>#N/A</v>
      </c>
      <c r="BR86" s="234" t="n">
        <f aca="false">+AW86</f>
        <v>0</v>
      </c>
      <c r="BS86" s="235" t="str">
        <f aca="false">IF(BR86=0,"", -0.00000000016128755327*CC86^6 + 0.00000006709386362421*CC86^5 - 0.0000106217678052217*CC86^4 + 0.00081068114193385*CC86^3 - 0.0314027378159951*CC86^2 + 0.649796593937842*CC86 + 13.7888866455022)</f>
        <v/>
      </c>
      <c r="BT86" s="235" t="str">
        <f aca="false">IF(BR86=0,"",-0.00000000014625939695*CC86^6 + 0.00000004971732060241*CC86^5 - 0.000006683744342031*CC86^4 + 0.0004563177378098*CC86^3 - 0.0171727530635803*CC86^2 + 0.444529932876435*CC86 + 15.6692518940565)</f>
        <v/>
      </c>
      <c r="BU86" s="236" t="str">
        <f aca="false">IF(BR86=0,"", -0.0000000008152265738*BR86^6 + 0.00000022764320256987*BR86^5 - 0.0000248205675927705*BR86^4 + 0.00133186623684865*BR86^3 - 0.0368442570441677*BR86^2 + 0.580111565569094*BR86 + 14.0417598296107)</f>
        <v/>
      </c>
      <c r="BV86" s="236" t="str">
        <f aca="false">IF(BR86=0,"", -0.00000000004321395721*BR86^6 + 0.00000002531844275498*BR86^5 - 0.00000369428022780862*BR86^4 + 0.00020283665900125*BR86^3 - 0.00462426256803268*BR86^2 + 0.139572935065453*BR86 + 15.4475338156923)</f>
        <v/>
      </c>
      <c r="BW86" s="236" t="str">
        <f aca="false">IF(BR86=0,"",-0.00000000033126390082*BR86^6 + 0.00000010463660614506*BR86^5 - 0.0000129629592998707*BR86^4 + 0.000803946335250767*BR86^3 - 0.0270257140395994*BR86^2 + 0.562590210721552*BR86+ 12.1254107606419)</f>
        <v/>
      </c>
      <c r="BX86" s="236" t="str">
        <f aca="false">IF(BR86=0,"",-0.00000000002593504955*BR86^6 + 0.00000002430495156704*BR86^5 - 0.00000386103271086364*BR86^4 + 0.000214416118986322*BR86^3 - 0.0047271462612021*BR86^2 + 0.156696175741135*BR86 + 15.4598891949502)</f>
        <v/>
      </c>
      <c r="BY86" s="234" t="str">
        <f aca="false">IF(BR86=0,"",$BS$2)</f>
        <v/>
      </c>
      <c r="BZ86" s="234" t="str">
        <f aca="false">IF(BR86=0,"",$BS$3)</f>
        <v/>
      </c>
      <c r="CA86" s="234" t="str">
        <f aca="false">IF(BR86=0,"",$BS$4)</f>
        <v/>
      </c>
      <c r="CB86" s="235" t="str">
        <f aca="false">IF(BR86=0,"",IF(AND(BO86&gt;=0,BO86&lt;4),0.75,IF(AND(BO86&gt;=4,BO86&lt;6),0.85,IF(AND(BO86&gt;=6,BO86&lt;=10),0.95,1))))</f>
        <v/>
      </c>
      <c r="CC86" s="234" t="str">
        <f aca="false">IF(BR86=0,"",BR86*BY86*BZ86*CA86*CB86/60)</f>
        <v/>
      </c>
      <c r="CD86" s="238" t="str">
        <f aca="false">IF(BR86=0,"",IF($S$12="NO","NO",IF($AD$12&lt;=BO86,"SI","NO")))</f>
        <v/>
      </c>
      <c r="CE86" s="235" t="n">
        <f aca="false">IF(BR86=0,0,AB86)</f>
        <v>0</v>
      </c>
      <c r="CF86" s="235" t="n">
        <f aca="false">IF(CE86&gt;0,BO86,0)</f>
        <v>0</v>
      </c>
      <c r="CG86" s="239" t="n">
        <f aca="false">IF(CF86=0,CF86+CG85,CF86)</f>
        <v>0</v>
      </c>
      <c r="CH86" s="239" t="n">
        <f aca="false">IF(CG86=CG85,CH85,ABS(CG86-CG85))</f>
        <v>0</v>
      </c>
      <c r="CI86" s="239" t="n">
        <f aca="false">+CE86*CH86</f>
        <v>0</v>
      </c>
      <c r="CJ86" s="239" t="n">
        <f aca="false">IF(CI86=0,CI86+CJ85,CI86)</f>
        <v>0</v>
      </c>
      <c r="CK86" s="239" t="n">
        <f aca="false">IF(CJ86=CJ85,CK85,ABS(CJ86+CK85))</f>
        <v>0</v>
      </c>
      <c r="CL86" s="241" t="n">
        <f aca="false">IF(CE86=0,0,CK86)</f>
        <v>0</v>
      </c>
      <c r="CM86" s="239" t="n">
        <f aca="false">IF(CE86=0,0,CH86*9.81)</f>
        <v>0</v>
      </c>
      <c r="CN86" s="239" t="n">
        <f aca="false">IF(CM86=0,CM86+CN85,CM86)</f>
        <v>0</v>
      </c>
      <c r="CO86" s="239" t="n">
        <f aca="false">IF(CN86=CN85,CO85,ABS(CN86+CO85))</f>
        <v>0</v>
      </c>
      <c r="CP86" s="241" t="n">
        <f aca="false">IF(CD86="NO",0,IF(CE86=0,0,CO86))</f>
        <v>0</v>
      </c>
      <c r="CQ86" s="244" t="str">
        <f aca="false">IF(BR86=0,"",CL86-CP86)</f>
        <v/>
      </c>
      <c r="CR86" s="244" t="str">
        <f aca="false">IF(BR86=0,"",CQ86/101.3)</f>
        <v/>
      </c>
      <c r="CS86" s="244" t="str">
        <f aca="false">IF(BR86=0,"",LOG(10/CR86))</f>
        <v/>
      </c>
      <c r="CT86" s="243" t="str">
        <f aca="false">IF(BR86=0,"",IF(SQRT(101.3/CQ86)&lt;=1.7,SQRT(101.3/CQ86),2.2/(1.2+(CQ86/101.3))))</f>
        <v/>
      </c>
      <c r="CU86" s="244" t="str">
        <f aca="false">IF(BR86=0,"",1.7/(0.7+CR86))</f>
        <v/>
      </c>
      <c r="CV86" s="244" t="str">
        <f aca="false">IF(BR86=0,"",IF(CR86&gt;=0.25,0.77*LOG(20/CR86),""))</f>
        <v/>
      </c>
      <c r="CW86" s="244" t="str">
        <f aca="false">IF(BR86=0,"",32.5/(10.2+20.3*CR86))</f>
        <v/>
      </c>
      <c r="CX86" s="244" t="str">
        <f aca="false">IF(BR86=0,"",1-1.25*LOG(CR86))</f>
        <v/>
      </c>
      <c r="CY86" s="244" t="str">
        <f aca="false">IF(BR86=0,"",IF(CR86&lt;1,1-1.41*LOG(CR86),1+0.92*LOG(CR86)))</f>
        <v/>
      </c>
      <c r="CZ86" s="244" t="str">
        <f aca="false">IF(BR86=0,"",2/(1+CR86))</f>
        <v/>
      </c>
      <c r="DA86" s="244" t="str">
        <f aca="false">IF(BR86=0,"",IF(CR86&lt;=0.75,4/(1+4*CR86),4/(3.25+CR86)))</f>
        <v/>
      </c>
      <c r="DB86" s="244" t="str">
        <f aca="false">IF(BR86=0,"",CT86)</f>
        <v/>
      </c>
      <c r="DC86" s="244" t="str">
        <f aca="false">IF(BR86=0,"",DB86*CC86)</f>
        <v/>
      </c>
      <c r="DD86" s="244"/>
      <c r="DE86" s="244" t="str">
        <f aca="false">IF(BR86=0,"",0.193*(CC86/(CQ86*0.001))^0.689)</f>
        <v/>
      </c>
      <c r="DF86" s="244" t="str">
        <f aca="false">IF(BR86=0,"",IF(AS86=$AX$4,(0.1348118*CC86 - 0.0383065)*98.0665,""))</f>
        <v/>
      </c>
      <c r="DG86" s="244" t="str">
        <f aca="false">IF(BR86=0,"",IF(AS86=$AX$4,DF86/2,""))</f>
        <v/>
      </c>
      <c r="DH86" s="244" t="str">
        <f aca="false">IF(BR86=0,"",IF(DC86&lt;=15,12*(DC86+6),40+12*(DC86-6)))</f>
        <v/>
      </c>
      <c r="DI86" s="244" t="str">
        <f aca="false">IF(BR86=0,"",IF(CD86="SI",5*(DC86+15),((3.3*(DC86+15))+(4*(DC86+12)))/2))</f>
        <v/>
      </c>
      <c r="DJ86" s="244" t="str">
        <f aca="false">IF(BR86=0,"",8*DC86)</f>
        <v/>
      </c>
      <c r="DK86" s="244" t="str">
        <f aca="false">IF(BR86=0,"",215+(10.6*DC86))</f>
        <v/>
      </c>
      <c r="DL86" s="244" t="str">
        <f aca="false">IF(BR86=0,"",10*(7.5+(0.5*DC86)))</f>
        <v/>
      </c>
      <c r="DM86" s="244" t="str">
        <f aca="false">IF(BR86=0,"",8*DC86)</f>
        <v/>
      </c>
      <c r="DN86" s="244" t="str">
        <f aca="false">IF(AW86=" "," ",IF(DC86=""," ",IF(DC86&lt;4,10*10.2,IF(DC86=4,12*10.2,IF(DC86&lt;10,17.5*10.5,IF(DC86=10,15*10.2,IF(DC86&lt;30,22.5*10.2,IF(DC86=30,35*10.2,IF(DC86&lt;50,40*10.2,IF(DC86=50,50*10.2,55*10.2))))))))))</f>
        <v> </v>
      </c>
      <c r="DO86" s="244" t="str">
        <f aca="false">IF(BR86=0,"",7*SQRT(DC86)*10.1972)</f>
        <v/>
      </c>
      <c r="DP86" s="244" t="str">
        <f aca="false">IF(BR86=0,"",IF(AS86=$AX$4,5*CC86,""))</f>
        <v/>
      </c>
      <c r="DQ86" s="244" t="str">
        <f aca="false">IF(AW86=" "," ",IF(DC86=""," ",IF(DC86&lt;2,4*10.2,IF(DC86=2,6*10.2,IF(DC86&lt;4,12*10.2,IF(DC86=4,20*10.2,IF(DC86&lt;8,30*10.2,IF(DC86=8,35*10.2,IF(DC86&lt;15,40*10.2,IF(DC86=15,42*10.2,IF(DC86&lt;30,45*10.2,IF(DC86=30,50*10.2,70*10.2))))))))))))</f>
        <v> </v>
      </c>
      <c r="DR86" s="244" t="str">
        <f aca="false">IF(BR86=0,"",IF(AS86=$AX$4,220*DP86*0.0101972,""))</f>
        <v/>
      </c>
      <c r="DS86" s="271" t="str">
        <f aca="false">IF(BR86=0,"",IF(AS86=$AX$7,(SUM(DH86:DO86)-MIN(DH86:DO86)-MAX(DH86:DO86))/6,(SUM(DO86:DR86)-MIN(DO86:DR86)-MAX(DO86:DR86))/2))</f>
        <v/>
      </c>
      <c r="DT86" s="244" t="str">
        <f aca="false">IF(AW86=" "," ",IF(DC86=""," ",IF(DC86&lt;4,0.2,IF(DC86=4,0.27,IF(DC86&lt;10,0.33,IF(DC86=10,0.35,IF(DC86&lt;30,0.36,IF(DC86=30,0.37,IF(DC86&lt;50,0.38,IF(DC86=50,0.4,0.45))))))))))</f>
        <v> </v>
      </c>
      <c r="DU86" s="272" t="str">
        <f aca="false">IF(AW86=" "," ",IF(CC86=""," ",IF(CC86&lt;2,0.2,IF(CC86=2,0.23,IF(CC86&lt;4,0.26,IF(CC86=4,0.29,IF(CC86&lt;8,0.32,IF(CC86=8,0.35,IF(CC86&lt;15,0.38,IF(CC86=15,0.41,IF(CC86&lt;30,0.44,IF(CC86=30,0.47,0.5))))))))))))</f>
        <v> </v>
      </c>
      <c r="DV86" s="244" t="str">
        <f aca="false">IF(BR86=0,"",IF(AS86=$AX$3,DT86,DU86))</f>
        <v/>
      </c>
      <c r="DW86" s="244" t="str">
        <f aca="false">IF(BR86=0,"",IF(DC86&gt;15,15+0.5*(DC86-15),DC86))</f>
        <v/>
      </c>
      <c r="DX86" s="244" t="str">
        <f aca="false">IF(BR86=0,"",IF($S$12="SI",IF(CD86="NO",IF($AD$12&gt;(BO86+1.5*$ED$15),1,0.5),0.5),1))</f>
        <v/>
      </c>
      <c r="DY86" s="244" t="str">
        <f aca="false">IF(BR86=0,"",IF($S$12="SI",IF(CD86="NO",IF($AD$12&gt;(BO86+1.5*$EE$15),1,0.5),0.5),1))</f>
        <v/>
      </c>
      <c r="DZ86" s="244" t="str">
        <f aca="false">IF(BR86=0,"",IF($S$12="SI",IF(CD86="NO",IF($AD$12&gt;(BO86+1.5*$EF$15),1,0.5),0.5),1))</f>
        <v/>
      </c>
      <c r="EA86" s="244" t="str">
        <f aca="false">IF(BR86=0,"",IF($S$12="SI",IF(CD86="NO",IF($AD$12&gt;(BO86+1.5*$ED$15),1,0.5),IF($AD$12=BO86,1,0.5)),1))</f>
        <v/>
      </c>
      <c r="EB86" s="244" t="str">
        <f aca="false">IF(BR86=0,"",IF($S$12="SI",IF(CD86="NO",IF($AD$12&gt;(BO86+1.5*$EE$15),1,0.5),IF($AD$12=BO86,1,0.5)),1))</f>
        <v/>
      </c>
      <c r="EC86" s="244" t="str">
        <f aca="false">IF(BR86=0,"",IF($S$12="SI",IF(CD86="NO",IF($AD$12&gt;(BO86+1.5*$EF$15),1,0.5),IF($AD$12=BO86,1,0.5)),1))</f>
        <v/>
      </c>
      <c r="ED86" s="244" t="str">
        <f aca="false">IF(BR86=0,"",(DW86*($ED$15/10)*(DX86+EA86*(BO86/$ED$15))*1)/3)</f>
        <v/>
      </c>
      <c r="EE86" s="244" t="str">
        <f aca="false">IF(BR86=0,"",(DW86*($EE$15/10)*(DY86+EB86*(BO86/$EE$15))*1)/3)</f>
        <v/>
      </c>
      <c r="EF86" s="244" t="str">
        <f aca="false">IF(BR86=0,"",(DW86*($EF$15/10)*(DZ86+EC86*(BO86/$EF$15))*1)/3)</f>
        <v/>
      </c>
      <c r="EG86" s="273" t="str">
        <f aca="false">IF(BR86=0,"",IF(CD86="SI",0.5,1))</f>
        <v/>
      </c>
      <c r="EH86" s="244" t="str">
        <f aca="false">IF(BR86=0,"",IF((1+0.33*(BO86/$ED$15))&lt;=1.33,(1+0.33*(BO86/$ED$15)),1.33))</f>
        <v/>
      </c>
      <c r="EI86" s="244" t="str">
        <f aca="false">IF(BR86=0,"",IF((1+0.33*(BO86/$EE$15))&lt;=1.33,(1+0.33*(BO86/$EE$15)),1.33))</f>
        <v/>
      </c>
      <c r="EJ86" s="244" t="str">
        <f aca="false">IF(BR86=0,"",IF((1+0.33*(BO86/$EF$15))&lt;=1.33,(1+0.33*(BO86/$EF$15)),1.33))</f>
        <v/>
      </c>
      <c r="EK86" s="244" t="str">
        <f aca="false">IF(BR86=0,"",IF($ED$15&lt;=1.2,((20*DC86*EG86*EH86)/3)*0.010197,((12.5*DC86*((($ED$15+0.3)^2)/$ED$15)*EG86*EH86)/3)*0.010197))</f>
        <v/>
      </c>
      <c r="EL86" s="244" t="str">
        <f aca="false">IF(BR86=0,"",IF($EE$15&lt;=1.2,((20*DC86*EG86*EI86)/3)*0.010197,((12.5*DC86*((($EE$15+0.3)^2)/$EE$15)*EG86*EI86)/3)*0.010197))</f>
        <v/>
      </c>
      <c r="EM86" s="244" t="str">
        <f aca="false">IF(BR86=0,"",IF($EF$15&lt;=1.2,((20*DC86*EG86*EJ86)/3)*0.010197,((12.5*DC86*((($EF$15+0.3)^2)/$EF$15)*EG86*EJ86)/3)*0.010197))</f>
        <v/>
      </c>
      <c r="EN86" s="248" t="str">
        <f aca="false">IF(BR86=0,"",SQRT(12*CC86)+25)</f>
        <v/>
      </c>
      <c r="EO86" s="248" t="str">
        <f aca="false">IF(BR86=0,"",28.5+0.25*CC86)</f>
        <v/>
      </c>
      <c r="EP86" s="248" t="str">
        <f aca="false">IF(BR86=0,"",SQRT(20*CC86)+15)</f>
        <v/>
      </c>
      <c r="EQ86" s="248" t="str">
        <f aca="false">IF(BR86=0,"",23.7+0.57*CC86-0.0006*CC86*CC86)</f>
        <v/>
      </c>
      <c r="ER86" s="248" t="str">
        <f aca="false">IF(BR86=0,"",15+SQRT(12.5*DC86))</f>
        <v/>
      </c>
      <c r="ES86" s="248" t="str">
        <f aca="false">IF(BR86=0,"",3.5*SQRT(CC86)+20)</f>
        <v/>
      </c>
      <c r="ET86" s="248" t="str">
        <f aca="false">IF(BR86=0,"",27.1+0.3*DC86-0.00054*DC86*DC86)</f>
        <v/>
      </c>
      <c r="EU86" s="248" t="str">
        <f aca="false">IF(BR86=0,"",SQRT(20*CC86)+20)</f>
        <v/>
      </c>
      <c r="EV86" s="248" t="str">
        <f aca="false">IF(BR86=0,"",12.79+SQRT(25.86*CC86))</f>
        <v/>
      </c>
      <c r="EW86" s="248" t="str">
        <f aca="false">IF(BR86=0,"",DEGREES(_xlfn.ACOT((CC86/(12.2+20.3*CR86))^0.34)))</f>
        <v/>
      </c>
      <c r="EX86" s="248" t="str">
        <f aca="false">IF(BR86=0,"",24+(5.77*LN(0.17*DC86)))</f>
        <v/>
      </c>
      <c r="EY86" s="248" t="str">
        <f aca="false">IF(BR86=0,"",(SUM(EN86:EX86)-MIN(EN86:EX86)-MAX(EN86:EX86))/9)</f>
        <v/>
      </c>
      <c r="EZ86" s="248" t="str">
        <f aca="false">IF(BR86=0,"", -0.0000000034*CC86^6 + 0.0000008305*CC86^5 - 0.0000741842*CC86^4 + 0.0030204278*CC86^3 - 0.0541594733*CC86^2 + 0.8083147848*CC86 - 0.6182191243)</f>
        <v/>
      </c>
      <c r="FA86" s="249" t="str">
        <f aca="false">IF(BR86=0,"",(0.134811827956989*CC86 - 0.0383064516129019)/2)</f>
        <v/>
      </c>
      <c r="FB86" s="249" t="str">
        <f aca="false">IF(BR86=0,"",CC86*0.065)</f>
        <v/>
      </c>
      <c r="FC86" s="249" t="str">
        <f aca="false">IF(BR86=0,"",(CC86*0.12*0.48)*SQRT((1+SIN(EZ86*((2*PI())/360))/(1-SIN(EZ86*((2*PI())/360))))))</f>
        <v/>
      </c>
      <c r="FD86" s="249" t="str">
        <f aca="false">IF(BR86=0,"",(CC86/8)/2)</f>
        <v/>
      </c>
      <c r="FE86" s="249" t="str">
        <f aca="false">IF(BR86=0,"",(SUM(FA86:FD86)-MIN(FA86:FD86)-MAX(FA86:FD86))/2)</f>
        <v/>
      </c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</row>
    <row r="87" customFormat="false" ht="9.75" hidden="false" customHeight="true" outlineLevel="0" collapsed="false">
      <c r="A87" s="197" t="n">
        <f aca="false">ROUND(A86+0.1,1)</f>
        <v>7</v>
      </c>
      <c r="B87" s="281" t="n">
        <f aca="false">+A87</f>
        <v>7</v>
      </c>
      <c r="C87" s="291"/>
      <c r="D87" s="292"/>
      <c r="E87" s="252"/>
      <c r="F87" s="253"/>
      <c r="G87" s="254"/>
      <c r="H87" s="284"/>
      <c r="I87" s="285"/>
      <c r="J87" s="257"/>
      <c r="K87" s="258"/>
      <c r="L87" s="259"/>
      <c r="M87" s="276"/>
      <c r="N87" s="277"/>
      <c r="O87" s="277"/>
      <c r="P87" s="277"/>
      <c r="Q87" s="293"/>
      <c r="R87" s="304"/>
      <c r="S87" s="305"/>
      <c r="T87" s="295"/>
      <c r="U87" s="295"/>
      <c r="V87" s="296"/>
      <c r="W87" s="296"/>
      <c r="X87" s="296"/>
      <c r="Y87" s="296"/>
      <c r="Z87" s="296"/>
      <c r="AA87" s="296"/>
      <c r="AB87" s="297"/>
      <c r="AC87" s="298"/>
      <c r="AD87" s="299"/>
      <c r="AE87" s="298"/>
      <c r="AF87" s="300"/>
      <c r="AG87" s="267"/>
      <c r="AH87" s="267"/>
      <c r="AI87" s="241"/>
      <c r="AJ87" s="241"/>
      <c r="AK87" s="266"/>
      <c r="AL87" s="266"/>
      <c r="AM87" s="268"/>
      <c r="AN87" s="281" t="n">
        <f aca="false">+AN85+0.2</f>
        <v>7</v>
      </c>
      <c r="AO87" s="291"/>
      <c r="AP87" s="292"/>
      <c r="AQ87" s="252"/>
      <c r="AR87" s="253"/>
      <c r="AS87" s="269" t="s">
        <v>13</v>
      </c>
      <c r="AT87" s="221"/>
      <c r="AU87" s="269"/>
      <c r="AV87" s="269"/>
      <c r="AW87" s="270" t="n">
        <f aca="false">+K87+L87</f>
        <v>0</v>
      </c>
      <c r="AX87" s="270" t="str">
        <f aca="false">IF(AS87="&gt;50","CONSISTENCIA",IF(AS87="&lt;50","COMPACIDAD"," "))</f>
        <v>COMPACIDAD</v>
      </c>
      <c r="AY87" s="225" t="str">
        <f aca="false">IF(AS87="&gt;50",AZ87,IF(AS87="&lt;50",BA87," "))</f>
        <v> </v>
      </c>
      <c r="AZ87" s="224" t="str">
        <f aca="false">IF(AW87=" "," ",IF(CC87=""," ",IF(CC87&lt;2,"MUY BLANDA",IF(CC87=2,"MUY BLANDA A BLANDA",IF(CC87&lt;4,"BLANDA",IF(CC87=4,"BLANDA A MEDIA",IF(CC87&lt;8,"MEDIA",IF(CC87=8,"MEDIA A FIRME",IF(CC87&lt;15,"FIRME",IF(CC87=15,"FIRME A MUY FIRME",IF(CC87&lt;30,"MUY FIRME",IF(CC87=30,"MUY FIRME A DURA","DURA"))))))))))))</f>
        <v> </v>
      </c>
      <c r="BA87" s="225" t="str">
        <f aca="false">IF(AW87=" "," ",IF(DC87=""," ",IF(DC87&lt;4,"MUY SUELTA",IF(DC87=4,"MUY SUELTA A SUELTA",IF(DC87&lt;10,"SUELTA",IF(DC87=10,"SUELTA A MEDIA",IF(DC87&lt;30,"MEDIA",IF(DC87=30,"MEDIA A DENSO",IF(DC87&lt;50,"DENSO",IF(DC87=50,"DENSO MUY DENSO","MUY DENSO"))))))))))</f>
        <v> </v>
      </c>
      <c r="BB87" s="190" t="str">
        <f aca="false">IF(BR88=0,"",CQ88*0.0101972)</f>
        <v/>
      </c>
      <c r="BC87" s="227" t="n">
        <f aca="false">+BC86+0.1</f>
        <v>6.99999999999999</v>
      </c>
      <c r="BD87" s="227" t="str">
        <f aca="false">IF(BC87&lt;=$AN$10,BC87,"")</f>
        <v/>
      </c>
      <c r="BE87" s="228" t="n">
        <f aca="false">ISNUMBER(BD87)</f>
        <v>0</v>
      </c>
      <c r="BF87" s="229" t="str">
        <f aca="false">MID(M87,1,1)</f>
        <v/>
      </c>
      <c r="BG87" s="230" t="str">
        <f aca="false">IF(BF87="S","",IF(BF87="G","",MID(M87,2,1)))</f>
        <v/>
      </c>
      <c r="BH87" s="231" t="str">
        <f aca="false">CONCATENATE(BF87,BG87)</f>
        <v/>
      </c>
      <c r="BI87" s="6" t="str">
        <f aca="false">IF(BE87=FALSE(),"",IF(BH87="",BI86,BH87))</f>
        <v/>
      </c>
      <c r="BJ87" s="74" t="str">
        <f aca="false">IF(OR(BI87="S",BI87="G"),BI87,"X")</f>
        <v>X</v>
      </c>
      <c r="BK87" s="74" t="s">
        <v>247</v>
      </c>
      <c r="BL87" s="307" t="e">
        <f aca="false">INDEX(sim_0,MATCH($BJ$87,granular,0))</f>
        <v>#NAME?</v>
      </c>
      <c r="BM87" s="307"/>
      <c r="BN87" s="6"/>
      <c r="BO87" s="191" t="n">
        <f aca="false">BO86+0.1</f>
        <v>6.99999999999999</v>
      </c>
      <c r="BP87" s="233" t="e">
        <f aca="false">IF(AW87=0,NA(),IF(AS87=$AX$3,ROUND(DC87,0),NA()))</f>
        <v>#N/A</v>
      </c>
      <c r="BQ87" s="31" t="e">
        <f aca="false">IF(AW87=0,NA(),IF(AS87=$AX$4,ROUND(CC87,0),NA()))</f>
        <v>#N/A</v>
      </c>
      <c r="BR87" s="234" t="n">
        <f aca="false">+AW87</f>
        <v>0</v>
      </c>
      <c r="BS87" s="235" t="str">
        <f aca="false">IF(BR87=0,"", -0.00000000016128755327*CC87^6 + 0.00000006709386362421*CC87^5 - 0.0000106217678052217*CC87^4 + 0.00081068114193385*CC87^3 - 0.0314027378159951*CC87^2 + 0.649796593937842*CC87 + 13.7888866455022)</f>
        <v/>
      </c>
      <c r="BT87" s="235" t="str">
        <f aca="false">IF(BR87=0,"",-0.00000000014625939695*CC87^6 + 0.00000004971732060241*CC87^5 - 0.000006683744342031*CC87^4 + 0.0004563177378098*CC87^3 - 0.0171727530635803*CC87^2 + 0.444529932876435*CC87 + 15.6692518940565)</f>
        <v/>
      </c>
      <c r="BU87" s="236" t="str">
        <f aca="false">IF(BR87=0,"", -0.0000000008152265738*BR87^6 + 0.00000022764320256987*BR87^5 - 0.0000248205675927705*BR87^4 + 0.00133186623684865*BR87^3 - 0.0368442570441677*BR87^2 + 0.580111565569094*BR87 + 14.0417598296107)</f>
        <v/>
      </c>
      <c r="BV87" s="236" t="str">
        <f aca="false">IF(BR87=0,"", -0.00000000004321395721*BR87^6 + 0.00000002531844275498*BR87^5 - 0.00000369428022780862*BR87^4 + 0.00020283665900125*BR87^3 - 0.00462426256803268*BR87^2 + 0.139572935065453*BR87 + 15.4475338156923)</f>
        <v/>
      </c>
      <c r="BW87" s="236" t="str">
        <f aca="false">IF(BR87=0,"",-0.00000000033126390082*BR87^6 + 0.00000010463660614506*BR87^5 - 0.0000129629592998707*BR87^4 + 0.000803946335250767*BR87^3 - 0.0270257140395994*BR87^2 + 0.562590210721552*BR87+ 12.1254107606419)</f>
        <v/>
      </c>
      <c r="BX87" s="236" t="str">
        <f aca="false">IF(BR87=0,"",-0.00000000002593504955*BR87^6 + 0.00000002430495156704*BR87^5 - 0.00000386103271086364*BR87^4 + 0.000214416118986322*BR87^3 - 0.0047271462612021*BR87^2 + 0.156696175741135*BR87 + 15.4598891949502)</f>
        <v/>
      </c>
      <c r="BY87" s="234" t="str">
        <f aca="false">IF(BR87=0,"",$BS$2)</f>
        <v/>
      </c>
      <c r="BZ87" s="234" t="str">
        <f aca="false">IF(BR87=0,"",$BS$3)</f>
        <v/>
      </c>
      <c r="CA87" s="234" t="str">
        <f aca="false">IF(BR87=0,"",$BS$4)</f>
        <v/>
      </c>
      <c r="CB87" s="235" t="str">
        <f aca="false">IF(BR87=0,"",IF(AND(BO87&gt;=0,BO87&lt;4),0.75,IF(AND(BO87&gt;=4,BO87&lt;6),0.85,IF(AND(BO87&gt;=6,BO87&lt;=10),0.95,1))))</f>
        <v/>
      </c>
      <c r="CC87" s="234" t="str">
        <f aca="false">IF(BR87=0,"",BR87*BY87*BZ87*CA87*CB87/60)</f>
        <v/>
      </c>
      <c r="CD87" s="238" t="str">
        <f aca="false">IF(BR87=0,"",IF($S$12="NO","NO",IF($AD$12&lt;=BO87,"SI","NO")))</f>
        <v/>
      </c>
      <c r="CE87" s="235" t="n">
        <f aca="false">IF(BR87=0,0,AB87)</f>
        <v>0</v>
      </c>
      <c r="CF87" s="235" t="n">
        <f aca="false">IF(CE87&gt;0,BO87,0)</f>
        <v>0</v>
      </c>
      <c r="CG87" s="239" t="n">
        <f aca="false">IF(CF87=0,CF87+CG86,CF87)</f>
        <v>0</v>
      </c>
      <c r="CH87" s="239" t="n">
        <f aca="false">IF(CG87=CG86,CH86,ABS(CG87-CG86))</f>
        <v>0</v>
      </c>
      <c r="CI87" s="239" t="n">
        <f aca="false">+CE87*CH87</f>
        <v>0</v>
      </c>
      <c r="CJ87" s="239" t="n">
        <f aca="false">IF(CI87=0,CI87+CJ86,CI87)</f>
        <v>0</v>
      </c>
      <c r="CK87" s="239" t="n">
        <f aca="false">IF(CJ87=CJ86,CK86,ABS(CJ87+CK86))</f>
        <v>0</v>
      </c>
      <c r="CL87" s="241" t="n">
        <f aca="false">IF(CE87=0,0,CK87)</f>
        <v>0</v>
      </c>
      <c r="CM87" s="239" t="n">
        <f aca="false">IF(CE87=0,0,CH87*9.81)</f>
        <v>0</v>
      </c>
      <c r="CN87" s="239" t="n">
        <f aca="false">IF(CM87=0,CM87+CN86,CM87)</f>
        <v>0</v>
      </c>
      <c r="CO87" s="239" t="n">
        <f aca="false">IF(CN87=CN86,CO86,ABS(CN87+CO86))</f>
        <v>0</v>
      </c>
      <c r="CP87" s="241" t="n">
        <f aca="false">IF(CD87="NO",0,IF(CE87=0,0,CO87))</f>
        <v>0</v>
      </c>
      <c r="CQ87" s="244" t="str">
        <f aca="false">IF(BR87=0,"",CL87-CP87)</f>
        <v/>
      </c>
      <c r="CR87" s="244" t="str">
        <f aca="false">IF(BR87=0,"",CQ87/101.3)</f>
        <v/>
      </c>
      <c r="CS87" s="244" t="str">
        <f aca="false">IF(BR87=0,"",LOG(10/CR87))</f>
        <v/>
      </c>
      <c r="CT87" s="243" t="str">
        <f aca="false">IF(BR87=0,"",IF(SQRT(101.3/CQ87)&lt;=1.7,SQRT(101.3/CQ87),2.2/(1.2+(CQ87/101.3))))</f>
        <v/>
      </c>
      <c r="CU87" s="244" t="str">
        <f aca="false">IF(BR87=0,"",1.7/(0.7+CR87))</f>
        <v/>
      </c>
      <c r="CV87" s="244" t="str">
        <f aca="false">IF(BR87=0,"",IF(CR87&gt;=0.25,0.77*LOG(20/CR87),""))</f>
        <v/>
      </c>
      <c r="CW87" s="244" t="str">
        <f aca="false">IF(BR87=0,"",32.5/(10.2+20.3*CR87))</f>
        <v/>
      </c>
      <c r="CX87" s="244" t="str">
        <f aca="false">IF(BR87=0,"",1-1.25*LOG(CR87))</f>
        <v/>
      </c>
      <c r="CY87" s="244" t="str">
        <f aca="false">IF(BR87=0,"",IF(CR87&lt;1,1-1.41*LOG(CR87),1+0.92*LOG(CR87)))</f>
        <v/>
      </c>
      <c r="CZ87" s="244" t="str">
        <f aca="false">IF(BR87=0,"",2/(1+CR87))</f>
        <v/>
      </c>
      <c r="DA87" s="244" t="str">
        <f aca="false">IF(BR87=0,"",IF(CR87&lt;=0.75,4/(1+4*CR87),4/(3.25+CR87)))</f>
        <v/>
      </c>
      <c r="DB87" s="244" t="str">
        <f aca="false">IF(BR87=0,"",CT87)</f>
        <v/>
      </c>
      <c r="DC87" s="244" t="str">
        <f aca="false">IF(BR87=0,"",DB87*CC87)</f>
        <v/>
      </c>
      <c r="DD87" s="244"/>
      <c r="DE87" s="244" t="str">
        <f aca="false">IF(BR87=0,"",0.193*(CC87/(CQ87*0.001))^0.689)</f>
        <v/>
      </c>
      <c r="DF87" s="244" t="str">
        <f aca="false">IF(BR87=0,"",IF(AS87=$AX$4,(0.1348118*CC87 - 0.0383065)*98.0665,""))</f>
        <v/>
      </c>
      <c r="DG87" s="244" t="str">
        <f aca="false">IF(BR87=0,"",IF(AS87=$AX$4,DF87/2,""))</f>
        <v/>
      </c>
      <c r="DH87" s="244" t="str">
        <f aca="false">IF(BR87=0,"",IF(DC87&lt;=15,12*(DC87+6),40+12*(DC87-6)))</f>
        <v/>
      </c>
      <c r="DI87" s="244" t="str">
        <f aca="false">IF(BR87=0,"",IF(CD87="SI",5*(DC87+15),((3.3*(DC87+15))+(4*(DC87+12)))/2))</f>
        <v/>
      </c>
      <c r="DJ87" s="244" t="str">
        <f aca="false">IF(BR87=0,"",8*DC87)</f>
        <v/>
      </c>
      <c r="DK87" s="244" t="str">
        <f aca="false">IF(BR87=0,"",215+(10.6*DC87))</f>
        <v/>
      </c>
      <c r="DL87" s="244" t="str">
        <f aca="false">IF(BR87=0,"",10*(7.5+(0.5*DC87)))</f>
        <v/>
      </c>
      <c r="DM87" s="244" t="str">
        <f aca="false">IF(BR87=0,"",8*DC87)</f>
        <v/>
      </c>
      <c r="DN87" s="244" t="str">
        <f aca="false">IF(AW87=" "," ",IF(DC87=""," ",IF(DC87&lt;4,10*10.2,IF(DC87=4,12*10.2,IF(DC87&lt;10,17.5*10.5,IF(DC87=10,15*10.2,IF(DC87&lt;30,22.5*10.2,IF(DC87=30,35*10.2,IF(DC87&lt;50,40*10.2,IF(DC87=50,50*10.2,55*10.2))))))))))</f>
        <v> </v>
      </c>
      <c r="DO87" s="244" t="str">
        <f aca="false">IF(BR87=0,"",7*SQRT(DC87)*10.1972)</f>
        <v/>
      </c>
      <c r="DP87" s="244" t="str">
        <f aca="false">IF(BR87=0,"",IF(AS87=$AX$4,5*CC87,""))</f>
        <v/>
      </c>
      <c r="DQ87" s="244" t="str">
        <f aca="false">IF(AW87=" "," ",IF(DC87=""," ",IF(DC87&lt;2,4*10.2,IF(DC87=2,6*10.2,IF(DC87&lt;4,12*10.2,IF(DC87=4,20*10.2,IF(DC87&lt;8,30*10.2,IF(DC87=8,35*10.2,IF(DC87&lt;15,40*10.2,IF(DC87=15,42*10.2,IF(DC87&lt;30,45*10.2,IF(DC87=30,50*10.2,70*10.2))))))))))))</f>
        <v> </v>
      </c>
      <c r="DR87" s="244" t="str">
        <f aca="false">IF(BR87=0,"",IF(AS87=$AX$4,220*DP87*0.0101972,""))</f>
        <v/>
      </c>
      <c r="DS87" s="271" t="str">
        <f aca="false">IF(BR87=0,"",IF(AS87=$AX$7,(SUM(DH87:DO87)-MIN(DH87:DO87)-MAX(DH87:DO87))/6,(SUM(DO87:DR87)-MIN(DO87:DR87)-MAX(DO87:DR87))/2))</f>
        <v/>
      </c>
      <c r="DT87" s="244" t="str">
        <f aca="false">IF(AW87=" "," ",IF(DC87=""," ",IF(DC87&lt;4,0.2,IF(DC87=4,0.27,IF(DC87&lt;10,0.33,IF(DC87=10,0.35,IF(DC87&lt;30,0.36,IF(DC87=30,0.37,IF(DC87&lt;50,0.38,IF(DC87=50,0.4,0.45))))))))))</f>
        <v> </v>
      </c>
      <c r="DU87" s="272" t="str">
        <f aca="false">IF(AW87=" "," ",IF(CC87=""," ",IF(CC87&lt;2,0.2,IF(CC87=2,0.23,IF(CC87&lt;4,0.26,IF(CC87=4,0.29,IF(CC87&lt;8,0.32,IF(CC87=8,0.35,IF(CC87&lt;15,0.38,IF(CC87=15,0.41,IF(CC87&lt;30,0.44,IF(CC87=30,0.47,0.5))))))))))))</f>
        <v> </v>
      </c>
      <c r="DV87" s="244" t="str">
        <f aca="false">IF(BR87=0,"",IF(AS87=$AX$3,DT87,DU87))</f>
        <v/>
      </c>
      <c r="DW87" s="244" t="str">
        <f aca="false">IF(BR87=0,"",IF(DC87&gt;15,15+0.5*(DC87-15),DC87))</f>
        <v/>
      </c>
      <c r="DX87" s="244" t="str">
        <f aca="false">IF(BR87=0,"",IF($S$12="SI",IF(CD87="NO",IF($AD$12&gt;(BO87+1.5*$ED$15),1,0.5),0.5),1))</f>
        <v/>
      </c>
      <c r="DY87" s="244" t="str">
        <f aca="false">IF(BR87=0,"",IF($S$12="SI",IF(CD87="NO",IF($AD$12&gt;(BO87+1.5*$EE$15),1,0.5),0.5),1))</f>
        <v/>
      </c>
      <c r="DZ87" s="244" t="str">
        <f aca="false">IF(BR87=0,"",IF($S$12="SI",IF(CD87="NO",IF($AD$12&gt;(BO87+1.5*$EF$15),1,0.5),0.5),1))</f>
        <v/>
      </c>
      <c r="EA87" s="244" t="str">
        <f aca="false">IF(BR87=0,"",IF($S$12="SI",IF(CD87="NO",IF($AD$12&gt;(BO87+1.5*$ED$15),1,0.5),IF($AD$12=BO87,1,0.5)),1))</f>
        <v/>
      </c>
      <c r="EB87" s="244" t="str">
        <f aca="false">IF(BR87=0,"",IF($S$12="SI",IF(CD87="NO",IF($AD$12&gt;(BO87+1.5*$EE$15),1,0.5),IF($AD$12=BO87,1,0.5)),1))</f>
        <v/>
      </c>
      <c r="EC87" s="244" t="str">
        <f aca="false">IF(BR87=0,"",IF($S$12="SI",IF(CD87="NO",IF($AD$12&gt;(BO87+1.5*$EF$15),1,0.5),IF($AD$12=BO87,1,0.5)),1))</f>
        <v/>
      </c>
      <c r="ED87" s="244" t="str">
        <f aca="false">IF(BR87=0,"",(DW87*($ED$15/10)*(DX87+EA87*(BO87/$ED$15))*1)/3)</f>
        <v/>
      </c>
      <c r="EE87" s="244" t="str">
        <f aca="false">IF(BR87=0,"",(DW87*($EE$15/10)*(DY87+EB87*(BO87/$EE$15))*1)/3)</f>
        <v/>
      </c>
      <c r="EF87" s="244" t="str">
        <f aca="false">IF(BR87=0,"",(DW87*($EF$15/10)*(DZ87+EC87*(BO87/$EF$15))*1)/3)</f>
        <v/>
      </c>
      <c r="EG87" s="273" t="str">
        <f aca="false">IF(BR87=0,"",IF(CD87="SI",0.5,1))</f>
        <v/>
      </c>
      <c r="EH87" s="244" t="str">
        <f aca="false">IF(BR87=0,"",IF((1+0.33*(BO87/$ED$15))&lt;=1.33,(1+0.33*(BO87/$ED$15)),1.33))</f>
        <v/>
      </c>
      <c r="EI87" s="244" t="str">
        <f aca="false">IF(BR87=0,"",IF((1+0.33*(BO87/$EE$15))&lt;=1.33,(1+0.33*(BO87/$EE$15)),1.33))</f>
        <v/>
      </c>
      <c r="EJ87" s="244" t="str">
        <f aca="false">IF(BR87=0,"",IF((1+0.33*(BO87/$EF$15))&lt;=1.33,(1+0.33*(BO87/$EF$15)),1.33))</f>
        <v/>
      </c>
      <c r="EK87" s="244" t="str">
        <f aca="false">IF(BR87=0,"",IF($ED$15&lt;=1.2,((20*DC87*EG87*EH87)/3)*0.010197,((12.5*DC87*((($ED$15+0.3)^2)/$ED$15)*EG87*EH87)/3)*0.010197))</f>
        <v/>
      </c>
      <c r="EL87" s="244" t="str">
        <f aca="false">IF(BR87=0,"",IF($EE$15&lt;=1.2,((20*DC87*EG87*EI87)/3)*0.010197,((12.5*DC87*((($EE$15+0.3)^2)/$EE$15)*EG87*EI87)/3)*0.010197))</f>
        <v/>
      </c>
      <c r="EM87" s="244" t="str">
        <f aca="false">IF(BR87=0,"",IF($EF$15&lt;=1.2,((20*DC87*EG87*EJ87)/3)*0.010197,((12.5*DC87*((($EF$15+0.3)^2)/$EF$15)*EG87*EJ87)/3)*0.010197))</f>
        <v/>
      </c>
      <c r="EN87" s="248" t="str">
        <f aca="false">IF(BR87=0,"",SQRT(12*CC87)+25)</f>
        <v/>
      </c>
      <c r="EO87" s="248" t="str">
        <f aca="false">IF(BR87=0,"",28.5+0.25*CC87)</f>
        <v/>
      </c>
      <c r="EP87" s="248" t="str">
        <f aca="false">IF(BR87=0,"",SQRT(20*CC87)+15)</f>
        <v/>
      </c>
      <c r="EQ87" s="248" t="str">
        <f aca="false">IF(BR87=0,"",23.7+0.57*CC87-0.0006*CC87*CC87)</f>
        <v/>
      </c>
      <c r="ER87" s="248" t="str">
        <f aca="false">IF(BR87=0,"",15+SQRT(12.5*DC87))</f>
        <v/>
      </c>
      <c r="ES87" s="248" t="str">
        <f aca="false">IF(BR87=0,"",3.5*SQRT(CC87)+20)</f>
        <v/>
      </c>
      <c r="ET87" s="248" t="str">
        <f aca="false">IF(BR87=0,"",27.1+0.3*DC87-0.00054*DC87*DC87)</f>
        <v/>
      </c>
      <c r="EU87" s="248" t="str">
        <f aca="false">IF(BR87=0,"",SQRT(20*CC87)+20)</f>
        <v/>
      </c>
      <c r="EV87" s="248" t="str">
        <f aca="false">IF(BR87=0,"",12.79+SQRT(25.86*CC87))</f>
        <v/>
      </c>
      <c r="EW87" s="248" t="str">
        <f aca="false">IF(BR87=0,"",DEGREES(_xlfn.ACOT((CC87/(12.2+20.3*CR87))^0.34)))</f>
        <v/>
      </c>
      <c r="EX87" s="248" t="str">
        <f aca="false">IF(BR87=0,"",24+(5.77*LN(0.17*DC87)))</f>
        <v/>
      </c>
      <c r="EY87" s="248" t="str">
        <f aca="false">IF(BR87=0,"",(SUM(EN87:EX87)-MIN(EN87:EX87)-MAX(EN87:EX87))/9)</f>
        <v/>
      </c>
      <c r="EZ87" s="248" t="str">
        <f aca="false">IF(BR87=0,"", -0.0000000034*CC87^6 + 0.0000008305*CC87^5 - 0.0000741842*CC87^4 + 0.0030204278*CC87^3 - 0.0541594733*CC87^2 + 0.8083147848*CC87 - 0.6182191243)</f>
        <v/>
      </c>
      <c r="FA87" s="249" t="str">
        <f aca="false">IF(BR87=0,"",(0.134811827956989*CC87 - 0.0383064516129019)/2)</f>
        <v/>
      </c>
      <c r="FB87" s="249" t="str">
        <f aca="false">IF(BR87=0,"",CC87*0.065)</f>
        <v/>
      </c>
      <c r="FC87" s="249" t="str">
        <f aca="false">IF(BR87=0,"",(CC87*0.12*0.48)*SQRT((1+SIN(EZ87*((2*PI())/360))/(1-SIN(EZ87*((2*PI())/360))))))</f>
        <v/>
      </c>
      <c r="FD87" s="249" t="str">
        <f aca="false">IF(BR87=0,"",(CC87/8)/2)</f>
        <v/>
      </c>
      <c r="FE87" s="249" t="str">
        <f aca="false">IF(BR87=0,"",(SUM(FA87:FD87)-MIN(FA87:FD87)-MAX(FA87:FD87))/2)</f>
        <v/>
      </c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</row>
    <row r="88" customFormat="false" ht="9.75" hidden="false" customHeight="true" outlineLevel="0" collapsed="false">
      <c r="A88" s="197" t="n">
        <f aca="false">ROUND(A87+0.1,1)</f>
        <v>7.1</v>
      </c>
      <c r="B88" s="281"/>
      <c r="C88" s="251"/>
      <c r="D88" s="283"/>
      <c r="E88" s="199"/>
      <c r="F88" s="200"/>
      <c r="G88" s="254"/>
      <c r="H88" s="255"/>
      <c r="I88" s="256"/>
      <c r="J88" s="257"/>
      <c r="K88" s="258"/>
      <c r="L88" s="259"/>
      <c r="M88" s="276"/>
      <c r="N88" s="277"/>
      <c r="O88" s="277"/>
      <c r="P88" s="277"/>
      <c r="Q88" s="293"/>
      <c r="R88" s="278"/>
      <c r="S88" s="278"/>
      <c r="T88" s="295"/>
      <c r="U88" s="295"/>
      <c r="V88" s="296"/>
      <c r="W88" s="296"/>
      <c r="X88" s="296"/>
      <c r="Y88" s="296"/>
      <c r="Z88" s="296"/>
      <c r="AA88" s="296"/>
      <c r="AB88" s="297"/>
      <c r="AC88" s="298"/>
      <c r="AD88" s="299"/>
      <c r="AE88" s="298"/>
      <c r="AF88" s="300"/>
      <c r="AG88" s="267"/>
      <c r="AH88" s="267"/>
      <c r="AI88" s="241"/>
      <c r="AJ88" s="241"/>
      <c r="AK88" s="266"/>
      <c r="AL88" s="266"/>
      <c r="AM88" s="268"/>
      <c r="AN88" s="281"/>
      <c r="AO88" s="251"/>
      <c r="AP88" s="283"/>
      <c r="AQ88" s="199"/>
      <c r="AR88" s="200"/>
      <c r="AS88" s="269" t="s">
        <v>13</v>
      </c>
      <c r="AT88" s="221"/>
      <c r="AU88" s="269"/>
      <c r="AV88" s="269"/>
      <c r="AW88" s="270" t="n">
        <f aca="false">+K88+L88</f>
        <v>0</v>
      </c>
      <c r="AX88" s="270" t="str">
        <f aca="false">IF(AS88="&gt;50","CONSISTENCIA",IF(AS88="&lt;50","COMPACIDAD"," "))</f>
        <v>COMPACIDAD</v>
      </c>
      <c r="AY88" s="225" t="str">
        <f aca="false">IF(AS88="&gt;50",AZ88,IF(AS88="&lt;50",BA88," "))</f>
        <v> </v>
      </c>
      <c r="AZ88" s="224" t="str">
        <f aca="false">IF(AW88=" "," ",IF(CC88=""," ",IF(CC88&lt;2,"MUY BLANDA",IF(CC88=2,"MUY BLANDA A BLANDA",IF(CC88&lt;4,"BLANDA",IF(CC88=4,"BLANDA A MEDIA",IF(CC88&lt;8,"MEDIA",IF(CC88=8,"MEDIA A FIRME",IF(CC88&lt;15,"FIRME",IF(CC88=15,"FIRME A MUY FIRME",IF(CC88&lt;30,"MUY FIRME",IF(CC88=30,"MUY FIRME A DURA","DURA"))))))))))))</f>
        <v> </v>
      </c>
      <c r="BA88" s="225" t="str">
        <f aca="false">IF(AW88=" "," ",IF(DC88=""," ",IF(DC88&lt;4,"MUY SUELTA",IF(DC88=4,"MUY SUELTA A SUELTA",IF(DC88&lt;10,"SUELTA",IF(DC88=10,"SUELTA A MEDIA",IF(DC88&lt;30,"MEDIA",IF(DC88=30,"MEDIA A DENSO",IF(DC88&lt;50,"DENSO",IF(DC88=50,"DENSO MUY DENSO","MUY DENSO"))))))))))</f>
        <v> </v>
      </c>
      <c r="BB88" s="226" t="str">
        <f aca="false">IF(BR89=0,"",CQ89*0.0101972)</f>
        <v/>
      </c>
      <c r="BC88" s="227" t="n">
        <f aca="false">+BC87+0.1</f>
        <v>7.09999999999999</v>
      </c>
      <c r="BD88" s="227" t="str">
        <f aca="false">IF(BC88&lt;=$AN$10,BC88,"")</f>
        <v/>
      </c>
      <c r="BE88" s="228" t="n">
        <f aca="false">ISNUMBER(BD88)</f>
        <v>0</v>
      </c>
      <c r="BF88" s="229" t="str">
        <f aca="false">MID(M88,1,1)</f>
        <v/>
      </c>
      <c r="BG88" s="230" t="str">
        <f aca="false">IF(BF88="S","",IF(BF88="G","",MID(M88,2,1)))</f>
        <v/>
      </c>
      <c r="BH88" s="231" t="str">
        <f aca="false">CONCATENATE(BF88,BG88)</f>
        <v/>
      </c>
      <c r="BI88" s="6" t="str">
        <f aca="false">IF(BE88=FALSE(),"",IF(BH88="",BI87,BH88))</f>
        <v/>
      </c>
      <c r="BJ88" s="74" t="str">
        <f aca="false">IF(OR(BI88="S",BI88="G"),BI88,"X")</f>
        <v>X</v>
      </c>
      <c r="BK88" s="74" t="s">
        <v>248</v>
      </c>
      <c r="BL88" s="311" t="e">
        <f aca="false">INDEX(sim_0,MATCH($BJ$88,granular,0))</f>
        <v>#NAME?</v>
      </c>
      <c r="BM88" s="311"/>
      <c r="BN88" s="6"/>
      <c r="BO88" s="191" t="n">
        <f aca="false">BO87+0.1</f>
        <v>7.09999999999999</v>
      </c>
      <c r="BP88" s="233" t="e">
        <f aca="false">IF(AW88=0,NA(),IF(AS88=$AX$3,ROUND(DC88,0),NA()))</f>
        <v>#N/A</v>
      </c>
      <c r="BQ88" s="31" t="e">
        <f aca="false">IF(AW88=0,NA(),IF(AS88=$AX$4,ROUND(CC88,0),NA()))</f>
        <v>#N/A</v>
      </c>
      <c r="BR88" s="234" t="n">
        <f aca="false">+AW88</f>
        <v>0</v>
      </c>
      <c r="BS88" s="235" t="str">
        <f aca="false">IF(BR88=0,"", -0.00000000016128755327*CC88^6 + 0.00000006709386362421*CC88^5 - 0.0000106217678052217*CC88^4 + 0.00081068114193385*CC88^3 - 0.0314027378159951*CC88^2 + 0.649796593937842*CC88 + 13.7888866455022)</f>
        <v/>
      </c>
      <c r="BT88" s="235" t="str">
        <f aca="false">IF(BR88=0,"",-0.00000000014625939695*CC88^6 + 0.00000004971732060241*CC88^5 - 0.000006683744342031*CC88^4 + 0.0004563177378098*CC88^3 - 0.0171727530635803*CC88^2 + 0.444529932876435*CC88 + 15.6692518940565)</f>
        <v/>
      </c>
      <c r="BU88" s="236" t="str">
        <f aca="false">IF(BR88=0,"", -0.0000000008152265738*BR88^6 + 0.00000022764320256987*BR88^5 - 0.0000248205675927705*BR88^4 + 0.00133186623684865*BR88^3 - 0.0368442570441677*BR88^2 + 0.580111565569094*BR88 + 14.0417598296107)</f>
        <v/>
      </c>
      <c r="BV88" s="236" t="str">
        <f aca="false">IF(BR88=0,"", -0.00000000004321395721*BR88^6 + 0.00000002531844275498*BR88^5 - 0.00000369428022780862*BR88^4 + 0.00020283665900125*BR88^3 - 0.00462426256803268*BR88^2 + 0.139572935065453*BR88 + 15.4475338156923)</f>
        <v/>
      </c>
      <c r="BW88" s="236" t="str">
        <f aca="false">IF(BR88=0,"",-0.00000000033126390082*BR88^6 + 0.00000010463660614506*BR88^5 - 0.0000129629592998707*BR88^4 + 0.000803946335250767*BR88^3 - 0.0270257140395994*BR88^2 + 0.562590210721552*BR88+ 12.1254107606419)</f>
        <v/>
      </c>
      <c r="BX88" s="236" t="str">
        <f aca="false">IF(BR88=0,"",-0.00000000002593504955*BR88^6 + 0.00000002430495156704*BR88^5 - 0.00000386103271086364*BR88^4 + 0.000214416118986322*BR88^3 - 0.0047271462612021*BR88^2 + 0.156696175741135*BR88 + 15.4598891949502)</f>
        <v/>
      </c>
      <c r="BY88" s="234" t="str">
        <f aca="false">IF(BR88=0,"",$BS$2)</f>
        <v/>
      </c>
      <c r="BZ88" s="234" t="str">
        <f aca="false">IF(BR88=0,"",$BS$3)</f>
        <v/>
      </c>
      <c r="CA88" s="234" t="str">
        <f aca="false">IF(BR88=0,"",$BS$4)</f>
        <v/>
      </c>
      <c r="CB88" s="235" t="str">
        <f aca="false">IF(BR88=0,"",IF(AND(BO88&gt;=0,BO88&lt;4),0.75,IF(AND(BO88&gt;=4,BO88&lt;6),0.85,IF(AND(BO88&gt;=6,BO88&lt;=10),0.95,1))))</f>
        <v/>
      </c>
      <c r="CC88" s="234" t="str">
        <f aca="false">IF(BR88=0,"",BR88*BY88*BZ88*CA88*CB88/60)</f>
        <v/>
      </c>
      <c r="CD88" s="238" t="str">
        <f aca="false">IF(BR88=0,"",IF($S$12="NO","NO",IF($AD$12&lt;=BO88,"SI","NO")))</f>
        <v/>
      </c>
      <c r="CE88" s="235" t="n">
        <f aca="false">IF(BR88=0,0,AB88)</f>
        <v>0</v>
      </c>
      <c r="CF88" s="235" t="n">
        <f aca="false">IF(CE88&gt;0,BO88,0)</f>
        <v>0</v>
      </c>
      <c r="CG88" s="239" t="n">
        <f aca="false">IF(CF88=0,CF88+CG87,CF88)</f>
        <v>0</v>
      </c>
      <c r="CH88" s="239" t="n">
        <f aca="false">IF(CG88=CG87,CH87,ABS(CG88-CG87))</f>
        <v>0</v>
      </c>
      <c r="CI88" s="239" t="n">
        <f aca="false">+CE88*CH88</f>
        <v>0</v>
      </c>
      <c r="CJ88" s="239" t="n">
        <f aca="false">IF(CI88=0,CI88+CJ87,CI88)</f>
        <v>0</v>
      </c>
      <c r="CK88" s="239" t="n">
        <f aca="false">IF(CJ88=CJ87,CK87,ABS(CJ88+CK87))</f>
        <v>0</v>
      </c>
      <c r="CL88" s="241" t="n">
        <f aca="false">IF(CE88=0,0,CK88)</f>
        <v>0</v>
      </c>
      <c r="CM88" s="239" t="n">
        <f aca="false">IF(CE88=0,0,CH88*9.81)</f>
        <v>0</v>
      </c>
      <c r="CN88" s="239" t="n">
        <f aca="false">IF(CM88=0,CM88+CN87,CM88)</f>
        <v>0</v>
      </c>
      <c r="CO88" s="239" t="n">
        <f aca="false">IF(CN88=CN87,CO87,ABS(CN88+CO87))</f>
        <v>0</v>
      </c>
      <c r="CP88" s="241" t="n">
        <f aca="false">IF(CD88="NO",0,IF(CE88=0,0,CO88))</f>
        <v>0</v>
      </c>
      <c r="CQ88" s="244" t="str">
        <f aca="false">IF(BR88=0,"",CL88-CP88)</f>
        <v/>
      </c>
      <c r="CR88" s="244" t="str">
        <f aca="false">IF(BR88=0,"",CQ88/101.3)</f>
        <v/>
      </c>
      <c r="CS88" s="244" t="str">
        <f aca="false">IF(BR88=0,"",LOG(10/CR88))</f>
        <v/>
      </c>
      <c r="CT88" s="243" t="str">
        <f aca="false">IF(BR88=0,"",IF(SQRT(101.3/CQ88)&lt;=1.7,SQRT(101.3/CQ88),2.2/(1.2+(CQ88/101.3))))</f>
        <v/>
      </c>
      <c r="CU88" s="244" t="str">
        <f aca="false">IF(BR88=0,"",1.7/(0.7+CR88))</f>
        <v/>
      </c>
      <c r="CV88" s="244" t="str">
        <f aca="false">IF(BR88=0,"",IF(CR88&gt;=0.25,0.77*LOG(20/CR88),""))</f>
        <v/>
      </c>
      <c r="CW88" s="244" t="str">
        <f aca="false">IF(BR88=0,"",32.5/(10.2+20.3*CR88))</f>
        <v/>
      </c>
      <c r="CX88" s="244" t="str">
        <f aca="false">IF(BR88=0,"",1-1.25*LOG(CR88))</f>
        <v/>
      </c>
      <c r="CY88" s="244" t="str">
        <f aca="false">IF(BR88=0,"",IF(CR88&lt;1,1-1.41*LOG(CR88),1+0.92*LOG(CR88)))</f>
        <v/>
      </c>
      <c r="CZ88" s="244" t="str">
        <f aca="false">IF(BR88=0,"",2/(1+CR88))</f>
        <v/>
      </c>
      <c r="DA88" s="244" t="str">
        <f aca="false">IF(BR88=0,"",IF(CR88&lt;=0.75,4/(1+4*CR88),4/(3.25+CR88)))</f>
        <v/>
      </c>
      <c r="DB88" s="244" t="str">
        <f aca="false">IF(BR88=0,"",CT88)</f>
        <v/>
      </c>
      <c r="DC88" s="244" t="str">
        <f aca="false">IF(BR88=0,"",DB88*CC88)</f>
        <v/>
      </c>
      <c r="DD88" s="244"/>
      <c r="DE88" s="244" t="str">
        <f aca="false">IF(BR88=0,"",0.193*(CC88/(CQ88*0.001))^0.689)</f>
        <v/>
      </c>
      <c r="DF88" s="244" t="str">
        <f aca="false">IF(BR88=0,"",IF(AS88=$AX$4,(0.1348118*CC88 - 0.0383065)*98.0665,""))</f>
        <v/>
      </c>
      <c r="DG88" s="244" t="str">
        <f aca="false">IF(BR88=0,"",IF(AS88=$AX$4,DF88/2,""))</f>
        <v/>
      </c>
      <c r="DH88" s="244" t="str">
        <f aca="false">IF(BR88=0,"",IF(DC88&lt;=15,12*(DC88+6),40+12*(DC88-6)))</f>
        <v/>
      </c>
      <c r="DI88" s="244" t="str">
        <f aca="false">IF(BR88=0,"",IF(CD88="SI",5*(DC88+15),((3.3*(DC88+15))+(4*(DC88+12)))/2))</f>
        <v/>
      </c>
      <c r="DJ88" s="244" t="str">
        <f aca="false">IF(BR88=0,"",8*DC88)</f>
        <v/>
      </c>
      <c r="DK88" s="244" t="str">
        <f aca="false">IF(BR88=0,"",215+(10.6*DC88))</f>
        <v/>
      </c>
      <c r="DL88" s="244" t="str">
        <f aca="false">IF(BR88=0,"",10*(7.5+(0.5*DC88)))</f>
        <v/>
      </c>
      <c r="DM88" s="244" t="str">
        <f aca="false">IF(BR88=0,"",8*DC88)</f>
        <v/>
      </c>
      <c r="DN88" s="244" t="str">
        <f aca="false">IF(AW88=" "," ",IF(DC88=""," ",IF(DC88&lt;4,10*10.2,IF(DC88=4,12*10.2,IF(DC88&lt;10,17.5*10.5,IF(DC88=10,15*10.2,IF(DC88&lt;30,22.5*10.2,IF(DC88=30,35*10.2,IF(DC88&lt;50,40*10.2,IF(DC88=50,50*10.2,55*10.2))))))))))</f>
        <v> </v>
      </c>
      <c r="DO88" s="244" t="str">
        <f aca="false">IF(BR88=0,"",7*SQRT(DC88)*10.1972)</f>
        <v/>
      </c>
      <c r="DP88" s="244" t="str">
        <f aca="false">IF(BR88=0,"",IF(AS88=$AX$4,5*CC88,""))</f>
        <v/>
      </c>
      <c r="DQ88" s="244" t="str">
        <f aca="false">IF(AW88=" "," ",IF(DC88=""," ",IF(DC88&lt;2,4*10.2,IF(DC88=2,6*10.2,IF(DC88&lt;4,12*10.2,IF(DC88=4,20*10.2,IF(DC88&lt;8,30*10.2,IF(DC88=8,35*10.2,IF(DC88&lt;15,40*10.2,IF(DC88=15,42*10.2,IF(DC88&lt;30,45*10.2,IF(DC88=30,50*10.2,70*10.2))))))))))))</f>
        <v> </v>
      </c>
      <c r="DR88" s="244" t="str">
        <f aca="false">IF(BR88=0,"",IF(AS88=$AX$4,220*DP88*0.0101972,""))</f>
        <v/>
      </c>
      <c r="DS88" s="271" t="str">
        <f aca="false">IF(BR88=0,"",IF(AS88=$AX$7,(SUM(DH88:DO88)-MIN(DH88:DO88)-MAX(DH88:DO88))/6,(SUM(DO88:DR88)-MIN(DO88:DR88)-MAX(DO88:DR88))/2))</f>
        <v/>
      </c>
      <c r="DT88" s="244" t="str">
        <f aca="false">IF(AW88=" "," ",IF(DC88=""," ",IF(DC88&lt;4,0.2,IF(DC88=4,0.27,IF(DC88&lt;10,0.33,IF(DC88=10,0.35,IF(DC88&lt;30,0.36,IF(DC88=30,0.37,IF(DC88&lt;50,0.38,IF(DC88=50,0.4,0.45))))))))))</f>
        <v> </v>
      </c>
      <c r="DU88" s="272" t="str">
        <f aca="false">IF(AW88=" "," ",IF(CC88=""," ",IF(CC88&lt;2,0.2,IF(CC88=2,0.23,IF(CC88&lt;4,0.26,IF(CC88=4,0.29,IF(CC88&lt;8,0.32,IF(CC88=8,0.35,IF(CC88&lt;15,0.38,IF(CC88=15,0.41,IF(CC88&lt;30,0.44,IF(CC88=30,0.47,0.5))))))))))))</f>
        <v> </v>
      </c>
      <c r="DV88" s="244" t="str">
        <f aca="false">IF(BR88=0,"",IF(AS88=$AX$3,DT88,DU88))</f>
        <v/>
      </c>
      <c r="DW88" s="244" t="str">
        <f aca="false">IF(BR88=0,"",IF(DC88&gt;15,15+0.5*(DC88-15),DC88))</f>
        <v/>
      </c>
      <c r="DX88" s="244" t="str">
        <f aca="false">IF(BR88=0,"",IF($S$12="SI",IF(CD88="NO",IF($AD$12&gt;(BO88+1.5*$ED$15),1,0.5),0.5),1))</f>
        <v/>
      </c>
      <c r="DY88" s="244" t="str">
        <f aca="false">IF(BR88=0,"",IF($S$12="SI",IF(CD88="NO",IF($AD$12&gt;(BO88+1.5*$EE$15),1,0.5),0.5),1))</f>
        <v/>
      </c>
      <c r="DZ88" s="244" t="str">
        <f aca="false">IF(BR88=0,"",IF($S$12="SI",IF(CD88="NO",IF($AD$12&gt;(BO88+1.5*$EF$15),1,0.5),0.5),1))</f>
        <v/>
      </c>
      <c r="EA88" s="244" t="str">
        <f aca="false">IF(BR88=0,"",IF($S$12="SI",IF(CD88="NO",IF($AD$12&gt;(BO88+1.5*$ED$15),1,0.5),IF($AD$12=BO88,1,0.5)),1))</f>
        <v/>
      </c>
      <c r="EB88" s="244" t="str">
        <f aca="false">IF(BR88=0,"",IF($S$12="SI",IF(CD88="NO",IF($AD$12&gt;(BO88+1.5*$EE$15),1,0.5),IF($AD$12=BO88,1,0.5)),1))</f>
        <v/>
      </c>
      <c r="EC88" s="244" t="str">
        <f aca="false">IF(BR88=0,"",IF($S$12="SI",IF(CD88="NO",IF($AD$12&gt;(BO88+1.5*$EF$15),1,0.5),IF($AD$12=BO88,1,0.5)),1))</f>
        <v/>
      </c>
      <c r="ED88" s="244" t="str">
        <f aca="false">IF(BR88=0,"",(DW88*($ED$15/10)*(DX88+EA88*(BO88/$ED$15))*1)/3)</f>
        <v/>
      </c>
      <c r="EE88" s="244" t="str">
        <f aca="false">IF(BR88=0,"",(DW88*($EE$15/10)*(DY88+EB88*(BO88/$EE$15))*1)/3)</f>
        <v/>
      </c>
      <c r="EF88" s="244" t="str">
        <f aca="false">IF(BR88=0,"",(DW88*($EF$15/10)*(DZ88+EC88*(BO88/$EF$15))*1)/3)</f>
        <v/>
      </c>
      <c r="EG88" s="273" t="str">
        <f aca="false">IF(BR88=0,"",IF(CD88="SI",0.5,1))</f>
        <v/>
      </c>
      <c r="EH88" s="244" t="str">
        <f aca="false">IF(BR88=0,"",IF((1+0.33*(BO88/$ED$15))&lt;=1.33,(1+0.33*(BO88/$ED$15)),1.33))</f>
        <v/>
      </c>
      <c r="EI88" s="244" t="str">
        <f aca="false">IF(BR88=0,"",IF((1+0.33*(BO88/$EE$15))&lt;=1.33,(1+0.33*(BO88/$EE$15)),1.33))</f>
        <v/>
      </c>
      <c r="EJ88" s="244" t="str">
        <f aca="false">IF(BR88=0,"",IF((1+0.33*(BO88/$EF$15))&lt;=1.33,(1+0.33*(BO88/$EF$15)),1.33))</f>
        <v/>
      </c>
      <c r="EK88" s="244" t="str">
        <f aca="false">IF(BR88=0,"",IF($ED$15&lt;=1.2,((20*DC88*EG88*EH88)/3)*0.010197,((12.5*DC88*((($ED$15+0.3)^2)/$ED$15)*EG88*EH88)/3)*0.010197))</f>
        <v/>
      </c>
      <c r="EL88" s="244" t="str">
        <f aca="false">IF(BR88=0,"",IF($EE$15&lt;=1.2,((20*DC88*EG88*EI88)/3)*0.010197,((12.5*DC88*((($EE$15+0.3)^2)/$EE$15)*EG88*EI88)/3)*0.010197))</f>
        <v/>
      </c>
      <c r="EM88" s="244" t="str">
        <f aca="false">IF(BR88=0,"",IF($EF$15&lt;=1.2,((20*DC88*EG88*EJ88)/3)*0.010197,((12.5*DC88*((($EF$15+0.3)^2)/$EF$15)*EG88*EJ88)/3)*0.010197))</f>
        <v/>
      </c>
      <c r="EN88" s="248" t="str">
        <f aca="false">IF(BR88=0,"",SQRT(12*CC88)+25)</f>
        <v/>
      </c>
      <c r="EO88" s="248" t="str">
        <f aca="false">IF(BR88=0,"",28.5+0.25*CC88)</f>
        <v/>
      </c>
      <c r="EP88" s="248" t="str">
        <f aca="false">IF(BR88=0,"",SQRT(20*CC88)+15)</f>
        <v/>
      </c>
      <c r="EQ88" s="248" t="str">
        <f aca="false">IF(BR88=0,"",23.7+0.57*CC88-0.0006*CC88*CC88)</f>
        <v/>
      </c>
      <c r="ER88" s="248" t="str">
        <f aca="false">IF(BR88=0,"",15+SQRT(12.5*DC88))</f>
        <v/>
      </c>
      <c r="ES88" s="248" t="str">
        <f aca="false">IF(BR88=0,"",3.5*SQRT(CC88)+20)</f>
        <v/>
      </c>
      <c r="ET88" s="248" t="str">
        <f aca="false">IF(BR88=0,"",27.1+0.3*DC88-0.00054*DC88*DC88)</f>
        <v/>
      </c>
      <c r="EU88" s="248" t="str">
        <f aca="false">IF(BR88=0,"",SQRT(20*CC88)+20)</f>
        <v/>
      </c>
      <c r="EV88" s="248" t="str">
        <f aca="false">IF(BR88=0,"",12.79+SQRT(25.86*CC88))</f>
        <v/>
      </c>
      <c r="EW88" s="248" t="str">
        <f aca="false">IF(BR88=0,"",DEGREES(_xlfn.ACOT((CC88/(12.2+20.3*CR88))^0.34)))</f>
        <v/>
      </c>
      <c r="EX88" s="248" t="str">
        <f aca="false">IF(BR88=0,"",24+(5.77*LN(0.17*DC88)))</f>
        <v/>
      </c>
      <c r="EY88" s="248" t="str">
        <f aca="false">IF(BR88=0,"",(SUM(EN88:EX88)-MIN(EN88:EX88)-MAX(EN88:EX88))/9)</f>
        <v/>
      </c>
      <c r="EZ88" s="248" t="str">
        <f aca="false">IF(BR88=0,"", -0.0000000034*CC88^6 + 0.0000008305*CC88^5 - 0.0000741842*CC88^4 + 0.0030204278*CC88^3 - 0.0541594733*CC88^2 + 0.8083147848*CC88 - 0.6182191243)</f>
        <v/>
      </c>
      <c r="FA88" s="249" t="str">
        <f aca="false">IF(BR88=0,"",(0.134811827956989*CC88 - 0.0383064516129019)/2)</f>
        <v/>
      </c>
      <c r="FB88" s="249" t="str">
        <f aca="false">IF(BR88=0,"",CC88*0.065)</f>
        <v/>
      </c>
      <c r="FC88" s="249" t="str">
        <f aca="false">IF(BR88=0,"",(CC88*0.12*0.48)*SQRT((1+SIN(EZ88*((2*PI())/360))/(1-SIN(EZ88*((2*PI())/360))))))</f>
        <v/>
      </c>
      <c r="FD88" s="249" t="str">
        <f aca="false">IF(BR88=0,"",(CC88/8)/2)</f>
        <v/>
      </c>
      <c r="FE88" s="249" t="str">
        <f aca="false">IF(BR88=0,"",(SUM(FA88:FD88)-MIN(FA88:FD88)-MAX(FA88:FD88))/2)</f>
        <v/>
      </c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</row>
    <row r="89" customFormat="false" ht="9.75" hidden="false" customHeight="true" outlineLevel="0" collapsed="false">
      <c r="A89" s="197" t="n">
        <f aca="false">ROUND(A88+0.1,1)</f>
        <v>7.2</v>
      </c>
      <c r="B89" s="250" t="n">
        <f aca="false">+A89</f>
        <v>7.2</v>
      </c>
      <c r="C89" s="251"/>
      <c r="D89" s="251"/>
      <c r="E89" s="252"/>
      <c r="F89" s="253"/>
      <c r="G89" s="254"/>
      <c r="H89" s="255"/>
      <c r="I89" s="256"/>
      <c r="J89" s="257"/>
      <c r="K89" s="258"/>
      <c r="L89" s="259"/>
      <c r="M89" s="276"/>
      <c r="N89" s="277"/>
      <c r="O89" s="277"/>
      <c r="P89" s="277"/>
      <c r="Q89" s="293"/>
      <c r="R89" s="278"/>
      <c r="S89" s="278"/>
      <c r="T89" s="295"/>
      <c r="U89" s="295"/>
      <c r="V89" s="296"/>
      <c r="W89" s="296"/>
      <c r="X89" s="296"/>
      <c r="Y89" s="296"/>
      <c r="Z89" s="296"/>
      <c r="AA89" s="296"/>
      <c r="AB89" s="297"/>
      <c r="AC89" s="298"/>
      <c r="AD89" s="299"/>
      <c r="AE89" s="298"/>
      <c r="AF89" s="300"/>
      <c r="AG89" s="267"/>
      <c r="AH89" s="267"/>
      <c r="AI89" s="241"/>
      <c r="AJ89" s="241"/>
      <c r="AK89" s="266"/>
      <c r="AL89" s="266"/>
      <c r="AM89" s="268"/>
      <c r="AN89" s="250" t="n">
        <f aca="false">+AN87+0.2</f>
        <v>7.2</v>
      </c>
      <c r="AO89" s="251"/>
      <c r="AP89" s="251"/>
      <c r="AQ89" s="252"/>
      <c r="AR89" s="253"/>
      <c r="AS89" s="269" t="s">
        <v>13</v>
      </c>
      <c r="AT89" s="221"/>
      <c r="AU89" s="269"/>
      <c r="AV89" s="269"/>
      <c r="AW89" s="270" t="n">
        <f aca="false">+K89+L89</f>
        <v>0</v>
      </c>
      <c r="AX89" s="270" t="str">
        <f aca="false">IF(AS89="&gt;50","CONSISTENCIA",IF(AS89="&lt;50","COMPACIDAD"," "))</f>
        <v>COMPACIDAD</v>
      </c>
      <c r="AY89" s="225" t="str">
        <f aca="false">IF(AS89="&gt;50",AZ89,IF(AS89="&lt;50",BA89," "))</f>
        <v> </v>
      </c>
      <c r="AZ89" s="224" t="str">
        <f aca="false">IF(AW89=" "," ",IF(CC89=""," ",IF(CC89&lt;2,"MUY BLANDA",IF(CC89=2,"MUY BLANDA A BLANDA",IF(CC89&lt;4,"BLANDA",IF(CC89=4,"BLANDA A MEDIA",IF(CC89&lt;8,"MEDIA",IF(CC89=8,"MEDIA A FIRME",IF(CC89&lt;15,"FIRME",IF(CC89=15,"FIRME A MUY FIRME",IF(CC89&lt;30,"MUY FIRME",IF(CC89=30,"MUY FIRME A DURA","DURA"))))))))))))</f>
        <v> </v>
      </c>
      <c r="BA89" s="225" t="str">
        <f aca="false">IF(AW89=" "," ",IF(DC89=""," ",IF(DC89&lt;4,"MUY SUELTA",IF(DC89=4,"MUY SUELTA A SUELTA",IF(DC89&lt;10,"SUELTA",IF(DC89=10,"SUELTA A MEDIA",IF(DC89&lt;30,"MEDIA",IF(DC89=30,"MEDIA A DENSO",IF(DC89&lt;50,"DENSO",IF(DC89=50,"DENSO MUY DENSO","MUY DENSO"))))))))))</f>
        <v> </v>
      </c>
      <c r="BB89" s="226" t="str">
        <f aca="false">IF(BR90=0,"",CQ90*0.0101972)</f>
        <v/>
      </c>
      <c r="BC89" s="227" t="n">
        <f aca="false">+BC88+0.1</f>
        <v>7.19999999999999</v>
      </c>
      <c r="BD89" s="227" t="str">
        <f aca="false">IF(BC89&lt;=$AN$10,BC89,"")</f>
        <v/>
      </c>
      <c r="BE89" s="228" t="n">
        <f aca="false">ISNUMBER(BD89)</f>
        <v>0</v>
      </c>
      <c r="BF89" s="229" t="str">
        <f aca="false">MID(M89,1,1)</f>
        <v/>
      </c>
      <c r="BG89" s="230" t="str">
        <f aca="false">IF(BF89="S","",IF(BF89="G","",MID(M89,2,1)))</f>
        <v/>
      </c>
      <c r="BH89" s="231" t="str">
        <f aca="false">CONCATENATE(BF89,BG89)</f>
        <v/>
      </c>
      <c r="BI89" s="6" t="str">
        <f aca="false">IF(BE89=FALSE(),"",IF(BH89="",BI88,BH89))</f>
        <v/>
      </c>
      <c r="BJ89" s="74" t="str">
        <f aca="false">IF(OR(BI89="S",BI89="G"),BI89,"X")</f>
        <v>X</v>
      </c>
      <c r="BK89" s="74" t="s">
        <v>249</v>
      </c>
      <c r="BL89" s="311" t="e">
        <f aca="false">INDEX(sim_0,MATCH($BJ$89,granular,0))</f>
        <v>#NAME?</v>
      </c>
      <c r="BM89" s="311"/>
      <c r="BN89" s="6"/>
      <c r="BO89" s="191" t="n">
        <f aca="false">BO88+0.1</f>
        <v>7.19999999999999</v>
      </c>
      <c r="BP89" s="233" t="e">
        <f aca="false">IF(AW89=0,NA(),IF(AS89=$AX$3,ROUND(DC89,0),NA()))</f>
        <v>#N/A</v>
      </c>
      <c r="BQ89" s="31" t="e">
        <f aca="false">IF(AW89=0,NA(),IF(AS89=$AX$4,ROUND(CC89,0),NA()))</f>
        <v>#N/A</v>
      </c>
      <c r="BR89" s="234" t="n">
        <f aca="false">+AW89</f>
        <v>0</v>
      </c>
      <c r="BS89" s="235" t="str">
        <f aca="false">IF(BR89=0,"", -0.00000000016128755327*CC89^6 + 0.00000006709386362421*CC89^5 - 0.0000106217678052217*CC89^4 + 0.00081068114193385*CC89^3 - 0.0314027378159951*CC89^2 + 0.649796593937842*CC89 + 13.7888866455022)</f>
        <v/>
      </c>
      <c r="BT89" s="235" t="str">
        <f aca="false">IF(BR89=0,"",-0.00000000014625939695*CC89^6 + 0.00000004971732060241*CC89^5 - 0.000006683744342031*CC89^4 + 0.0004563177378098*CC89^3 - 0.0171727530635803*CC89^2 + 0.444529932876435*CC89 + 15.6692518940565)</f>
        <v/>
      </c>
      <c r="BU89" s="236" t="str">
        <f aca="false">IF(BR89=0,"", -0.0000000008152265738*BR89^6 + 0.00000022764320256987*BR89^5 - 0.0000248205675927705*BR89^4 + 0.00133186623684865*BR89^3 - 0.0368442570441677*BR89^2 + 0.580111565569094*BR89 + 14.0417598296107)</f>
        <v/>
      </c>
      <c r="BV89" s="236" t="str">
        <f aca="false">IF(BR89=0,"", -0.00000000004321395721*BR89^6 + 0.00000002531844275498*BR89^5 - 0.00000369428022780862*BR89^4 + 0.00020283665900125*BR89^3 - 0.00462426256803268*BR89^2 + 0.139572935065453*BR89 + 15.4475338156923)</f>
        <v/>
      </c>
      <c r="BW89" s="236" t="str">
        <f aca="false">IF(BR89=0,"",-0.00000000033126390082*BR89^6 + 0.00000010463660614506*BR89^5 - 0.0000129629592998707*BR89^4 + 0.000803946335250767*BR89^3 - 0.0270257140395994*BR89^2 + 0.562590210721552*BR89+ 12.1254107606419)</f>
        <v/>
      </c>
      <c r="BX89" s="236" t="str">
        <f aca="false">IF(BR89=0,"",-0.00000000002593504955*BR89^6 + 0.00000002430495156704*BR89^5 - 0.00000386103271086364*BR89^4 + 0.000214416118986322*BR89^3 - 0.0047271462612021*BR89^2 + 0.156696175741135*BR89 + 15.4598891949502)</f>
        <v/>
      </c>
      <c r="BY89" s="234" t="str">
        <f aca="false">IF(BR89=0,"",$BS$2)</f>
        <v/>
      </c>
      <c r="BZ89" s="234" t="str">
        <f aca="false">IF(BR89=0,"",$BS$3)</f>
        <v/>
      </c>
      <c r="CA89" s="234" t="str">
        <f aca="false">IF(BR89=0,"",$BS$4)</f>
        <v/>
      </c>
      <c r="CB89" s="235" t="str">
        <f aca="false">IF(BR89=0,"",IF(AND(BO89&gt;=0,BO89&lt;4),0.75,IF(AND(BO89&gt;=4,BO89&lt;6),0.85,IF(AND(BO89&gt;=6,BO89&lt;=10),0.95,1))))</f>
        <v/>
      </c>
      <c r="CC89" s="234" t="str">
        <f aca="false">IF(BR89=0,"",BR89*BY89*BZ89*CA89*CB89/60)</f>
        <v/>
      </c>
      <c r="CD89" s="238" t="str">
        <f aca="false">IF(BR89=0,"",IF($S$12="NO","NO",IF($AD$12&lt;=BO89,"SI","NO")))</f>
        <v/>
      </c>
      <c r="CE89" s="235" t="n">
        <f aca="false">IF(BR89=0,0,AB89)</f>
        <v>0</v>
      </c>
      <c r="CF89" s="235" t="n">
        <f aca="false">IF(CE89&gt;0,BO89,0)</f>
        <v>0</v>
      </c>
      <c r="CG89" s="239" t="n">
        <f aca="false">IF(CF89=0,CF89+CG88,CF89)</f>
        <v>0</v>
      </c>
      <c r="CH89" s="239" t="n">
        <f aca="false">IF(CG89=CG88,CH88,ABS(CG89-CG88))</f>
        <v>0</v>
      </c>
      <c r="CI89" s="239" t="n">
        <f aca="false">+CE89*CH89</f>
        <v>0</v>
      </c>
      <c r="CJ89" s="239" t="n">
        <f aca="false">IF(CI89=0,CI89+CJ88,CI89)</f>
        <v>0</v>
      </c>
      <c r="CK89" s="239" t="n">
        <f aca="false">IF(CJ89=CJ88,CK88,ABS(CJ89+CK88))</f>
        <v>0</v>
      </c>
      <c r="CL89" s="241" t="n">
        <f aca="false">IF(CE89=0,0,CK89)</f>
        <v>0</v>
      </c>
      <c r="CM89" s="239" t="n">
        <f aca="false">IF(CE89=0,0,CH89*9.81)</f>
        <v>0</v>
      </c>
      <c r="CN89" s="239" t="n">
        <f aca="false">IF(CM89=0,CM89+CN88,CM89)</f>
        <v>0</v>
      </c>
      <c r="CO89" s="239" t="n">
        <f aca="false">IF(CN89=CN88,CO88,ABS(CN89+CO88))</f>
        <v>0</v>
      </c>
      <c r="CP89" s="241" t="n">
        <f aca="false">IF(CD89="NO",0,IF(CE89=0,0,CO89))</f>
        <v>0</v>
      </c>
      <c r="CQ89" s="244" t="str">
        <f aca="false">IF(BR89=0,"",CL89-CP89)</f>
        <v/>
      </c>
      <c r="CR89" s="244" t="str">
        <f aca="false">IF(BR89=0,"",CQ89/101.3)</f>
        <v/>
      </c>
      <c r="CS89" s="244" t="str">
        <f aca="false">IF(BR89=0,"",LOG(10/CR89))</f>
        <v/>
      </c>
      <c r="CT89" s="243" t="str">
        <f aca="false">IF(BR89=0,"",IF(SQRT(101.3/CQ89)&lt;=1.7,SQRT(101.3/CQ89),2.2/(1.2+(CQ89/101.3))))</f>
        <v/>
      </c>
      <c r="CU89" s="244" t="str">
        <f aca="false">IF(BR89=0,"",1.7/(0.7+CR89))</f>
        <v/>
      </c>
      <c r="CV89" s="244" t="str">
        <f aca="false">IF(BR89=0,"",IF(CR89&gt;=0.25,0.77*LOG(20/CR89),""))</f>
        <v/>
      </c>
      <c r="CW89" s="244" t="str">
        <f aca="false">IF(BR89=0,"",32.5/(10.2+20.3*CR89))</f>
        <v/>
      </c>
      <c r="CX89" s="244" t="str">
        <f aca="false">IF(BR89=0,"",1-1.25*LOG(CR89))</f>
        <v/>
      </c>
      <c r="CY89" s="244" t="str">
        <f aca="false">IF(BR89=0,"",IF(CR89&lt;1,1-1.41*LOG(CR89),1+0.92*LOG(CR89)))</f>
        <v/>
      </c>
      <c r="CZ89" s="244" t="str">
        <f aca="false">IF(BR89=0,"",2/(1+CR89))</f>
        <v/>
      </c>
      <c r="DA89" s="244" t="str">
        <f aca="false">IF(BR89=0,"",IF(CR89&lt;=0.75,4/(1+4*CR89),4/(3.25+CR89)))</f>
        <v/>
      </c>
      <c r="DB89" s="244" t="str">
        <f aca="false">IF(BR89=0,"",CT89)</f>
        <v/>
      </c>
      <c r="DC89" s="244" t="str">
        <f aca="false">IF(BR89=0,"",DB89*CC89)</f>
        <v/>
      </c>
      <c r="DD89" s="244"/>
      <c r="DE89" s="244" t="str">
        <f aca="false">IF(BR89=0,"",0.193*(CC89/(CQ89*0.001))^0.689)</f>
        <v/>
      </c>
      <c r="DF89" s="244" t="str">
        <f aca="false">IF(BR89=0,"",IF(AS89=$AX$4,(0.1348118*CC89 - 0.0383065)*98.0665,""))</f>
        <v/>
      </c>
      <c r="DG89" s="244" t="str">
        <f aca="false">IF(BR89=0,"",IF(AS89=$AX$4,DF89/2,""))</f>
        <v/>
      </c>
      <c r="DH89" s="244" t="str">
        <f aca="false">IF(BR89=0,"",IF(DC89&lt;=15,12*(DC89+6),40+12*(DC89-6)))</f>
        <v/>
      </c>
      <c r="DI89" s="244" t="str">
        <f aca="false">IF(BR89=0,"",IF(CD89="SI",5*(DC89+15),((3.3*(DC89+15))+(4*(DC89+12)))/2))</f>
        <v/>
      </c>
      <c r="DJ89" s="244" t="str">
        <f aca="false">IF(BR89=0,"",8*DC89)</f>
        <v/>
      </c>
      <c r="DK89" s="244" t="str">
        <f aca="false">IF(BR89=0,"",215+(10.6*DC89))</f>
        <v/>
      </c>
      <c r="DL89" s="244" t="str">
        <f aca="false">IF(BR89=0,"",10*(7.5+(0.5*DC89)))</f>
        <v/>
      </c>
      <c r="DM89" s="244" t="str">
        <f aca="false">IF(BR89=0,"",8*DC89)</f>
        <v/>
      </c>
      <c r="DN89" s="244" t="str">
        <f aca="false">IF(AW89=" "," ",IF(DC89=""," ",IF(DC89&lt;4,10*10.2,IF(DC89=4,12*10.2,IF(DC89&lt;10,17.5*10.5,IF(DC89=10,15*10.2,IF(DC89&lt;30,22.5*10.2,IF(DC89=30,35*10.2,IF(DC89&lt;50,40*10.2,IF(DC89=50,50*10.2,55*10.2))))))))))</f>
        <v> </v>
      </c>
      <c r="DO89" s="244" t="str">
        <f aca="false">IF(BR89=0,"",7*SQRT(DC89)*10.1972)</f>
        <v/>
      </c>
      <c r="DP89" s="244" t="str">
        <f aca="false">IF(BR89=0,"",IF(AS89=$AX$4,5*CC89,""))</f>
        <v/>
      </c>
      <c r="DQ89" s="244" t="str">
        <f aca="false">IF(AW89=" "," ",IF(DC89=""," ",IF(DC89&lt;2,4*10.2,IF(DC89=2,6*10.2,IF(DC89&lt;4,12*10.2,IF(DC89=4,20*10.2,IF(DC89&lt;8,30*10.2,IF(DC89=8,35*10.2,IF(DC89&lt;15,40*10.2,IF(DC89=15,42*10.2,IF(DC89&lt;30,45*10.2,IF(DC89=30,50*10.2,70*10.2))))))))))))</f>
        <v> </v>
      </c>
      <c r="DR89" s="244" t="str">
        <f aca="false">IF(BR89=0,"",IF(AS89=$AX$4,220*DP89*0.0101972,""))</f>
        <v/>
      </c>
      <c r="DS89" s="271" t="str">
        <f aca="false">IF(BR89=0,"",IF(AS89=$AX$7,(SUM(DH89:DO89)-MIN(DH89:DO89)-MAX(DH89:DO89))/6,(SUM(DO89:DR89)-MIN(DO89:DR89)-MAX(DO89:DR89))/2))</f>
        <v/>
      </c>
      <c r="DT89" s="244" t="str">
        <f aca="false">IF(AW89=" "," ",IF(DC89=""," ",IF(DC89&lt;4,0.2,IF(DC89=4,0.27,IF(DC89&lt;10,0.33,IF(DC89=10,0.35,IF(DC89&lt;30,0.36,IF(DC89=30,0.37,IF(DC89&lt;50,0.38,IF(DC89=50,0.4,0.45))))))))))</f>
        <v> </v>
      </c>
      <c r="DU89" s="272" t="str">
        <f aca="false">IF(AW89=" "," ",IF(CC89=""," ",IF(CC89&lt;2,0.2,IF(CC89=2,0.23,IF(CC89&lt;4,0.26,IF(CC89=4,0.29,IF(CC89&lt;8,0.32,IF(CC89=8,0.35,IF(CC89&lt;15,0.38,IF(CC89=15,0.41,IF(CC89&lt;30,0.44,IF(CC89=30,0.47,0.5))))))))))))</f>
        <v> </v>
      </c>
      <c r="DV89" s="244" t="str">
        <f aca="false">IF(BR89=0,"",IF(AS89=$AX$3,DT89,DU89))</f>
        <v/>
      </c>
      <c r="DW89" s="244" t="str">
        <f aca="false">IF(BR89=0,"",IF(DC89&gt;15,15+0.5*(DC89-15),DC89))</f>
        <v/>
      </c>
      <c r="DX89" s="244" t="str">
        <f aca="false">IF(BR89=0,"",IF($S$12="SI",IF(CD89="NO",IF($AD$12&gt;(BO89+1.5*$ED$15),1,0.5),0.5),1))</f>
        <v/>
      </c>
      <c r="DY89" s="244" t="str">
        <f aca="false">IF(BR89=0,"",IF($S$12="SI",IF(CD89="NO",IF($AD$12&gt;(BO89+1.5*$EE$15),1,0.5),0.5),1))</f>
        <v/>
      </c>
      <c r="DZ89" s="244" t="str">
        <f aca="false">IF(BR89=0,"",IF($S$12="SI",IF(CD89="NO",IF($AD$12&gt;(BO89+1.5*$EF$15),1,0.5),0.5),1))</f>
        <v/>
      </c>
      <c r="EA89" s="244" t="str">
        <f aca="false">IF(BR89=0,"",IF($S$12="SI",IF(CD89="NO",IF($AD$12&gt;(BO89+1.5*$ED$15),1,0.5),IF($AD$12=BO89,1,0.5)),1))</f>
        <v/>
      </c>
      <c r="EB89" s="244" t="str">
        <f aca="false">IF(BR89=0,"",IF($S$12="SI",IF(CD89="NO",IF($AD$12&gt;(BO89+1.5*$EE$15),1,0.5),IF($AD$12=BO89,1,0.5)),1))</f>
        <v/>
      </c>
      <c r="EC89" s="244" t="str">
        <f aca="false">IF(BR89=0,"",IF($S$12="SI",IF(CD89="NO",IF($AD$12&gt;(BO89+1.5*$EF$15),1,0.5),IF($AD$12=BO89,1,0.5)),1))</f>
        <v/>
      </c>
      <c r="ED89" s="244" t="str">
        <f aca="false">IF(BR89=0,"",(DW89*($ED$15/10)*(DX89+EA89*(BO89/$ED$15))*1)/3)</f>
        <v/>
      </c>
      <c r="EE89" s="244" t="str">
        <f aca="false">IF(BR89=0,"",(DW89*($EE$15/10)*(DY89+EB89*(BO89/$EE$15))*1)/3)</f>
        <v/>
      </c>
      <c r="EF89" s="244" t="str">
        <f aca="false">IF(BR89=0,"",(DW89*($EF$15/10)*(DZ89+EC89*(BO89/$EF$15))*1)/3)</f>
        <v/>
      </c>
      <c r="EG89" s="273" t="str">
        <f aca="false">IF(BR89=0,"",IF(CD89="SI",0.5,1))</f>
        <v/>
      </c>
      <c r="EH89" s="244" t="str">
        <f aca="false">IF(BR89=0,"",IF((1+0.33*(BO89/$ED$15))&lt;=1.33,(1+0.33*(BO89/$ED$15)),1.33))</f>
        <v/>
      </c>
      <c r="EI89" s="244" t="str">
        <f aca="false">IF(BR89=0,"",IF((1+0.33*(BO89/$EE$15))&lt;=1.33,(1+0.33*(BO89/$EE$15)),1.33))</f>
        <v/>
      </c>
      <c r="EJ89" s="244" t="str">
        <f aca="false">IF(BR89=0,"",IF((1+0.33*(BO89/$EF$15))&lt;=1.33,(1+0.33*(BO89/$EF$15)),1.33))</f>
        <v/>
      </c>
      <c r="EK89" s="244" t="str">
        <f aca="false">IF(BR89=0,"",IF($ED$15&lt;=1.2,((20*DC89*EG89*EH89)/3)*0.010197,((12.5*DC89*((($ED$15+0.3)^2)/$ED$15)*EG89*EH89)/3)*0.010197))</f>
        <v/>
      </c>
      <c r="EL89" s="244" t="str">
        <f aca="false">IF(BR89=0,"",IF($EE$15&lt;=1.2,((20*DC89*EG89*EI89)/3)*0.010197,((12.5*DC89*((($EE$15+0.3)^2)/$EE$15)*EG89*EI89)/3)*0.010197))</f>
        <v/>
      </c>
      <c r="EM89" s="244" t="str">
        <f aca="false">IF(BR89=0,"",IF($EF$15&lt;=1.2,((20*DC89*EG89*EJ89)/3)*0.010197,((12.5*DC89*((($EF$15+0.3)^2)/$EF$15)*EG89*EJ89)/3)*0.010197))</f>
        <v/>
      </c>
      <c r="EN89" s="248" t="str">
        <f aca="false">IF(BR89=0,"",SQRT(12*CC89)+25)</f>
        <v/>
      </c>
      <c r="EO89" s="248" t="str">
        <f aca="false">IF(BR89=0,"",28.5+0.25*CC89)</f>
        <v/>
      </c>
      <c r="EP89" s="248" t="str">
        <f aca="false">IF(BR89=0,"",SQRT(20*CC89)+15)</f>
        <v/>
      </c>
      <c r="EQ89" s="248" t="str">
        <f aca="false">IF(BR89=0,"",23.7+0.57*CC89-0.0006*CC89*CC89)</f>
        <v/>
      </c>
      <c r="ER89" s="248" t="str">
        <f aca="false">IF(BR89=0,"",15+SQRT(12.5*DC89))</f>
        <v/>
      </c>
      <c r="ES89" s="248" t="str">
        <f aca="false">IF(BR89=0,"",3.5*SQRT(CC89)+20)</f>
        <v/>
      </c>
      <c r="ET89" s="248" t="str">
        <f aca="false">IF(BR89=0,"",27.1+0.3*DC89-0.00054*DC89*DC89)</f>
        <v/>
      </c>
      <c r="EU89" s="248" t="str">
        <f aca="false">IF(BR89=0,"",SQRT(20*CC89)+20)</f>
        <v/>
      </c>
      <c r="EV89" s="248" t="str">
        <f aca="false">IF(BR89=0,"",12.79+SQRT(25.86*CC89))</f>
        <v/>
      </c>
      <c r="EW89" s="248" t="str">
        <f aca="false">IF(BR89=0,"",DEGREES(_xlfn.ACOT((CC89/(12.2+20.3*CR89))^0.34)))</f>
        <v/>
      </c>
      <c r="EX89" s="248" t="str">
        <f aca="false">IF(BR89=0,"",24+(5.77*LN(0.17*DC89)))</f>
        <v/>
      </c>
      <c r="EY89" s="248" t="str">
        <f aca="false">IF(BR89=0,"",(SUM(EN89:EX89)-MIN(EN89:EX89)-MAX(EN89:EX89))/9)</f>
        <v/>
      </c>
      <c r="EZ89" s="248" t="str">
        <f aca="false">IF(BR89=0,"", -0.0000000034*CC89^6 + 0.0000008305*CC89^5 - 0.0000741842*CC89^4 + 0.0030204278*CC89^3 - 0.0541594733*CC89^2 + 0.8083147848*CC89 - 0.6182191243)</f>
        <v/>
      </c>
      <c r="FA89" s="249" t="str">
        <f aca="false">IF(BR89=0,"",(0.134811827956989*CC89 - 0.0383064516129019)/2)</f>
        <v/>
      </c>
      <c r="FB89" s="249" t="str">
        <f aca="false">IF(BR89=0,"",CC89*0.065)</f>
        <v/>
      </c>
      <c r="FC89" s="249" t="str">
        <f aca="false">IF(BR89=0,"",(CC89*0.12*0.48)*SQRT((1+SIN(EZ89*((2*PI())/360))/(1-SIN(EZ89*((2*PI())/360))))))</f>
        <v/>
      </c>
      <c r="FD89" s="249" t="str">
        <f aca="false">IF(BR89=0,"",(CC89/8)/2)</f>
        <v/>
      </c>
      <c r="FE89" s="249" t="str">
        <f aca="false">IF(BR89=0,"",(SUM(FA89:FD89)-MIN(FA89:FD89)-MAX(FA89:FD89))/2)</f>
        <v/>
      </c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</row>
    <row r="90" customFormat="false" ht="9.75" hidden="false" customHeight="true" outlineLevel="0" collapsed="false">
      <c r="A90" s="197" t="n">
        <f aca="false">ROUND(A89+0.1,1)</f>
        <v>7.3</v>
      </c>
      <c r="B90" s="250"/>
      <c r="C90" s="251"/>
      <c r="D90" s="251"/>
      <c r="E90" s="199"/>
      <c r="F90" s="200"/>
      <c r="G90" s="279"/>
      <c r="H90" s="280"/>
      <c r="I90" s="280"/>
      <c r="J90" s="257"/>
      <c r="K90" s="258"/>
      <c r="L90" s="259"/>
      <c r="M90" s="276"/>
      <c r="N90" s="277"/>
      <c r="O90" s="277"/>
      <c r="P90" s="277"/>
      <c r="Q90" s="293"/>
      <c r="R90" s="278"/>
      <c r="S90" s="278"/>
      <c r="T90" s="295"/>
      <c r="U90" s="295"/>
      <c r="V90" s="296"/>
      <c r="W90" s="296"/>
      <c r="X90" s="296"/>
      <c r="Y90" s="296"/>
      <c r="Z90" s="296"/>
      <c r="AA90" s="296"/>
      <c r="AB90" s="297"/>
      <c r="AC90" s="298"/>
      <c r="AD90" s="299"/>
      <c r="AE90" s="298"/>
      <c r="AF90" s="300"/>
      <c r="AG90" s="267"/>
      <c r="AH90" s="267"/>
      <c r="AI90" s="241"/>
      <c r="AJ90" s="241"/>
      <c r="AK90" s="266"/>
      <c r="AL90" s="266"/>
      <c r="AM90" s="268"/>
      <c r="AN90" s="250"/>
      <c r="AO90" s="251"/>
      <c r="AP90" s="251"/>
      <c r="AQ90" s="199"/>
      <c r="AR90" s="200"/>
      <c r="AS90" s="269" t="s">
        <v>13</v>
      </c>
      <c r="AT90" s="221"/>
      <c r="AU90" s="269"/>
      <c r="AV90" s="269"/>
      <c r="AW90" s="270" t="n">
        <f aca="false">+K90+L90</f>
        <v>0</v>
      </c>
      <c r="AX90" s="270" t="str">
        <f aca="false">IF(AS90="&gt;50","CONSISTENCIA",IF(AS90="&lt;50","COMPACIDAD"," "))</f>
        <v>COMPACIDAD</v>
      </c>
      <c r="AY90" s="225" t="str">
        <f aca="false">IF(AS90="&gt;50",AZ90,IF(AS90="&lt;50",BA90," "))</f>
        <v> </v>
      </c>
      <c r="AZ90" s="224" t="str">
        <f aca="false">IF(AW90=" "," ",IF(CC90=""," ",IF(CC90&lt;2,"MUY BLANDA",IF(CC90=2,"MUY BLANDA A BLANDA",IF(CC90&lt;4,"BLANDA",IF(CC90=4,"BLANDA A MEDIA",IF(CC90&lt;8,"MEDIA",IF(CC90=8,"MEDIA A FIRME",IF(CC90&lt;15,"FIRME",IF(CC90=15,"FIRME A MUY FIRME",IF(CC90&lt;30,"MUY FIRME",IF(CC90=30,"MUY FIRME A DURA","DURA"))))))))))))</f>
        <v> </v>
      </c>
      <c r="BA90" s="225" t="str">
        <f aca="false">IF(AW90=" "," ",IF(DC90=""," ",IF(DC90&lt;4,"MUY SUELTA",IF(DC90=4,"MUY SUELTA A SUELTA",IF(DC90&lt;10,"SUELTA",IF(DC90=10,"SUELTA A MEDIA",IF(DC90&lt;30,"MEDIA",IF(DC90=30,"MEDIA A DENSO",IF(DC90&lt;50,"DENSO",IF(DC90=50,"DENSO MUY DENSO","MUY DENSO"))))))))))</f>
        <v> </v>
      </c>
      <c r="BB90" s="226" t="str">
        <f aca="false">IF(BR91=0,"",CQ91*0.0101972)</f>
        <v/>
      </c>
      <c r="BC90" s="227" t="n">
        <f aca="false">+BC89+0.1</f>
        <v>7.29999999999999</v>
      </c>
      <c r="BD90" s="227" t="str">
        <f aca="false">IF(BC90&lt;=$AN$10,BC90,"")</f>
        <v/>
      </c>
      <c r="BE90" s="228" t="n">
        <f aca="false">ISNUMBER(BD90)</f>
        <v>0</v>
      </c>
      <c r="BF90" s="229" t="str">
        <f aca="false">MID(M90,1,1)</f>
        <v/>
      </c>
      <c r="BG90" s="230" t="str">
        <f aca="false">IF(BF90="S","",IF(BF90="G","",MID(M90,2,1)))</f>
        <v/>
      </c>
      <c r="BH90" s="231" t="str">
        <f aca="false">CONCATENATE(BF90,BG90)</f>
        <v/>
      </c>
      <c r="BI90" s="6" t="str">
        <f aca="false">IF(BE90=FALSE(),"",IF(BH90="",BI89,BH90))</f>
        <v/>
      </c>
      <c r="BJ90" s="74" t="str">
        <f aca="false">IF(OR(BI90="S",BI90="G"),BI90,"X")</f>
        <v>X</v>
      </c>
      <c r="BK90" s="74" t="s">
        <v>250</v>
      </c>
      <c r="BL90" s="311" t="e">
        <f aca="false">INDEX(sim_0,MATCH($BJ$90,granular,0))</f>
        <v>#NAME?</v>
      </c>
      <c r="BM90" s="311"/>
      <c r="BN90" s="6"/>
      <c r="BO90" s="191" t="n">
        <f aca="false">BO89+0.1</f>
        <v>7.29999999999999</v>
      </c>
      <c r="BP90" s="233" t="e">
        <f aca="false">IF(AW90=0,NA(),IF(AS90=$AX$3,ROUND(DC90,0),NA()))</f>
        <v>#N/A</v>
      </c>
      <c r="BQ90" s="31" t="e">
        <f aca="false">IF(AW90=0,NA(),IF(AS90=$AX$4,ROUND(CC90,0),NA()))</f>
        <v>#N/A</v>
      </c>
      <c r="BR90" s="234" t="n">
        <f aca="false">+AW90</f>
        <v>0</v>
      </c>
      <c r="BS90" s="235" t="str">
        <f aca="false">IF(BR90=0,"", -0.00000000016128755327*CC90^6 + 0.00000006709386362421*CC90^5 - 0.0000106217678052217*CC90^4 + 0.00081068114193385*CC90^3 - 0.0314027378159951*CC90^2 + 0.649796593937842*CC90 + 13.7888866455022)</f>
        <v/>
      </c>
      <c r="BT90" s="235" t="str">
        <f aca="false">IF(BR90=0,"",-0.00000000014625939695*CC90^6 + 0.00000004971732060241*CC90^5 - 0.000006683744342031*CC90^4 + 0.0004563177378098*CC90^3 - 0.0171727530635803*CC90^2 + 0.444529932876435*CC90 + 15.6692518940565)</f>
        <v/>
      </c>
      <c r="BU90" s="236" t="str">
        <f aca="false">IF(BR90=0,"", -0.0000000008152265738*BR90^6 + 0.00000022764320256987*BR90^5 - 0.0000248205675927705*BR90^4 + 0.00133186623684865*BR90^3 - 0.0368442570441677*BR90^2 + 0.580111565569094*BR90 + 14.0417598296107)</f>
        <v/>
      </c>
      <c r="BV90" s="236" t="str">
        <f aca="false">IF(BR90=0,"", -0.00000000004321395721*BR90^6 + 0.00000002531844275498*BR90^5 - 0.00000369428022780862*BR90^4 + 0.00020283665900125*BR90^3 - 0.00462426256803268*BR90^2 + 0.139572935065453*BR90 + 15.4475338156923)</f>
        <v/>
      </c>
      <c r="BW90" s="236" t="str">
        <f aca="false">IF(BR90=0,"",-0.00000000033126390082*BR90^6 + 0.00000010463660614506*BR90^5 - 0.0000129629592998707*BR90^4 + 0.000803946335250767*BR90^3 - 0.0270257140395994*BR90^2 + 0.562590210721552*BR90+ 12.1254107606419)</f>
        <v/>
      </c>
      <c r="BX90" s="236" t="str">
        <f aca="false">IF(BR90=0,"",-0.00000000002593504955*BR90^6 + 0.00000002430495156704*BR90^5 - 0.00000386103271086364*BR90^4 + 0.000214416118986322*BR90^3 - 0.0047271462612021*BR90^2 + 0.156696175741135*BR90 + 15.4598891949502)</f>
        <v/>
      </c>
      <c r="BY90" s="234" t="str">
        <f aca="false">IF(BR90=0,"",$BS$2)</f>
        <v/>
      </c>
      <c r="BZ90" s="234" t="str">
        <f aca="false">IF(BR90=0,"",$BS$3)</f>
        <v/>
      </c>
      <c r="CA90" s="234" t="str">
        <f aca="false">IF(BR90=0,"",$BS$4)</f>
        <v/>
      </c>
      <c r="CB90" s="235" t="str">
        <f aca="false">IF(BR90=0,"",IF(AND(BO90&gt;=0,BO90&lt;4),0.75,IF(AND(BO90&gt;=4,BO90&lt;6),0.85,IF(AND(BO90&gt;=6,BO90&lt;=10),0.95,1))))</f>
        <v/>
      </c>
      <c r="CC90" s="234" t="str">
        <f aca="false">IF(BR90=0,"",BR90*BY90*BZ90*CA90*CB90/60)</f>
        <v/>
      </c>
      <c r="CD90" s="238" t="str">
        <f aca="false">IF(BR90=0,"",IF($S$12="NO","NO",IF($AD$12&lt;=BO90,"SI","NO")))</f>
        <v/>
      </c>
      <c r="CE90" s="235" t="n">
        <f aca="false">IF(BR90=0,0,AB90)</f>
        <v>0</v>
      </c>
      <c r="CF90" s="235" t="n">
        <f aca="false">IF(CE90&gt;0,BO90,0)</f>
        <v>0</v>
      </c>
      <c r="CG90" s="239" t="n">
        <f aca="false">IF(CF90=0,CF90+CG89,CF90)</f>
        <v>0</v>
      </c>
      <c r="CH90" s="239" t="n">
        <f aca="false">IF(CG90=CG89,CH89,ABS(CG90-CG89))</f>
        <v>0</v>
      </c>
      <c r="CI90" s="239" t="n">
        <f aca="false">+CE90*CH90</f>
        <v>0</v>
      </c>
      <c r="CJ90" s="239" t="n">
        <f aca="false">IF(CI90=0,CI90+CJ89,CI90)</f>
        <v>0</v>
      </c>
      <c r="CK90" s="239" t="n">
        <f aca="false">IF(CJ90=CJ89,CK89,ABS(CJ90+CK89))</f>
        <v>0</v>
      </c>
      <c r="CL90" s="241" t="n">
        <f aca="false">IF(CE90=0,0,CK90)</f>
        <v>0</v>
      </c>
      <c r="CM90" s="239" t="n">
        <f aca="false">IF(CE90=0,0,CH90*9.81)</f>
        <v>0</v>
      </c>
      <c r="CN90" s="239" t="n">
        <f aca="false">IF(CM90=0,CM90+CN89,CM90)</f>
        <v>0</v>
      </c>
      <c r="CO90" s="239" t="n">
        <f aca="false">IF(CN90=CN89,CO89,ABS(CN90+CO89))</f>
        <v>0</v>
      </c>
      <c r="CP90" s="241" t="n">
        <f aca="false">IF(CD90="NO",0,IF(CE90=0,0,CO90))</f>
        <v>0</v>
      </c>
      <c r="CQ90" s="244" t="str">
        <f aca="false">IF(BR90=0,"",CL90-CP90)</f>
        <v/>
      </c>
      <c r="CR90" s="244" t="str">
        <f aca="false">IF(BR90=0,"",CQ90/101.3)</f>
        <v/>
      </c>
      <c r="CS90" s="244" t="str">
        <f aca="false">IF(BR90=0,"",LOG(10/CR90))</f>
        <v/>
      </c>
      <c r="CT90" s="243" t="str">
        <f aca="false">IF(BR90=0,"",IF(SQRT(101.3/CQ90)&lt;=1.7,SQRT(101.3/CQ90),2.2/(1.2+(CQ90/101.3))))</f>
        <v/>
      </c>
      <c r="CU90" s="244" t="str">
        <f aca="false">IF(BR90=0,"",1.7/(0.7+CR90))</f>
        <v/>
      </c>
      <c r="CV90" s="244" t="str">
        <f aca="false">IF(BR90=0,"",IF(CR90&gt;=0.25,0.77*LOG(20/CR90),""))</f>
        <v/>
      </c>
      <c r="CW90" s="244" t="str">
        <f aca="false">IF(BR90=0,"",32.5/(10.2+20.3*CR90))</f>
        <v/>
      </c>
      <c r="CX90" s="244" t="str">
        <f aca="false">IF(BR90=0,"",1-1.25*LOG(CR90))</f>
        <v/>
      </c>
      <c r="CY90" s="244" t="str">
        <f aca="false">IF(BR90=0,"",IF(CR90&lt;1,1-1.41*LOG(CR90),1+0.92*LOG(CR90)))</f>
        <v/>
      </c>
      <c r="CZ90" s="244" t="str">
        <f aca="false">IF(BR90=0,"",2/(1+CR90))</f>
        <v/>
      </c>
      <c r="DA90" s="244" t="str">
        <f aca="false">IF(BR90=0,"",IF(CR90&lt;=0.75,4/(1+4*CR90),4/(3.25+CR90)))</f>
        <v/>
      </c>
      <c r="DB90" s="244" t="str">
        <f aca="false">IF(BR90=0,"",CT90)</f>
        <v/>
      </c>
      <c r="DC90" s="244" t="str">
        <f aca="false">IF(BR90=0,"",DB90*CC90)</f>
        <v/>
      </c>
      <c r="DD90" s="244"/>
      <c r="DE90" s="244" t="str">
        <f aca="false">IF(BR90=0,"",0.193*(CC90/(CQ90*0.001))^0.689)</f>
        <v/>
      </c>
      <c r="DF90" s="244" t="str">
        <f aca="false">IF(BR90=0,"",IF(AS90=$AX$4,(0.1348118*CC90 - 0.0383065)*98.0665,""))</f>
        <v/>
      </c>
      <c r="DG90" s="244" t="str">
        <f aca="false">IF(BR90=0,"",IF(AS90=$AX$4,DF90/2,""))</f>
        <v/>
      </c>
      <c r="DH90" s="244" t="str">
        <f aca="false">IF(BR90=0,"",IF(DC90&lt;=15,12*(DC90+6),40+12*(DC90-6)))</f>
        <v/>
      </c>
      <c r="DI90" s="244" t="str">
        <f aca="false">IF(BR90=0,"",IF(CD90="SI",5*(DC90+15),((3.3*(DC90+15))+(4*(DC90+12)))/2))</f>
        <v/>
      </c>
      <c r="DJ90" s="244" t="str">
        <f aca="false">IF(BR90=0,"",8*DC90)</f>
        <v/>
      </c>
      <c r="DK90" s="244" t="str">
        <f aca="false">IF(BR90=0,"",215+(10.6*DC90))</f>
        <v/>
      </c>
      <c r="DL90" s="244" t="str">
        <f aca="false">IF(BR90=0,"",10*(7.5+(0.5*DC90)))</f>
        <v/>
      </c>
      <c r="DM90" s="244" t="str">
        <f aca="false">IF(BR90=0,"",8*DC90)</f>
        <v/>
      </c>
      <c r="DN90" s="244" t="str">
        <f aca="false">IF(AW90=" "," ",IF(DC90=""," ",IF(DC90&lt;4,10*10.2,IF(DC90=4,12*10.2,IF(DC90&lt;10,17.5*10.5,IF(DC90=10,15*10.2,IF(DC90&lt;30,22.5*10.2,IF(DC90=30,35*10.2,IF(DC90&lt;50,40*10.2,IF(DC90=50,50*10.2,55*10.2))))))))))</f>
        <v> </v>
      </c>
      <c r="DO90" s="244" t="str">
        <f aca="false">IF(BR90=0,"",7*SQRT(DC90)*10.1972)</f>
        <v/>
      </c>
      <c r="DP90" s="244" t="str">
        <f aca="false">IF(BR90=0,"",IF(AS90=$AX$4,5*CC90,""))</f>
        <v/>
      </c>
      <c r="DQ90" s="244" t="str">
        <f aca="false">IF(AW90=" "," ",IF(DC90=""," ",IF(DC90&lt;2,4*10.2,IF(DC90=2,6*10.2,IF(DC90&lt;4,12*10.2,IF(DC90=4,20*10.2,IF(DC90&lt;8,30*10.2,IF(DC90=8,35*10.2,IF(DC90&lt;15,40*10.2,IF(DC90=15,42*10.2,IF(DC90&lt;30,45*10.2,IF(DC90=30,50*10.2,70*10.2))))))))))))</f>
        <v> </v>
      </c>
      <c r="DR90" s="244" t="str">
        <f aca="false">IF(BR90=0,"",IF(AS90=$AX$4,220*DP90*0.0101972,""))</f>
        <v/>
      </c>
      <c r="DS90" s="271" t="str">
        <f aca="false">IF(BR90=0,"",IF(AS90=$AX$7,(SUM(DH90:DO90)-MIN(DH90:DO90)-MAX(DH90:DO90))/6,(SUM(DO90:DR90)-MIN(DO90:DR90)-MAX(DO90:DR90))/2))</f>
        <v/>
      </c>
      <c r="DT90" s="244" t="str">
        <f aca="false">IF(AW90=" "," ",IF(DC90=""," ",IF(DC90&lt;4,0.2,IF(DC90=4,0.27,IF(DC90&lt;10,0.33,IF(DC90=10,0.35,IF(DC90&lt;30,0.36,IF(DC90=30,0.37,IF(DC90&lt;50,0.38,IF(DC90=50,0.4,0.45))))))))))</f>
        <v> </v>
      </c>
      <c r="DU90" s="272" t="str">
        <f aca="false">IF(AW90=" "," ",IF(CC90=""," ",IF(CC90&lt;2,0.2,IF(CC90=2,0.23,IF(CC90&lt;4,0.26,IF(CC90=4,0.29,IF(CC90&lt;8,0.32,IF(CC90=8,0.35,IF(CC90&lt;15,0.38,IF(CC90=15,0.41,IF(CC90&lt;30,0.44,IF(CC90=30,0.47,0.5))))))))))))</f>
        <v> </v>
      </c>
      <c r="DV90" s="244" t="str">
        <f aca="false">IF(BR90=0,"",IF(AS90=$AX$3,DT90,DU90))</f>
        <v/>
      </c>
      <c r="DW90" s="244" t="str">
        <f aca="false">IF(BR90=0,"",IF(DC90&gt;15,15+0.5*(DC90-15),DC90))</f>
        <v/>
      </c>
      <c r="DX90" s="244" t="str">
        <f aca="false">IF(BR90=0,"",IF($S$12="SI",IF(CD90="NO",IF($AD$12&gt;(BO90+1.5*$ED$15),1,0.5),0.5),1))</f>
        <v/>
      </c>
      <c r="DY90" s="244" t="str">
        <f aca="false">IF(BR90=0,"",IF($S$12="SI",IF(CD90="NO",IF($AD$12&gt;(BO90+1.5*$EE$15),1,0.5),0.5),1))</f>
        <v/>
      </c>
      <c r="DZ90" s="244" t="str">
        <f aca="false">IF(BR90=0,"",IF($S$12="SI",IF(CD90="NO",IF($AD$12&gt;(BO90+1.5*$EF$15),1,0.5),0.5),1))</f>
        <v/>
      </c>
      <c r="EA90" s="244" t="str">
        <f aca="false">IF(BR90=0,"",IF($S$12="SI",IF(CD90="NO",IF($AD$12&gt;(BO90+1.5*$ED$15),1,0.5),IF($AD$12=BO90,1,0.5)),1))</f>
        <v/>
      </c>
      <c r="EB90" s="244" t="str">
        <f aca="false">IF(BR90=0,"",IF($S$12="SI",IF(CD90="NO",IF($AD$12&gt;(BO90+1.5*$EE$15),1,0.5),IF($AD$12=BO90,1,0.5)),1))</f>
        <v/>
      </c>
      <c r="EC90" s="244" t="str">
        <f aca="false">IF(BR90=0,"",IF($S$12="SI",IF(CD90="NO",IF($AD$12&gt;(BO90+1.5*$EF$15),1,0.5),IF($AD$12=BO90,1,0.5)),1))</f>
        <v/>
      </c>
      <c r="ED90" s="244" t="str">
        <f aca="false">IF(BR90=0,"",(DW90*($ED$15/10)*(DX90+EA90*(BO90/$ED$15))*1)/3)</f>
        <v/>
      </c>
      <c r="EE90" s="244" t="str">
        <f aca="false">IF(BR90=0,"",(DW90*($EE$15/10)*(DY90+EB90*(BO90/$EE$15))*1)/3)</f>
        <v/>
      </c>
      <c r="EF90" s="244" t="str">
        <f aca="false">IF(BR90=0,"",(DW90*($EF$15/10)*(DZ90+EC90*(BO90/$EF$15))*1)/3)</f>
        <v/>
      </c>
      <c r="EG90" s="273" t="str">
        <f aca="false">IF(BR90=0,"",IF(CD90="SI",0.5,1))</f>
        <v/>
      </c>
      <c r="EH90" s="244" t="str">
        <f aca="false">IF(BR90=0,"",IF((1+0.33*(BO90/$ED$15))&lt;=1.33,(1+0.33*(BO90/$ED$15)),1.33))</f>
        <v/>
      </c>
      <c r="EI90" s="244" t="str">
        <f aca="false">IF(BR90=0,"",IF((1+0.33*(BO90/$EE$15))&lt;=1.33,(1+0.33*(BO90/$EE$15)),1.33))</f>
        <v/>
      </c>
      <c r="EJ90" s="244" t="str">
        <f aca="false">IF(BR90=0,"",IF((1+0.33*(BO90/$EF$15))&lt;=1.33,(1+0.33*(BO90/$EF$15)),1.33))</f>
        <v/>
      </c>
      <c r="EK90" s="244" t="str">
        <f aca="false">IF(BR90=0,"",IF($ED$15&lt;=1.2,((20*DC90*EG90*EH90)/3)*0.010197,((12.5*DC90*((($ED$15+0.3)^2)/$ED$15)*EG90*EH90)/3)*0.010197))</f>
        <v/>
      </c>
      <c r="EL90" s="244" t="str">
        <f aca="false">IF(BR90=0,"",IF($EE$15&lt;=1.2,((20*DC90*EG90*EI90)/3)*0.010197,((12.5*DC90*((($EE$15+0.3)^2)/$EE$15)*EG90*EI90)/3)*0.010197))</f>
        <v/>
      </c>
      <c r="EM90" s="244" t="str">
        <f aca="false">IF(BR90=0,"",IF($EF$15&lt;=1.2,((20*DC90*EG90*EJ90)/3)*0.010197,((12.5*DC90*((($EF$15+0.3)^2)/$EF$15)*EG90*EJ90)/3)*0.010197))</f>
        <v/>
      </c>
      <c r="EN90" s="248" t="str">
        <f aca="false">IF(BR90=0,"",SQRT(12*CC90)+25)</f>
        <v/>
      </c>
      <c r="EO90" s="248" t="str">
        <f aca="false">IF(BR90=0,"",28.5+0.25*CC90)</f>
        <v/>
      </c>
      <c r="EP90" s="248" t="str">
        <f aca="false">IF(BR90=0,"",SQRT(20*CC90)+15)</f>
        <v/>
      </c>
      <c r="EQ90" s="248" t="str">
        <f aca="false">IF(BR90=0,"",23.7+0.57*CC90-0.0006*CC90*CC90)</f>
        <v/>
      </c>
      <c r="ER90" s="248" t="str">
        <f aca="false">IF(BR90=0,"",15+SQRT(12.5*DC90))</f>
        <v/>
      </c>
      <c r="ES90" s="248" t="str">
        <f aca="false">IF(BR90=0,"",3.5*SQRT(CC90)+20)</f>
        <v/>
      </c>
      <c r="ET90" s="248" t="str">
        <f aca="false">IF(BR90=0,"",27.1+0.3*DC90-0.00054*DC90*DC90)</f>
        <v/>
      </c>
      <c r="EU90" s="248" t="str">
        <f aca="false">IF(BR90=0,"",SQRT(20*CC90)+20)</f>
        <v/>
      </c>
      <c r="EV90" s="248" t="str">
        <f aca="false">IF(BR90=0,"",12.79+SQRT(25.86*CC90))</f>
        <v/>
      </c>
      <c r="EW90" s="248" t="str">
        <f aca="false">IF(BR90=0,"",DEGREES(_xlfn.ACOT((CC90/(12.2+20.3*CR90))^0.34)))</f>
        <v/>
      </c>
      <c r="EX90" s="248" t="str">
        <f aca="false">IF(BR90=0,"",24+(5.77*LN(0.17*DC90)))</f>
        <v/>
      </c>
      <c r="EY90" s="248" t="str">
        <f aca="false">IF(BR90=0,"",(SUM(EN90:EX90)-MIN(EN90:EX90)-MAX(EN90:EX90))/9)</f>
        <v/>
      </c>
      <c r="EZ90" s="248" t="str">
        <f aca="false">IF(BR90=0,"", -0.0000000034*CC90^6 + 0.0000008305*CC90^5 - 0.0000741842*CC90^4 + 0.0030204278*CC90^3 - 0.0541594733*CC90^2 + 0.8083147848*CC90 - 0.6182191243)</f>
        <v/>
      </c>
      <c r="FA90" s="249" t="str">
        <f aca="false">IF(BR90=0,"",(0.134811827956989*CC90 - 0.0383064516129019)/2)</f>
        <v/>
      </c>
      <c r="FB90" s="249" t="str">
        <f aca="false">IF(BR90=0,"",CC90*0.065)</f>
        <v/>
      </c>
      <c r="FC90" s="249" t="str">
        <f aca="false">IF(BR90=0,"",(CC90*0.12*0.48)*SQRT((1+SIN(EZ90*((2*PI())/360))/(1-SIN(EZ90*((2*PI())/360))))))</f>
        <v/>
      </c>
      <c r="FD90" s="249" t="str">
        <f aca="false">IF(BR90=0,"",(CC90/8)/2)</f>
        <v/>
      </c>
      <c r="FE90" s="249" t="str">
        <f aca="false">IF(BR90=0,"",(SUM(FA90:FD90)-MIN(FA90:FD90)-MAX(FA90:FD90))/2)</f>
        <v/>
      </c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</row>
    <row r="91" customFormat="false" ht="9.75" hidden="false" customHeight="true" outlineLevel="0" collapsed="false">
      <c r="A91" s="197" t="n">
        <f aca="false">ROUND(A90+0.1,1)</f>
        <v>7.4</v>
      </c>
      <c r="B91" s="250" t="n">
        <f aca="false">+A91</f>
        <v>7.4</v>
      </c>
      <c r="C91" s="251"/>
      <c r="D91" s="251"/>
      <c r="E91" s="274"/>
      <c r="F91" s="253"/>
      <c r="G91" s="279"/>
      <c r="H91" s="280"/>
      <c r="I91" s="280"/>
      <c r="J91" s="257"/>
      <c r="K91" s="258"/>
      <c r="L91" s="259"/>
      <c r="M91" s="276"/>
      <c r="N91" s="277"/>
      <c r="O91" s="277"/>
      <c r="P91" s="277"/>
      <c r="Q91" s="293"/>
      <c r="R91" s="278"/>
      <c r="S91" s="278"/>
      <c r="T91" s="295"/>
      <c r="U91" s="295"/>
      <c r="V91" s="296"/>
      <c r="W91" s="296"/>
      <c r="X91" s="296"/>
      <c r="Y91" s="296"/>
      <c r="Z91" s="296"/>
      <c r="AA91" s="296"/>
      <c r="AB91" s="297"/>
      <c r="AC91" s="298"/>
      <c r="AD91" s="299"/>
      <c r="AE91" s="298"/>
      <c r="AF91" s="300"/>
      <c r="AG91" s="267"/>
      <c r="AH91" s="267"/>
      <c r="AI91" s="241"/>
      <c r="AJ91" s="241"/>
      <c r="AK91" s="266"/>
      <c r="AL91" s="266"/>
      <c r="AM91" s="268"/>
      <c r="AN91" s="250" t="n">
        <f aca="false">+AN89+0.2</f>
        <v>7.4</v>
      </c>
      <c r="AO91" s="251"/>
      <c r="AP91" s="251"/>
      <c r="AQ91" s="274"/>
      <c r="AR91" s="253"/>
      <c r="AS91" s="269" t="s">
        <v>13</v>
      </c>
      <c r="AT91" s="221" t="s">
        <v>45</v>
      </c>
      <c r="AU91" s="269"/>
      <c r="AV91" s="269"/>
      <c r="AW91" s="270" t="n">
        <f aca="false">+K91+L91</f>
        <v>0</v>
      </c>
      <c r="AX91" s="270" t="str">
        <f aca="false">IF(AS91="&gt;50","CONSISTENCIA",IF(AS91="&lt;50","COMPACIDAD"," "))</f>
        <v>COMPACIDAD</v>
      </c>
      <c r="AY91" s="225" t="str">
        <f aca="false">IF(AS91="&gt;50",AZ91,IF(AS91="&lt;50",BA91," "))</f>
        <v> </v>
      </c>
      <c r="AZ91" s="224" t="str">
        <f aca="false">IF(AW91=" "," ",IF(CC91=""," ",IF(CC91&lt;2,"MUY BLANDA",IF(CC91=2,"MUY BLANDA A BLANDA",IF(CC91&lt;4,"BLANDA",IF(CC91=4,"BLANDA A MEDIA",IF(CC91&lt;8,"MEDIA",IF(CC91=8,"MEDIA A FIRME",IF(CC91&lt;15,"FIRME",IF(CC91=15,"FIRME A MUY FIRME",IF(CC91&lt;30,"MUY FIRME",IF(CC91=30,"MUY FIRME A DURA","DURA"))))))))))))</f>
        <v> </v>
      </c>
      <c r="BA91" s="225" t="str">
        <f aca="false">IF(AW91=" "," ",IF(DC91=""," ",IF(DC91&lt;4,"MUY SUELTA",IF(DC91=4,"MUY SUELTA A SUELTA",IF(DC91&lt;10,"SUELTA",IF(DC91=10,"SUELTA A MEDIA",IF(DC91&lt;30,"MEDIA",IF(DC91=30,"MEDIA A DENSO",IF(DC91&lt;50,"DENSO",IF(DC91=50,"DENSO MUY DENSO","MUY DENSO"))))))))))</f>
        <v> </v>
      </c>
      <c r="BB91" s="226" t="str">
        <f aca="false">IF(BR92=0,"",CQ92*0.0101972)</f>
        <v/>
      </c>
      <c r="BC91" s="227" t="n">
        <f aca="false">+BC90+0.1</f>
        <v>7.39999999999999</v>
      </c>
      <c r="BD91" s="227" t="str">
        <f aca="false">IF(BC91&lt;=$AN$10,BC91,"")</f>
        <v/>
      </c>
      <c r="BE91" s="228" t="n">
        <f aca="false">ISNUMBER(BD91)</f>
        <v>0</v>
      </c>
      <c r="BF91" s="229" t="str">
        <f aca="false">MID(M91,1,1)</f>
        <v/>
      </c>
      <c r="BG91" s="230" t="str">
        <f aca="false">IF(BF91="S","",IF(BF91="G","",MID(M91,2,1)))</f>
        <v/>
      </c>
      <c r="BH91" s="231" t="str">
        <f aca="false">CONCATENATE(BF91,BG91)</f>
        <v/>
      </c>
      <c r="BI91" s="6" t="str">
        <f aca="false">IF(BE91=FALSE(),"",IF(BH91="",BI90,BH91))</f>
        <v/>
      </c>
      <c r="BJ91" s="74" t="str">
        <f aca="false">IF(OR(BI91="S",BI91="G"),BI91,"X")</f>
        <v>X</v>
      </c>
      <c r="BK91" s="74" t="s">
        <v>251</v>
      </c>
      <c r="BL91" s="311" t="e">
        <f aca="false">INDEX(sim_0,MATCH($BJ$91,granular,0))</f>
        <v>#NAME?</v>
      </c>
      <c r="BM91" s="311"/>
      <c r="BN91" s="6"/>
      <c r="BO91" s="191" t="n">
        <f aca="false">BO90+0.1</f>
        <v>7.39999999999999</v>
      </c>
      <c r="BP91" s="233" t="e">
        <f aca="false">IF(AW91=0,NA(),IF(AS91=$AX$3,ROUND(DC91,0),NA()))</f>
        <v>#N/A</v>
      </c>
      <c r="BQ91" s="31" t="e">
        <f aca="false">IF(AW91=0,NA(),IF(AS91=$AX$4,ROUND(CC91,0),NA()))</f>
        <v>#N/A</v>
      </c>
      <c r="BR91" s="234" t="n">
        <f aca="false">+AW91</f>
        <v>0</v>
      </c>
      <c r="BS91" s="235" t="str">
        <f aca="false">IF(BR91=0,"", -0.00000000016128755327*CC91^6 + 0.00000006709386362421*CC91^5 - 0.0000106217678052217*CC91^4 + 0.00081068114193385*CC91^3 - 0.0314027378159951*CC91^2 + 0.649796593937842*CC91 + 13.7888866455022)</f>
        <v/>
      </c>
      <c r="BT91" s="235" t="str">
        <f aca="false">IF(BR91=0,"",-0.00000000014625939695*CC91^6 + 0.00000004971732060241*CC91^5 - 0.000006683744342031*CC91^4 + 0.0004563177378098*CC91^3 - 0.0171727530635803*CC91^2 + 0.444529932876435*CC91 + 15.6692518940565)</f>
        <v/>
      </c>
      <c r="BU91" s="236" t="str">
        <f aca="false">IF(BR91=0,"", -0.0000000008152265738*BR91^6 + 0.00000022764320256987*BR91^5 - 0.0000248205675927705*BR91^4 + 0.00133186623684865*BR91^3 - 0.0368442570441677*BR91^2 + 0.580111565569094*BR91 + 14.0417598296107)</f>
        <v/>
      </c>
      <c r="BV91" s="236" t="str">
        <f aca="false">IF(BR91=0,"", -0.00000000004321395721*BR91^6 + 0.00000002531844275498*BR91^5 - 0.00000369428022780862*BR91^4 + 0.00020283665900125*BR91^3 - 0.00462426256803268*BR91^2 + 0.139572935065453*BR91 + 15.4475338156923)</f>
        <v/>
      </c>
      <c r="BW91" s="236" t="str">
        <f aca="false">IF(BR91=0,"",-0.00000000033126390082*BR91^6 + 0.00000010463660614506*BR91^5 - 0.0000129629592998707*BR91^4 + 0.000803946335250767*BR91^3 - 0.0270257140395994*BR91^2 + 0.562590210721552*BR91+ 12.1254107606419)</f>
        <v/>
      </c>
      <c r="BX91" s="236" t="str">
        <f aca="false">IF(BR91=0,"",-0.00000000002593504955*BR91^6 + 0.00000002430495156704*BR91^5 - 0.00000386103271086364*BR91^4 + 0.000214416118986322*BR91^3 - 0.0047271462612021*BR91^2 + 0.156696175741135*BR91 + 15.4598891949502)</f>
        <v/>
      </c>
      <c r="BY91" s="234" t="str">
        <f aca="false">IF(BR91=0,"",$BS$2)</f>
        <v/>
      </c>
      <c r="BZ91" s="234" t="str">
        <f aca="false">IF(BR91=0,"",$BS$3)</f>
        <v/>
      </c>
      <c r="CA91" s="234" t="str">
        <f aca="false">IF(BR91=0,"",$BS$4)</f>
        <v/>
      </c>
      <c r="CB91" s="235" t="str">
        <f aca="false">IF(BR91=0,"",IF(AND(BO91&gt;=0,BO91&lt;4),0.75,IF(AND(BO91&gt;=4,BO91&lt;6),0.85,IF(AND(BO91&gt;=6,BO91&lt;=10),0.95,1))))</f>
        <v/>
      </c>
      <c r="CC91" s="234" t="str">
        <f aca="false">IF(BR91=0,"",BR91*BY91*BZ91*CA91*CB91/60)</f>
        <v/>
      </c>
      <c r="CD91" s="238" t="str">
        <f aca="false">IF(BR91=0,"",IF($S$12="NO","NO",IF($AD$12&lt;=BO91,"SI","NO")))</f>
        <v/>
      </c>
      <c r="CE91" s="235" t="n">
        <f aca="false">IF(BR91=0,0,AB91)</f>
        <v>0</v>
      </c>
      <c r="CF91" s="235" t="n">
        <f aca="false">IF(CE91&gt;0,BO91,0)</f>
        <v>0</v>
      </c>
      <c r="CG91" s="239" t="n">
        <f aca="false">IF(CF91=0,CF91+CG90,CF91)</f>
        <v>0</v>
      </c>
      <c r="CH91" s="239" t="n">
        <f aca="false">IF(CG91=CG90,CH90,ABS(CG91-CG90))</f>
        <v>0</v>
      </c>
      <c r="CI91" s="239" t="n">
        <f aca="false">+CE91*CH91</f>
        <v>0</v>
      </c>
      <c r="CJ91" s="239" t="n">
        <f aca="false">IF(CI91=0,CI91+CJ90,CI91)</f>
        <v>0</v>
      </c>
      <c r="CK91" s="239" t="n">
        <f aca="false">IF(CJ91=CJ90,CK90,ABS(CJ91+CK90))</f>
        <v>0</v>
      </c>
      <c r="CL91" s="241" t="n">
        <f aca="false">IF(CE91=0,0,CK91)</f>
        <v>0</v>
      </c>
      <c r="CM91" s="239" t="n">
        <f aca="false">IF(CE91=0,0,CH91*9.81)</f>
        <v>0</v>
      </c>
      <c r="CN91" s="239" t="n">
        <f aca="false">IF(CM91=0,CM91+CN90,CM91)</f>
        <v>0</v>
      </c>
      <c r="CO91" s="239" t="n">
        <f aca="false">IF(CN91=CN90,CO90,ABS(CN91+CO90))</f>
        <v>0</v>
      </c>
      <c r="CP91" s="241" t="n">
        <f aca="false">IF(CD91="NO",0,IF(CE91=0,0,CO91))</f>
        <v>0</v>
      </c>
      <c r="CQ91" s="244" t="str">
        <f aca="false">IF(BR91=0,"",CL91-CP91)</f>
        <v/>
      </c>
      <c r="CR91" s="244" t="str">
        <f aca="false">IF(BR91=0,"",CQ91/101.3)</f>
        <v/>
      </c>
      <c r="CS91" s="244" t="str">
        <f aca="false">IF(BR91=0,"",LOG(10/CR91))</f>
        <v/>
      </c>
      <c r="CT91" s="243" t="str">
        <f aca="false">IF(BR91=0,"",IF(SQRT(101.3/CQ91)&lt;=1.7,SQRT(101.3/CQ91),2.2/(1.2+(CQ91/101.3))))</f>
        <v/>
      </c>
      <c r="CU91" s="244" t="str">
        <f aca="false">IF(BR91=0,"",1.7/(0.7+CR91))</f>
        <v/>
      </c>
      <c r="CV91" s="244" t="str">
        <f aca="false">IF(BR91=0,"",IF(CR91&gt;=0.25,0.77*LOG(20/CR91),""))</f>
        <v/>
      </c>
      <c r="CW91" s="244" t="str">
        <f aca="false">IF(BR91=0,"",32.5/(10.2+20.3*CR91))</f>
        <v/>
      </c>
      <c r="CX91" s="244" t="str">
        <f aca="false">IF(BR91=0,"",1-1.25*LOG(CR91))</f>
        <v/>
      </c>
      <c r="CY91" s="244" t="str">
        <f aca="false">IF(BR91=0,"",IF(CR91&lt;1,1-1.41*LOG(CR91),1+0.92*LOG(CR91)))</f>
        <v/>
      </c>
      <c r="CZ91" s="244" t="str">
        <f aca="false">IF(BR91=0,"",2/(1+CR91))</f>
        <v/>
      </c>
      <c r="DA91" s="244" t="str">
        <f aca="false">IF(BR91=0,"",IF(CR91&lt;=0.75,4/(1+4*CR91),4/(3.25+CR91)))</f>
        <v/>
      </c>
      <c r="DB91" s="244" t="str">
        <f aca="false">IF(BR91=0,"",CT91)</f>
        <v/>
      </c>
      <c r="DC91" s="244" t="str">
        <f aca="false">IF(BR91=0,"",DB91*CC91)</f>
        <v/>
      </c>
      <c r="DD91" s="244"/>
      <c r="DE91" s="244" t="str">
        <f aca="false">IF(BR91=0,"",0.193*(CC91/(CQ91*0.001))^0.689)</f>
        <v/>
      </c>
      <c r="DF91" s="244" t="str">
        <f aca="false">IF(BR91=0,"",IF(AS91=$AX$4,(0.1348118*CC91 - 0.0383065)*98.0665,""))</f>
        <v/>
      </c>
      <c r="DG91" s="244" t="str">
        <f aca="false">IF(BR91=0,"",IF(AS91=$AX$4,DF91/2,""))</f>
        <v/>
      </c>
      <c r="DH91" s="244" t="str">
        <f aca="false">IF(BR91=0,"",IF(DC91&lt;=15,12*(DC91+6),40+12*(DC91-6)))</f>
        <v/>
      </c>
      <c r="DI91" s="244" t="str">
        <f aca="false">IF(BR91=0,"",IF(CD91="SI",5*(DC91+15),((3.3*(DC91+15))+(4*(DC91+12)))/2))</f>
        <v/>
      </c>
      <c r="DJ91" s="244" t="str">
        <f aca="false">IF(BR91=0,"",8*DC91)</f>
        <v/>
      </c>
      <c r="DK91" s="244" t="str">
        <f aca="false">IF(BR91=0,"",215+(10.6*DC91))</f>
        <v/>
      </c>
      <c r="DL91" s="244" t="str">
        <f aca="false">IF(BR91=0,"",10*(7.5+(0.5*DC91)))</f>
        <v/>
      </c>
      <c r="DM91" s="244" t="str">
        <f aca="false">IF(BR91=0,"",8*DC91)</f>
        <v/>
      </c>
      <c r="DN91" s="244" t="str">
        <f aca="false">IF(AW91=" "," ",IF(DC91=""," ",IF(DC91&lt;4,10*10.2,IF(DC91=4,12*10.2,IF(DC91&lt;10,17.5*10.5,IF(DC91=10,15*10.2,IF(DC91&lt;30,22.5*10.2,IF(DC91=30,35*10.2,IF(DC91&lt;50,40*10.2,IF(DC91=50,50*10.2,55*10.2))))))))))</f>
        <v> </v>
      </c>
      <c r="DO91" s="244" t="str">
        <f aca="false">IF(BR91=0,"",7*SQRT(DC91)*10.1972)</f>
        <v/>
      </c>
      <c r="DP91" s="244" t="str">
        <f aca="false">IF(BR91=0,"",IF(AS91=$AX$4,5*CC91,""))</f>
        <v/>
      </c>
      <c r="DQ91" s="244" t="str">
        <f aca="false">IF(AW91=" "," ",IF(DC91=""," ",IF(DC91&lt;2,4*10.2,IF(DC91=2,6*10.2,IF(DC91&lt;4,12*10.2,IF(DC91=4,20*10.2,IF(DC91&lt;8,30*10.2,IF(DC91=8,35*10.2,IF(DC91&lt;15,40*10.2,IF(DC91=15,42*10.2,IF(DC91&lt;30,45*10.2,IF(DC91=30,50*10.2,70*10.2))))))))))))</f>
        <v> </v>
      </c>
      <c r="DR91" s="244" t="str">
        <f aca="false">IF(BR91=0,"",IF(AS91=$AX$4,220*DP91*0.0101972,""))</f>
        <v/>
      </c>
      <c r="DS91" s="271" t="str">
        <f aca="false">IF(BR91=0,"",IF(AS91=$AX$7,(SUM(DH91:DO91)-MIN(DH91:DO91)-MAX(DH91:DO91))/6,(SUM(DO91:DR91)-MIN(DO91:DR91)-MAX(DO91:DR91))/2))</f>
        <v/>
      </c>
      <c r="DT91" s="244" t="str">
        <f aca="false">IF(AW91=" "," ",IF(DC91=""," ",IF(DC91&lt;4,0.2,IF(DC91=4,0.27,IF(DC91&lt;10,0.33,IF(DC91=10,0.35,IF(DC91&lt;30,0.36,IF(DC91=30,0.37,IF(DC91&lt;50,0.38,IF(DC91=50,0.4,0.45))))))))))</f>
        <v> </v>
      </c>
      <c r="DU91" s="272" t="str">
        <f aca="false">IF(AW91=" "," ",IF(CC91=""," ",IF(CC91&lt;2,0.2,IF(CC91=2,0.23,IF(CC91&lt;4,0.26,IF(CC91=4,0.29,IF(CC91&lt;8,0.32,IF(CC91=8,0.35,IF(CC91&lt;15,0.38,IF(CC91=15,0.41,IF(CC91&lt;30,0.44,IF(CC91=30,0.47,0.5))))))))))))</f>
        <v> </v>
      </c>
      <c r="DV91" s="244" t="str">
        <f aca="false">IF(BR91=0,"",IF(AS91=$AX$3,DT91,DU91))</f>
        <v/>
      </c>
      <c r="DW91" s="244" t="str">
        <f aca="false">IF(BR91=0,"",IF(DC91&gt;15,15+0.5*(DC91-15),DC91))</f>
        <v/>
      </c>
      <c r="DX91" s="244" t="str">
        <f aca="false">IF(BR91=0,"",IF($S$12="SI",IF(CD91="NO",IF($AD$12&gt;(BO91+1.5*$ED$15),1,0.5),0.5),1))</f>
        <v/>
      </c>
      <c r="DY91" s="244" t="str">
        <f aca="false">IF(BR91=0,"",IF($S$12="SI",IF(CD91="NO",IF($AD$12&gt;(BO91+1.5*$EE$15),1,0.5),0.5),1))</f>
        <v/>
      </c>
      <c r="DZ91" s="244" t="str">
        <f aca="false">IF(BR91=0,"",IF($S$12="SI",IF(CD91="NO",IF($AD$12&gt;(BO91+1.5*$EF$15),1,0.5),0.5),1))</f>
        <v/>
      </c>
      <c r="EA91" s="244" t="str">
        <f aca="false">IF(BR91=0,"",IF($S$12="SI",IF(CD91="NO",IF($AD$12&gt;(BO91+1.5*$ED$15),1,0.5),IF($AD$12=BO91,1,0.5)),1))</f>
        <v/>
      </c>
      <c r="EB91" s="244" t="str">
        <f aca="false">IF(BR91=0,"",IF($S$12="SI",IF(CD91="NO",IF($AD$12&gt;(BO91+1.5*$EE$15),1,0.5),IF($AD$12=BO91,1,0.5)),1))</f>
        <v/>
      </c>
      <c r="EC91" s="244" t="str">
        <f aca="false">IF(BR91=0,"",IF($S$12="SI",IF(CD91="NO",IF($AD$12&gt;(BO91+1.5*$EF$15),1,0.5),IF($AD$12=BO91,1,0.5)),1))</f>
        <v/>
      </c>
      <c r="ED91" s="244" t="str">
        <f aca="false">IF(BR91=0,"",(DW91*($ED$15/10)*(DX91+EA91*(BO91/$ED$15))*1)/3)</f>
        <v/>
      </c>
      <c r="EE91" s="244" t="str">
        <f aca="false">IF(BR91=0,"",(DW91*($EE$15/10)*(DY91+EB91*(BO91/$EE$15))*1)/3)</f>
        <v/>
      </c>
      <c r="EF91" s="244" t="str">
        <f aca="false">IF(BR91=0,"",(DW91*($EF$15/10)*(DZ91+EC91*(BO91/$EF$15))*1)/3)</f>
        <v/>
      </c>
      <c r="EG91" s="273" t="str">
        <f aca="false">IF(BR91=0,"",IF(CD91="SI",0.5,1))</f>
        <v/>
      </c>
      <c r="EH91" s="244" t="str">
        <f aca="false">IF(BR91=0,"",IF((1+0.33*(BO91/$ED$15))&lt;=1.33,(1+0.33*(BO91/$ED$15)),1.33))</f>
        <v/>
      </c>
      <c r="EI91" s="244" t="str">
        <f aca="false">IF(BR91=0,"",IF((1+0.33*(BO91/$EE$15))&lt;=1.33,(1+0.33*(BO91/$EE$15)),1.33))</f>
        <v/>
      </c>
      <c r="EJ91" s="244" t="str">
        <f aca="false">IF(BR91=0,"",IF((1+0.33*(BO91/$EF$15))&lt;=1.33,(1+0.33*(BO91/$EF$15)),1.33))</f>
        <v/>
      </c>
      <c r="EK91" s="244" t="str">
        <f aca="false">IF(BR91=0,"",IF($ED$15&lt;=1.2,((20*DC91*EG91*EH91)/3)*0.010197,((12.5*DC91*((($ED$15+0.3)^2)/$ED$15)*EG91*EH91)/3)*0.010197))</f>
        <v/>
      </c>
      <c r="EL91" s="244" t="str">
        <f aca="false">IF(BR91=0,"",IF($EE$15&lt;=1.2,((20*DC91*EG91*EI91)/3)*0.010197,((12.5*DC91*((($EE$15+0.3)^2)/$EE$15)*EG91*EI91)/3)*0.010197))</f>
        <v/>
      </c>
      <c r="EM91" s="244" t="str">
        <f aca="false">IF(BR91=0,"",IF($EF$15&lt;=1.2,((20*DC91*EG91*EJ91)/3)*0.010197,((12.5*DC91*((($EF$15+0.3)^2)/$EF$15)*EG91*EJ91)/3)*0.010197))</f>
        <v/>
      </c>
      <c r="EN91" s="248" t="str">
        <f aca="false">IF(BR91=0,"",SQRT(12*CC91)+25)</f>
        <v/>
      </c>
      <c r="EO91" s="248" t="str">
        <f aca="false">IF(BR91=0,"",28.5+0.25*CC91)</f>
        <v/>
      </c>
      <c r="EP91" s="248" t="str">
        <f aca="false">IF(BR91=0,"",SQRT(20*CC91)+15)</f>
        <v/>
      </c>
      <c r="EQ91" s="248" t="str">
        <f aca="false">IF(BR91=0,"",23.7+0.57*CC91-0.0006*CC91*CC91)</f>
        <v/>
      </c>
      <c r="ER91" s="248" t="str">
        <f aca="false">IF(BR91=0,"",15+SQRT(12.5*DC91))</f>
        <v/>
      </c>
      <c r="ES91" s="248" t="str">
        <f aca="false">IF(BR91=0,"",3.5*SQRT(CC91)+20)</f>
        <v/>
      </c>
      <c r="ET91" s="248" t="str">
        <f aca="false">IF(BR91=0,"",27.1+0.3*DC91-0.00054*DC91*DC91)</f>
        <v/>
      </c>
      <c r="EU91" s="248" t="str">
        <f aca="false">IF(BR91=0,"",SQRT(20*CC91)+20)</f>
        <v/>
      </c>
      <c r="EV91" s="248" t="str">
        <f aca="false">IF(BR91=0,"",12.79+SQRT(25.86*CC91))</f>
        <v/>
      </c>
      <c r="EW91" s="248" t="str">
        <f aca="false">IF(BR91=0,"",DEGREES(_xlfn.ACOT((CC91/(12.2+20.3*CR91))^0.34)))</f>
        <v/>
      </c>
      <c r="EX91" s="248" t="str">
        <f aca="false">IF(BR91=0,"",24+(5.77*LN(0.17*DC91)))</f>
        <v/>
      </c>
      <c r="EY91" s="248" t="str">
        <f aca="false">IF(BR91=0,"",(SUM(EN91:EX91)-MIN(EN91:EX91)-MAX(EN91:EX91))/9)</f>
        <v/>
      </c>
      <c r="EZ91" s="248" t="str">
        <f aca="false">IF(BR91=0,"", -0.0000000034*CC91^6 + 0.0000008305*CC91^5 - 0.0000741842*CC91^4 + 0.0030204278*CC91^3 - 0.0541594733*CC91^2 + 0.8083147848*CC91 - 0.6182191243)</f>
        <v/>
      </c>
      <c r="FA91" s="249" t="str">
        <f aca="false">IF(BR91=0,"",(0.134811827956989*CC91 - 0.0383064516129019)/2)</f>
        <v/>
      </c>
      <c r="FB91" s="249" t="str">
        <f aca="false">IF(BR91=0,"",CC91*0.065)</f>
        <v/>
      </c>
      <c r="FC91" s="249" t="str">
        <f aca="false">IF(BR91=0,"",(CC91*0.12*0.48)*SQRT((1+SIN(EZ91*((2*PI())/360))/(1-SIN(EZ91*((2*PI())/360))))))</f>
        <v/>
      </c>
      <c r="FD91" s="249" t="str">
        <f aca="false">IF(BR91=0,"",(CC91/8)/2)</f>
        <v/>
      </c>
      <c r="FE91" s="249" t="str">
        <f aca="false">IF(BR91=0,"",(SUM(FA91:FD91)-MIN(FA91:FD91)-MAX(FA91:FD91))/2)</f>
        <v/>
      </c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</row>
    <row r="92" customFormat="false" ht="9.75" hidden="false" customHeight="true" outlineLevel="0" collapsed="false">
      <c r="A92" s="197" t="n">
        <f aca="false">ROUND(A91+0.1,1)</f>
        <v>7.5</v>
      </c>
      <c r="B92" s="250"/>
      <c r="C92" s="251"/>
      <c r="D92" s="251"/>
      <c r="E92" s="199"/>
      <c r="F92" s="200"/>
      <c r="G92" s="254"/>
      <c r="H92" s="284"/>
      <c r="I92" s="285"/>
      <c r="J92" s="257"/>
      <c r="K92" s="258"/>
      <c r="L92" s="259"/>
      <c r="M92" s="276"/>
      <c r="N92" s="277"/>
      <c r="O92" s="277"/>
      <c r="P92" s="277"/>
      <c r="Q92" s="293"/>
      <c r="R92" s="278"/>
      <c r="S92" s="278"/>
      <c r="T92" s="295"/>
      <c r="U92" s="295"/>
      <c r="V92" s="296"/>
      <c r="W92" s="296"/>
      <c r="X92" s="296"/>
      <c r="Y92" s="296"/>
      <c r="Z92" s="296"/>
      <c r="AA92" s="296"/>
      <c r="AB92" s="297"/>
      <c r="AC92" s="298"/>
      <c r="AD92" s="299"/>
      <c r="AE92" s="298"/>
      <c r="AF92" s="300"/>
      <c r="AG92" s="267"/>
      <c r="AH92" s="267"/>
      <c r="AI92" s="241"/>
      <c r="AJ92" s="241"/>
      <c r="AK92" s="266"/>
      <c r="AL92" s="266"/>
      <c r="AM92" s="268"/>
      <c r="AN92" s="250"/>
      <c r="AO92" s="251"/>
      <c r="AP92" s="251"/>
      <c r="AQ92" s="199"/>
      <c r="AR92" s="200"/>
      <c r="AS92" s="269" t="s">
        <v>21</v>
      </c>
      <c r="AT92" s="221"/>
      <c r="AU92" s="269"/>
      <c r="AV92" s="269"/>
      <c r="AW92" s="270" t="n">
        <f aca="false">+K92+L92</f>
        <v>0</v>
      </c>
      <c r="AX92" s="270" t="str">
        <f aca="false">IF(AS92="&gt;50","CONSISTENCIA",IF(AS92="&lt;50","COMPACIDAD"," "))</f>
        <v>CONSISTENCIA</v>
      </c>
      <c r="AY92" s="225" t="str">
        <f aca="false">IF(AS92="&gt;50",AZ92,IF(AS92="&lt;50",BA92," "))</f>
        <v> </v>
      </c>
      <c r="AZ92" s="224" t="str">
        <f aca="false">IF(AW92=" "," ",IF(CC92=""," ",IF(CC92&lt;2,"MUY BLANDA",IF(CC92=2,"MUY BLANDA A BLANDA",IF(CC92&lt;4,"BLANDA",IF(CC92=4,"BLANDA A MEDIA",IF(CC92&lt;8,"MEDIA",IF(CC92=8,"MEDIA A FIRME",IF(CC92&lt;15,"FIRME",IF(CC92=15,"FIRME A MUY FIRME",IF(CC92&lt;30,"MUY FIRME",IF(CC92=30,"MUY FIRME A DURA","DURA"))))))))))))</f>
        <v> </v>
      </c>
      <c r="BA92" s="225" t="str">
        <f aca="false">IF(AW92=" "," ",IF(DC92=""," ",IF(DC92&lt;4,"MUY SUELTA",IF(DC92=4,"MUY SUELTA A SUELTA",IF(DC92&lt;10,"SUELTA",IF(DC92=10,"SUELTA A MEDIA",IF(DC92&lt;30,"MEDIA",IF(DC92=30,"MEDIA A DENSO",IF(DC92&lt;50,"DENSO",IF(DC92=50,"DENSO MUY DENSO","MUY DENSO"))))))))))</f>
        <v> </v>
      </c>
      <c r="BB92" s="226" t="str">
        <f aca="false">IF(BR93=0,"",CQ93*0.0101972)</f>
        <v/>
      </c>
      <c r="BC92" s="227" t="n">
        <f aca="false">+BC91+0.1</f>
        <v>7.49999999999999</v>
      </c>
      <c r="BD92" s="227" t="str">
        <f aca="false">IF(BC92&lt;=$AN$10,BC92,"")</f>
        <v/>
      </c>
      <c r="BE92" s="228" t="n">
        <f aca="false">ISNUMBER(BD92)</f>
        <v>0</v>
      </c>
      <c r="BF92" s="229" t="str">
        <f aca="false">MID(M92,1,1)</f>
        <v/>
      </c>
      <c r="BG92" s="230" t="str">
        <f aca="false">IF(BF92="S","",IF(BF92="G","",MID(M92,2,1)))</f>
        <v/>
      </c>
      <c r="BH92" s="231" t="str">
        <f aca="false">CONCATENATE(BF92,BG92)</f>
        <v/>
      </c>
      <c r="BI92" s="6" t="str">
        <f aca="false">IF(BE92=FALSE(),"",IF(BH92="",BI91,BH92))</f>
        <v/>
      </c>
      <c r="BJ92" s="74" t="str">
        <f aca="false">IF(OR(BI92="S",BI92="G"),BI92,"X")</f>
        <v>X</v>
      </c>
      <c r="BK92" s="74" t="s">
        <v>252</v>
      </c>
      <c r="BL92" s="311" t="e">
        <f aca="false">INDEX(sim_0,MATCH($BJ$92,granular,0))</f>
        <v>#NAME?</v>
      </c>
      <c r="BM92" s="311"/>
      <c r="BN92" s="6"/>
      <c r="BO92" s="191" t="n">
        <f aca="false">BO91+0.1</f>
        <v>7.49999999999999</v>
      </c>
      <c r="BP92" s="233" t="e">
        <f aca="false">IF(AW92=0,NA(),IF(AS92=$AX$3,ROUND(DC92,0),NA()))</f>
        <v>#N/A</v>
      </c>
      <c r="BQ92" s="31" t="e">
        <f aca="false">IF(AW92=0,NA(),IF(AS92=$AX$4,ROUND(CC92,0),NA()))</f>
        <v>#N/A</v>
      </c>
      <c r="BR92" s="234" t="n">
        <f aca="false">+AW92</f>
        <v>0</v>
      </c>
      <c r="BS92" s="235" t="str">
        <f aca="false">IF(BR92=0,"", -0.00000000016128755327*CC92^6 + 0.00000006709386362421*CC92^5 - 0.0000106217678052217*CC92^4 + 0.00081068114193385*CC92^3 - 0.0314027378159951*CC92^2 + 0.649796593937842*CC92 + 13.7888866455022)</f>
        <v/>
      </c>
      <c r="BT92" s="235" t="str">
        <f aca="false">IF(BR92=0,"",-0.00000000014625939695*CC92^6 + 0.00000004971732060241*CC92^5 - 0.000006683744342031*CC92^4 + 0.0004563177378098*CC92^3 - 0.0171727530635803*CC92^2 + 0.444529932876435*CC92 + 15.6692518940565)</f>
        <v/>
      </c>
      <c r="BU92" s="236" t="str">
        <f aca="false">IF(BR92=0,"", -0.0000000008152265738*BR92^6 + 0.00000022764320256987*BR92^5 - 0.0000248205675927705*BR92^4 + 0.00133186623684865*BR92^3 - 0.0368442570441677*BR92^2 + 0.580111565569094*BR92 + 14.0417598296107)</f>
        <v/>
      </c>
      <c r="BV92" s="236" t="str">
        <f aca="false">IF(BR92=0,"", -0.00000000004321395721*BR92^6 + 0.00000002531844275498*BR92^5 - 0.00000369428022780862*BR92^4 + 0.00020283665900125*BR92^3 - 0.00462426256803268*BR92^2 + 0.139572935065453*BR92 + 15.4475338156923)</f>
        <v/>
      </c>
      <c r="BW92" s="236" t="str">
        <f aca="false">IF(BR92=0,"",-0.00000000033126390082*BR92^6 + 0.00000010463660614506*BR92^5 - 0.0000129629592998707*BR92^4 + 0.000803946335250767*BR92^3 - 0.0270257140395994*BR92^2 + 0.562590210721552*BR92+ 12.1254107606419)</f>
        <v/>
      </c>
      <c r="BX92" s="236" t="str">
        <f aca="false">IF(BR92=0,"",-0.00000000002593504955*BR92^6 + 0.00000002430495156704*BR92^5 - 0.00000386103271086364*BR92^4 + 0.000214416118986322*BR92^3 - 0.0047271462612021*BR92^2 + 0.156696175741135*BR92 + 15.4598891949502)</f>
        <v/>
      </c>
      <c r="BY92" s="234" t="str">
        <f aca="false">IF(BR92=0,"",$BS$2)</f>
        <v/>
      </c>
      <c r="BZ92" s="234" t="str">
        <f aca="false">IF(BR92=0,"",$BS$3)</f>
        <v/>
      </c>
      <c r="CA92" s="234" t="str">
        <f aca="false">IF(BR92=0,"",$BS$4)</f>
        <v/>
      </c>
      <c r="CB92" s="235" t="str">
        <f aca="false">IF(BR92=0,"",IF(AND(BO92&gt;=0,BO92&lt;4),0.75,IF(AND(BO92&gt;=4,BO92&lt;6),0.85,IF(AND(BO92&gt;=6,BO92&lt;=10),0.95,1))))</f>
        <v/>
      </c>
      <c r="CC92" s="234" t="str">
        <f aca="false">IF(BR92=0,"",BR92*BY92*BZ92*CA92*CB92/60)</f>
        <v/>
      </c>
      <c r="CD92" s="238" t="str">
        <f aca="false">IF(BR92=0,"",IF($S$12="NO","NO",IF($AD$12&lt;=BO92,"SI","NO")))</f>
        <v/>
      </c>
      <c r="CE92" s="235" t="n">
        <f aca="false">IF(BR92=0,0,AB92)</f>
        <v>0</v>
      </c>
      <c r="CF92" s="235" t="n">
        <f aca="false">IF(CE92&gt;0,BO92,0)</f>
        <v>0</v>
      </c>
      <c r="CG92" s="239" t="n">
        <f aca="false">IF(CF92=0,CF92+CG91,CF92)</f>
        <v>0</v>
      </c>
      <c r="CH92" s="239" t="n">
        <f aca="false">IF(CG92=CG91,CH91,ABS(CG92-CG91))</f>
        <v>0</v>
      </c>
      <c r="CI92" s="239" t="n">
        <f aca="false">+CE92*CH92</f>
        <v>0</v>
      </c>
      <c r="CJ92" s="239" t="n">
        <f aca="false">IF(CI92=0,CI92+CJ91,CI92)</f>
        <v>0</v>
      </c>
      <c r="CK92" s="239" t="n">
        <f aca="false">IF(CJ92=CJ91,CK91,ABS(CJ92+CK91))</f>
        <v>0</v>
      </c>
      <c r="CL92" s="241" t="n">
        <f aca="false">IF(CE92=0,0,CK92)</f>
        <v>0</v>
      </c>
      <c r="CM92" s="239" t="n">
        <f aca="false">IF(CE92=0,0,CH92*9.81)</f>
        <v>0</v>
      </c>
      <c r="CN92" s="239" t="n">
        <f aca="false">IF(CM92=0,CM92+CN91,CM92)</f>
        <v>0</v>
      </c>
      <c r="CO92" s="239" t="n">
        <f aca="false">IF(CN92=CN91,CO91,ABS(CN92+CO91))</f>
        <v>0</v>
      </c>
      <c r="CP92" s="241" t="n">
        <f aca="false">IF(CD92="NO",0,IF(CE92=0,0,CO92))</f>
        <v>0</v>
      </c>
      <c r="CQ92" s="244" t="str">
        <f aca="false">IF(BR92=0,"",CL92-CP92)</f>
        <v/>
      </c>
      <c r="CR92" s="244" t="str">
        <f aca="false">IF(BR92=0,"",CQ92/101.3)</f>
        <v/>
      </c>
      <c r="CS92" s="244" t="str">
        <f aca="false">IF(BR92=0,"",LOG(10/CR92))</f>
        <v/>
      </c>
      <c r="CT92" s="243" t="str">
        <f aca="false">IF(BR92=0,"",IF(SQRT(101.3/CQ92)&lt;=1.7,SQRT(101.3/CQ92),2.2/(1.2+(CQ92/101.3))))</f>
        <v/>
      </c>
      <c r="CU92" s="244" t="str">
        <f aca="false">IF(BR92=0,"",1.7/(0.7+CR92))</f>
        <v/>
      </c>
      <c r="CV92" s="244" t="str">
        <f aca="false">IF(BR92=0,"",IF(CR92&gt;=0.25,0.77*LOG(20/CR92),""))</f>
        <v/>
      </c>
      <c r="CW92" s="244" t="str">
        <f aca="false">IF(BR92=0,"",32.5/(10.2+20.3*CR92))</f>
        <v/>
      </c>
      <c r="CX92" s="244" t="str">
        <f aca="false">IF(BR92=0,"",1-1.25*LOG(CR92))</f>
        <v/>
      </c>
      <c r="CY92" s="244" t="str">
        <f aca="false">IF(BR92=0,"",IF(CR92&lt;1,1-1.41*LOG(CR92),1+0.92*LOG(CR92)))</f>
        <v/>
      </c>
      <c r="CZ92" s="244" t="str">
        <f aca="false">IF(BR92=0,"",2/(1+CR92))</f>
        <v/>
      </c>
      <c r="DA92" s="244" t="str">
        <f aca="false">IF(BR92=0,"",IF(CR92&lt;=0.75,4/(1+4*CR92),4/(3.25+CR92)))</f>
        <v/>
      </c>
      <c r="DB92" s="244" t="str">
        <f aca="false">IF(BR92=0,"",CT92)</f>
        <v/>
      </c>
      <c r="DC92" s="244" t="str">
        <f aca="false">IF(BR92=0,"",DB92*CC92)</f>
        <v/>
      </c>
      <c r="DD92" s="244"/>
      <c r="DE92" s="244" t="str">
        <f aca="false">IF(BR92=0,"",0.193*(CC92/(CQ92*0.001))^0.689)</f>
        <v/>
      </c>
      <c r="DF92" s="244" t="str">
        <f aca="false">IF(BR92=0,"",IF(AS92=$AX$4,(0.1348118*CC92 - 0.0383065)*98.0665,""))</f>
        <v/>
      </c>
      <c r="DG92" s="244" t="str">
        <f aca="false">IF(BR92=0,"",IF(AS92=$AX$4,DF92/2,""))</f>
        <v/>
      </c>
      <c r="DH92" s="244" t="str">
        <f aca="false">IF(BR92=0,"",IF(DC92&lt;=15,12*(DC92+6),40+12*(DC92-6)))</f>
        <v/>
      </c>
      <c r="DI92" s="244" t="str">
        <f aca="false">IF(BR92=0,"",IF(CD92="SI",5*(DC92+15),((3.3*(DC92+15))+(4*(DC92+12)))/2))</f>
        <v/>
      </c>
      <c r="DJ92" s="244" t="str">
        <f aca="false">IF(BR92=0,"",8*DC92)</f>
        <v/>
      </c>
      <c r="DK92" s="244" t="str">
        <f aca="false">IF(BR92=0,"",215+(10.6*DC92))</f>
        <v/>
      </c>
      <c r="DL92" s="244" t="str">
        <f aca="false">IF(BR92=0,"",10*(7.5+(0.5*DC92)))</f>
        <v/>
      </c>
      <c r="DM92" s="244" t="str">
        <f aca="false">IF(BR92=0,"",8*DC92)</f>
        <v/>
      </c>
      <c r="DN92" s="244" t="str">
        <f aca="false">IF(AW92=" "," ",IF(DC92=""," ",IF(DC92&lt;4,10*10.2,IF(DC92=4,12*10.2,IF(DC92&lt;10,17.5*10.5,IF(DC92=10,15*10.2,IF(DC92&lt;30,22.5*10.2,IF(DC92=30,35*10.2,IF(DC92&lt;50,40*10.2,IF(DC92=50,50*10.2,55*10.2))))))))))</f>
        <v> </v>
      </c>
      <c r="DO92" s="244" t="str">
        <f aca="false">IF(BR92=0,"",7*SQRT(DC92)*10.1972)</f>
        <v/>
      </c>
      <c r="DP92" s="244" t="str">
        <f aca="false">IF(BR92=0,"",IF(AS92=$AX$4,5*CC92,""))</f>
        <v/>
      </c>
      <c r="DQ92" s="244" t="str">
        <f aca="false">IF(AW92=" "," ",IF(DC92=""," ",IF(DC92&lt;2,4*10.2,IF(DC92=2,6*10.2,IF(DC92&lt;4,12*10.2,IF(DC92=4,20*10.2,IF(DC92&lt;8,30*10.2,IF(DC92=8,35*10.2,IF(DC92&lt;15,40*10.2,IF(DC92=15,42*10.2,IF(DC92&lt;30,45*10.2,IF(DC92=30,50*10.2,70*10.2))))))))))))</f>
        <v> </v>
      </c>
      <c r="DR92" s="244" t="str">
        <f aca="false">IF(BR92=0,"",IF(AS92=$AX$4,220*DP92*0.0101972,""))</f>
        <v/>
      </c>
      <c r="DS92" s="271" t="str">
        <f aca="false">IF(BR92=0,"",IF(AS92=$AX$7,(SUM(DH92:DO92)-MIN(DH92:DO92)-MAX(DH92:DO92))/6,(SUM(DO92:DR92)-MIN(DO92:DR92)-MAX(DO92:DR92))/2))</f>
        <v/>
      </c>
      <c r="DT92" s="244" t="str">
        <f aca="false">IF(AW92=" "," ",IF(DC92=""," ",IF(DC92&lt;4,0.2,IF(DC92=4,0.27,IF(DC92&lt;10,0.33,IF(DC92=10,0.35,IF(DC92&lt;30,0.36,IF(DC92=30,0.37,IF(DC92&lt;50,0.38,IF(DC92=50,0.4,0.45))))))))))</f>
        <v> </v>
      </c>
      <c r="DU92" s="272" t="str">
        <f aca="false">IF(AW92=" "," ",IF(CC92=""," ",IF(CC92&lt;2,0.2,IF(CC92=2,0.23,IF(CC92&lt;4,0.26,IF(CC92=4,0.29,IF(CC92&lt;8,0.32,IF(CC92=8,0.35,IF(CC92&lt;15,0.38,IF(CC92=15,0.41,IF(CC92&lt;30,0.44,IF(CC92=30,0.47,0.5))))))))))))</f>
        <v> </v>
      </c>
      <c r="DV92" s="244" t="str">
        <f aca="false">IF(BR92=0,"",IF(AS92=$AX$3,DT92,DU92))</f>
        <v/>
      </c>
      <c r="DW92" s="244" t="str">
        <f aca="false">IF(BR92=0,"",IF(DC92&gt;15,15+0.5*(DC92-15),DC92))</f>
        <v/>
      </c>
      <c r="DX92" s="244" t="str">
        <f aca="false">IF(BR92=0,"",IF($S$12="SI",IF(CD92="NO",IF($AD$12&gt;(BO92+1.5*$ED$15),1,0.5),0.5),1))</f>
        <v/>
      </c>
      <c r="DY92" s="244" t="str">
        <f aca="false">IF(BR92=0,"",IF($S$12="SI",IF(CD92="NO",IF($AD$12&gt;(BO92+1.5*$EE$15),1,0.5),0.5),1))</f>
        <v/>
      </c>
      <c r="DZ92" s="244" t="str">
        <f aca="false">IF(BR92=0,"",IF($S$12="SI",IF(CD92="NO",IF($AD$12&gt;(BO92+1.5*$EF$15),1,0.5),0.5),1))</f>
        <v/>
      </c>
      <c r="EA92" s="244" t="str">
        <f aca="false">IF(BR92=0,"",IF($S$12="SI",IF(CD92="NO",IF($AD$12&gt;(BO92+1.5*$ED$15),1,0.5),IF($AD$12=BO92,1,0.5)),1))</f>
        <v/>
      </c>
      <c r="EB92" s="244" t="str">
        <f aca="false">IF(BR92=0,"",IF($S$12="SI",IF(CD92="NO",IF($AD$12&gt;(BO92+1.5*$EE$15),1,0.5),IF($AD$12=BO92,1,0.5)),1))</f>
        <v/>
      </c>
      <c r="EC92" s="244" t="str">
        <f aca="false">IF(BR92=0,"",IF($S$12="SI",IF(CD92="NO",IF($AD$12&gt;(BO92+1.5*$EF$15),1,0.5),IF($AD$12=BO92,1,0.5)),1))</f>
        <v/>
      </c>
      <c r="ED92" s="244" t="str">
        <f aca="false">IF(BR92=0,"",(DW92*($ED$15/10)*(DX92+EA92*(BO92/$ED$15))*1)/3)</f>
        <v/>
      </c>
      <c r="EE92" s="244" t="str">
        <f aca="false">IF(BR92=0,"",(DW92*($EE$15/10)*(DY92+EB92*(BO92/$EE$15))*1)/3)</f>
        <v/>
      </c>
      <c r="EF92" s="244" t="str">
        <f aca="false">IF(BR92=0,"",(DW92*($EF$15/10)*(DZ92+EC92*(BO92/$EF$15))*1)/3)</f>
        <v/>
      </c>
      <c r="EG92" s="273" t="str">
        <f aca="false">IF(BR92=0,"",IF(CD92="SI",0.5,1))</f>
        <v/>
      </c>
      <c r="EH92" s="244" t="str">
        <f aca="false">IF(BR92=0,"",IF((1+0.33*(BO92/$ED$15))&lt;=1.33,(1+0.33*(BO92/$ED$15)),1.33))</f>
        <v/>
      </c>
      <c r="EI92" s="244" t="str">
        <f aca="false">IF(BR92=0,"",IF((1+0.33*(BO92/$EE$15))&lt;=1.33,(1+0.33*(BO92/$EE$15)),1.33))</f>
        <v/>
      </c>
      <c r="EJ92" s="244" t="str">
        <f aca="false">IF(BR92=0,"",IF((1+0.33*(BO92/$EF$15))&lt;=1.33,(1+0.33*(BO92/$EF$15)),1.33))</f>
        <v/>
      </c>
      <c r="EK92" s="244" t="str">
        <f aca="false">IF(BR92=0,"",IF($ED$15&lt;=1.2,((20*DC92*EG92*EH92)/3)*0.010197,((12.5*DC92*((($ED$15+0.3)^2)/$ED$15)*EG92*EH92)/3)*0.010197))</f>
        <v/>
      </c>
      <c r="EL92" s="244" t="str">
        <f aca="false">IF(BR92=0,"",IF($EE$15&lt;=1.2,((20*DC92*EG92*EI92)/3)*0.010197,((12.5*DC92*((($EE$15+0.3)^2)/$EE$15)*EG92*EI92)/3)*0.010197))</f>
        <v/>
      </c>
      <c r="EM92" s="244" t="str">
        <f aca="false">IF(BR92=0,"",IF($EF$15&lt;=1.2,((20*DC92*EG92*EJ92)/3)*0.010197,((12.5*DC92*((($EF$15+0.3)^2)/$EF$15)*EG92*EJ92)/3)*0.010197))</f>
        <v/>
      </c>
      <c r="EN92" s="248" t="str">
        <f aca="false">IF(BR92=0,"",SQRT(12*CC92)+25)</f>
        <v/>
      </c>
      <c r="EO92" s="248" t="str">
        <f aca="false">IF(BR92=0,"",28.5+0.25*CC92)</f>
        <v/>
      </c>
      <c r="EP92" s="248" t="str">
        <f aca="false">IF(BR92=0,"",SQRT(20*CC92)+15)</f>
        <v/>
      </c>
      <c r="EQ92" s="248" t="str">
        <f aca="false">IF(BR92=0,"",23.7+0.57*CC92-0.0006*CC92*CC92)</f>
        <v/>
      </c>
      <c r="ER92" s="248" t="str">
        <f aca="false">IF(BR92=0,"",15+SQRT(12.5*DC92))</f>
        <v/>
      </c>
      <c r="ES92" s="248" t="str">
        <f aca="false">IF(BR92=0,"",3.5*SQRT(CC92)+20)</f>
        <v/>
      </c>
      <c r="ET92" s="248" t="str">
        <f aca="false">IF(BR92=0,"",27.1+0.3*DC92-0.00054*DC92*DC92)</f>
        <v/>
      </c>
      <c r="EU92" s="248" t="str">
        <f aca="false">IF(BR92=0,"",SQRT(20*CC92)+20)</f>
        <v/>
      </c>
      <c r="EV92" s="248" t="str">
        <f aca="false">IF(BR92=0,"",12.79+SQRT(25.86*CC92))</f>
        <v/>
      </c>
      <c r="EW92" s="248" t="str">
        <f aca="false">IF(BR92=0,"",DEGREES(_xlfn.ACOT((CC92/(12.2+20.3*CR92))^0.34)))</f>
        <v/>
      </c>
      <c r="EX92" s="248" t="str">
        <f aca="false">IF(BR92=0,"",24+(5.77*LN(0.17*DC92)))</f>
        <v/>
      </c>
      <c r="EY92" s="248" t="str">
        <f aca="false">IF(BR92=0,"",(SUM(EN92:EX92)-MIN(EN92:EX92)-MAX(EN92:EX92))/9)</f>
        <v/>
      </c>
      <c r="EZ92" s="248" t="str">
        <f aca="false">IF(BR92=0,"", -0.0000000034*CC92^6 + 0.0000008305*CC92^5 - 0.0000741842*CC92^4 + 0.0030204278*CC92^3 - 0.0541594733*CC92^2 + 0.8083147848*CC92 - 0.6182191243)</f>
        <v/>
      </c>
      <c r="FA92" s="249" t="str">
        <f aca="false">IF(BR92=0,"",(0.134811827956989*CC92 - 0.0383064516129019)/2)</f>
        <v/>
      </c>
      <c r="FB92" s="249" t="str">
        <f aca="false">IF(BR92=0,"",CC92*0.065)</f>
        <v/>
      </c>
      <c r="FC92" s="249" t="str">
        <f aca="false">IF(BR92=0,"",(CC92*0.12*0.48)*SQRT((1+SIN(EZ92*((2*PI())/360))/(1-SIN(EZ92*((2*PI())/360))))))</f>
        <v/>
      </c>
      <c r="FD92" s="249" t="str">
        <f aca="false">IF(BR92=0,"",(CC92/8)/2)</f>
        <v/>
      </c>
      <c r="FE92" s="249" t="str">
        <f aca="false">IF(BR92=0,"",(SUM(FA92:FD92)-MIN(FA92:FD92)-MAX(FA92:FD92))/2)</f>
        <v/>
      </c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</row>
    <row r="93" customFormat="false" ht="9.75" hidden="false" customHeight="true" outlineLevel="0" collapsed="false">
      <c r="A93" s="197" t="n">
        <f aca="false">ROUND(A92+0.1,1)</f>
        <v>7.6</v>
      </c>
      <c r="B93" s="250" t="n">
        <f aca="false">+A93</f>
        <v>7.6</v>
      </c>
      <c r="C93" s="251"/>
      <c r="D93" s="275"/>
      <c r="E93" s="252"/>
      <c r="F93" s="253"/>
      <c r="G93" s="254"/>
      <c r="H93" s="284"/>
      <c r="I93" s="285"/>
      <c r="J93" s="257"/>
      <c r="K93" s="258"/>
      <c r="L93" s="259"/>
      <c r="M93" s="276"/>
      <c r="N93" s="277"/>
      <c r="O93" s="277"/>
      <c r="P93" s="277"/>
      <c r="Q93" s="293"/>
      <c r="R93" s="278"/>
      <c r="S93" s="278"/>
      <c r="T93" s="295"/>
      <c r="U93" s="295"/>
      <c r="V93" s="296"/>
      <c r="W93" s="296"/>
      <c r="X93" s="296"/>
      <c r="Y93" s="296"/>
      <c r="Z93" s="296"/>
      <c r="AA93" s="296"/>
      <c r="AB93" s="297"/>
      <c r="AC93" s="298"/>
      <c r="AD93" s="299"/>
      <c r="AE93" s="298"/>
      <c r="AF93" s="300"/>
      <c r="AG93" s="267"/>
      <c r="AH93" s="267"/>
      <c r="AI93" s="241"/>
      <c r="AJ93" s="241"/>
      <c r="AK93" s="266"/>
      <c r="AL93" s="266"/>
      <c r="AM93" s="268"/>
      <c r="AN93" s="250" t="n">
        <f aca="false">+AN91+0.2</f>
        <v>7.6</v>
      </c>
      <c r="AO93" s="251"/>
      <c r="AP93" s="275"/>
      <c r="AQ93" s="252"/>
      <c r="AR93" s="253"/>
      <c r="AS93" s="269" t="s">
        <v>13</v>
      </c>
      <c r="AT93" s="221"/>
      <c r="AU93" s="269"/>
      <c r="AV93" s="269"/>
      <c r="AW93" s="270" t="n">
        <f aca="false">+K93+L93</f>
        <v>0</v>
      </c>
      <c r="AX93" s="270" t="str">
        <f aca="false">IF(AS93="&gt;50","CONSISTENCIA",IF(AS93="&lt;50","COMPACIDAD"," "))</f>
        <v>COMPACIDAD</v>
      </c>
      <c r="AY93" s="225" t="str">
        <f aca="false">IF(AS93="&gt;50",AZ93,IF(AS93="&lt;50",BA93," "))</f>
        <v> </v>
      </c>
      <c r="AZ93" s="224" t="str">
        <f aca="false">IF(AW93=" "," ",IF(CC93=""," ",IF(CC93&lt;2,"MUY BLANDA",IF(CC93=2,"MUY BLANDA A BLANDA",IF(CC93&lt;4,"BLANDA",IF(CC93=4,"BLANDA A MEDIA",IF(CC93&lt;8,"MEDIA",IF(CC93=8,"MEDIA A FIRME",IF(CC93&lt;15,"FIRME",IF(CC93=15,"FIRME A MUY FIRME",IF(CC93&lt;30,"MUY FIRME",IF(CC93=30,"MUY FIRME A DURA","DURA"))))))))))))</f>
        <v> </v>
      </c>
      <c r="BA93" s="225" t="str">
        <f aca="false">IF(AW93=" "," ",IF(DC93=""," ",IF(DC93&lt;4,"MUY SUELTA",IF(DC93=4,"MUY SUELTA A SUELTA",IF(DC93&lt;10,"SUELTA",IF(DC93=10,"SUELTA A MEDIA",IF(DC93&lt;30,"MEDIA",IF(DC93=30,"MEDIA A DENSO",IF(DC93&lt;50,"DENSO",IF(DC93=50,"DENSO MUY DENSO","MUY DENSO"))))))))))</f>
        <v> </v>
      </c>
      <c r="BB93" s="226" t="str">
        <f aca="false">IF(BR94=0,"",CQ94*0.0101972)</f>
        <v/>
      </c>
      <c r="BC93" s="227" t="n">
        <f aca="false">+BC92+0.1</f>
        <v>7.59999999999999</v>
      </c>
      <c r="BD93" s="227" t="str">
        <f aca="false">IF(BC93&lt;=$AN$10,BC93,"")</f>
        <v/>
      </c>
      <c r="BE93" s="228" t="n">
        <f aca="false">ISNUMBER(BD93)</f>
        <v>0</v>
      </c>
      <c r="BF93" s="229" t="str">
        <f aca="false">MID(M93,1,1)</f>
        <v/>
      </c>
      <c r="BG93" s="230" t="str">
        <f aca="false">IF(BF93="S","",IF(BF93="G","",MID(M93,2,1)))</f>
        <v/>
      </c>
      <c r="BH93" s="231" t="str">
        <f aca="false">CONCATENATE(BF93,BG93)</f>
        <v/>
      </c>
      <c r="BI93" s="6" t="str">
        <f aca="false">IF(BE93=FALSE(),"",IF(BH93="",BI92,BH93))</f>
        <v/>
      </c>
      <c r="BJ93" s="74" t="str">
        <f aca="false">IF(OR(BI93="S",BI93="G"),BI93,"X")</f>
        <v>X</v>
      </c>
      <c r="BK93" s="74" t="s">
        <v>253</v>
      </c>
      <c r="BL93" s="311" t="e">
        <f aca="false">INDEX(sim_0,MATCH($BJ$93,granular,0))</f>
        <v>#NAME?</v>
      </c>
      <c r="BM93" s="311"/>
      <c r="BN93" s="6"/>
      <c r="BO93" s="191" t="n">
        <f aca="false">BO92+0.1</f>
        <v>7.59999999999999</v>
      </c>
      <c r="BP93" s="233" t="e">
        <f aca="false">IF(AW93=0,NA(),IF(AS93=$AX$3,ROUND(DC93,0),NA()))</f>
        <v>#N/A</v>
      </c>
      <c r="BQ93" s="31" t="e">
        <f aca="false">IF(AW93=0,NA(),IF(AS93=$AX$4,ROUND(CC93,0),NA()))</f>
        <v>#N/A</v>
      </c>
      <c r="BR93" s="234" t="n">
        <f aca="false">+AW93</f>
        <v>0</v>
      </c>
      <c r="BS93" s="235" t="str">
        <f aca="false">IF(BR93=0,"", -0.00000000016128755327*CC93^6 + 0.00000006709386362421*CC93^5 - 0.0000106217678052217*CC93^4 + 0.00081068114193385*CC93^3 - 0.0314027378159951*CC93^2 + 0.649796593937842*CC93 + 13.7888866455022)</f>
        <v/>
      </c>
      <c r="BT93" s="235" t="str">
        <f aca="false">IF(BR93=0,"",-0.00000000014625939695*CC93^6 + 0.00000004971732060241*CC93^5 - 0.000006683744342031*CC93^4 + 0.0004563177378098*CC93^3 - 0.0171727530635803*CC93^2 + 0.444529932876435*CC93 + 15.6692518940565)</f>
        <v/>
      </c>
      <c r="BU93" s="236" t="str">
        <f aca="false">IF(BR93=0,"", -0.0000000008152265738*BR93^6 + 0.00000022764320256987*BR93^5 - 0.0000248205675927705*BR93^4 + 0.00133186623684865*BR93^3 - 0.0368442570441677*BR93^2 + 0.580111565569094*BR93 + 14.0417598296107)</f>
        <v/>
      </c>
      <c r="BV93" s="236" t="str">
        <f aca="false">IF(BR93=0,"", -0.00000000004321395721*BR93^6 + 0.00000002531844275498*BR93^5 - 0.00000369428022780862*BR93^4 + 0.00020283665900125*BR93^3 - 0.00462426256803268*BR93^2 + 0.139572935065453*BR93 + 15.4475338156923)</f>
        <v/>
      </c>
      <c r="BW93" s="236" t="str">
        <f aca="false">IF(BR93=0,"",-0.00000000033126390082*BR93^6 + 0.00000010463660614506*BR93^5 - 0.0000129629592998707*BR93^4 + 0.000803946335250767*BR93^3 - 0.0270257140395994*BR93^2 + 0.562590210721552*BR93+ 12.1254107606419)</f>
        <v/>
      </c>
      <c r="BX93" s="236" t="str">
        <f aca="false">IF(BR93=0,"",-0.00000000002593504955*BR93^6 + 0.00000002430495156704*BR93^5 - 0.00000386103271086364*BR93^4 + 0.000214416118986322*BR93^3 - 0.0047271462612021*BR93^2 + 0.156696175741135*BR93 + 15.4598891949502)</f>
        <v/>
      </c>
      <c r="BY93" s="234" t="str">
        <f aca="false">IF(BR93=0,"",$BS$2)</f>
        <v/>
      </c>
      <c r="BZ93" s="234" t="str">
        <f aca="false">IF(BR93=0,"",$BS$3)</f>
        <v/>
      </c>
      <c r="CA93" s="234" t="str">
        <f aca="false">IF(BR93=0,"",$BS$4)</f>
        <v/>
      </c>
      <c r="CB93" s="235" t="str">
        <f aca="false">IF(BR93=0,"",IF(AND(BO93&gt;=0,BO93&lt;4),0.75,IF(AND(BO93&gt;=4,BO93&lt;6),0.85,IF(AND(BO93&gt;=6,BO93&lt;=10),0.95,1))))</f>
        <v/>
      </c>
      <c r="CC93" s="234" t="str">
        <f aca="false">IF(BR93=0,"",BR93*BY93*BZ93*CA93*CB93/60)</f>
        <v/>
      </c>
      <c r="CD93" s="238" t="str">
        <f aca="false">IF(BR93=0,"",IF($S$12="NO","NO",IF($AD$12&lt;=BO93,"SI","NO")))</f>
        <v/>
      </c>
      <c r="CE93" s="235" t="n">
        <f aca="false">IF(BR93=0,0,AB93)</f>
        <v>0</v>
      </c>
      <c r="CF93" s="235" t="n">
        <f aca="false">IF(CE93&gt;0,BO93,0)</f>
        <v>0</v>
      </c>
      <c r="CG93" s="239" t="n">
        <f aca="false">IF(CF93=0,CF93+CG92,CF93)</f>
        <v>0</v>
      </c>
      <c r="CH93" s="239" t="n">
        <f aca="false">IF(CG93=CG92,CH92,ABS(CG93-CG92))</f>
        <v>0</v>
      </c>
      <c r="CI93" s="239" t="n">
        <f aca="false">+CE93*CH93</f>
        <v>0</v>
      </c>
      <c r="CJ93" s="239" t="n">
        <f aca="false">IF(CI93=0,CI93+CJ92,CI93)</f>
        <v>0</v>
      </c>
      <c r="CK93" s="239" t="n">
        <f aca="false">IF(CJ93=CJ92,CK92,ABS(CJ93+CK92))</f>
        <v>0</v>
      </c>
      <c r="CL93" s="241" t="n">
        <f aca="false">IF(CE93=0,0,CK93)</f>
        <v>0</v>
      </c>
      <c r="CM93" s="239" t="n">
        <f aca="false">IF(CE93=0,0,CH93*9.81)</f>
        <v>0</v>
      </c>
      <c r="CN93" s="239" t="n">
        <f aca="false">IF(CM93=0,CM93+CN92,CM93)</f>
        <v>0</v>
      </c>
      <c r="CO93" s="239" t="n">
        <f aca="false">IF(CN93=CN92,CO92,ABS(CN93+CO92))</f>
        <v>0</v>
      </c>
      <c r="CP93" s="241" t="n">
        <f aca="false">IF(CD93="NO",0,IF(CE93=0,0,CO93))</f>
        <v>0</v>
      </c>
      <c r="CQ93" s="244" t="str">
        <f aca="false">IF(BR93=0,"",CL93-CP93)</f>
        <v/>
      </c>
      <c r="CR93" s="244" t="str">
        <f aca="false">IF(BR93=0,"",CQ93/101.3)</f>
        <v/>
      </c>
      <c r="CS93" s="244" t="str">
        <f aca="false">IF(BR93=0,"",LOG(10/CR93))</f>
        <v/>
      </c>
      <c r="CT93" s="243" t="str">
        <f aca="false">IF(BR93=0,"",IF(SQRT(101.3/CQ93)&lt;=1.7,SQRT(101.3/CQ93),2.2/(1.2+(CQ93/101.3))))</f>
        <v/>
      </c>
      <c r="CU93" s="244" t="str">
        <f aca="false">IF(BR93=0,"",1.7/(0.7+CR93))</f>
        <v/>
      </c>
      <c r="CV93" s="244" t="str">
        <f aca="false">IF(BR93=0,"",IF(CR93&gt;=0.25,0.77*LOG(20/CR93),""))</f>
        <v/>
      </c>
      <c r="CW93" s="244" t="str">
        <f aca="false">IF(BR93=0,"",32.5/(10.2+20.3*CR93))</f>
        <v/>
      </c>
      <c r="CX93" s="244" t="str">
        <f aca="false">IF(BR93=0,"",1-1.25*LOG(CR93))</f>
        <v/>
      </c>
      <c r="CY93" s="244" t="str">
        <f aca="false">IF(BR93=0,"",IF(CR93&lt;1,1-1.41*LOG(CR93),1+0.92*LOG(CR93)))</f>
        <v/>
      </c>
      <c r="CZ93" s="244" t="str">
        <f aca="false">IF(BR93=0,"",2/(1+CR93))</f>
        <v/>
      </c>
      <c r="DA93" s="244" t="str">
        <f aca="false">IF(BR93=0,"",IF(CR93&lt;=0.75,4/(1+4*CR93),4/(3.25+CR93)))</f>
        <v/>
      </c>
      <c r="DB93" s="244" t="str">
        <f aca="false">IF(BR93=0,"",CT93)</f>
        <v/>
      </c>
      <c r="DC93" s="244" t="str">
        <f aca="false">IF(BR93=0,"",DB93*CC93)</f>
        <v/>
      </c>
      <c r="DD93" s="244"/>
      <c r="DE93" s="244" t="str">
        <f aca="false">IF(BR93=0,"",0.193*(CC93/(CQ93*0.001))^0.689)</f>
        <v/>
      </c>
      <c r="DF93" s="244" t="str">
        <f aca="false">IF(BR93=0,"",IF(AS93=$AX$4,(0.1348118*CC93 - 0.0383065)*98.0665,""))</f>
        <v/>
      </c>
      <c r="DG93" s="244" t="str">
        <f aca="false">IF(BR93=0,"",IF(AS93=$AX$4,DF93/2,""))</f>
        <v/>
      </c>
      <c r="DH93" s="244" t="str">
        <f aca="false">IF(BR93=0,"",IF(DC93&lt;=15,12*(DC93+6),40+12*(DC93-6)))</f>
        <v/>
      </c>
      <c r="DI93" s="244" t="str">
        <f aca="false">IF(BR93=0,"",IF(CD93="SI",5*(DC93+15),((3.3*(DC93+15))+(4*(DC93+12)))/2))</f>
        <v/>
      </c>
      <c r="DJ93" s="244" t="str">
        <f aca="false">IF(BR93=0,"",8*DC93)</f>
        <v/>
      </c>
      <c r="DK93" s="244" t="str">
        <f aca="false">IF(BR93=0,"",215+(10.6*DC93))</f>
        <v/>
      </c>
      <c r="DL93" s="244" t="str">
        <f aca="false">IF(BR93=0,"",10*(7.5+(0.5*DC93)))</f>
        <v/>
      </c>
      <c r="DM93" s="244" t="str">
        <f aca="false">IF(BR93=0,"",8*DC93)</f>
        <v/>
      </c>
      <c r="DN93" s="244" t="str">
        <f aca="false">IF(AW93=" "," ",IF(DC93=""," ",IF(DC93&lt;4,10*10.2,IF(DC93=4,12*10.2,IF(DC93&lt;10,17.5*10.5,IF(DC93=10,15*10.2,IF(DC93&lt;30,22.5*10.2,IF(DC93=30,35*10.2,IF(DC93&lt;50,40*10.2,IF(DC93=50,50*10.2,55*10.2))))))))))</f>
        <v> </v>
      </c>
      <c r="DO93" s="244" t="str">
        <f aca="false">IF(BR93=0,"",7*SQRT(DC93)*10.1972)</f>
        <v/>
      </c>
      <c r="DP93" s="244" t="str">
        <f aca="false">IF(BR93=0,"",IF(AS93=$AX$4,5*CC93,""))</f>
        <v/>
      </c>
      <c r="DQ93" s="244" t="str">
        <f aca="false">IF(AW93=" "," ",IF(DC93=""," ",IF(DC93&lt;2,4*10.2,IF(DC93=2,6*10.2,IF(DC93&lt;4,12*10.2,IF(DC93=4,20*10.2,IF(DC93&lt;8,30*10.2,IF(DC93=8,35*10.2,IF(DC93&lt;15,40*10.2,IF(DC93=15,42*10.2,IF(DC93&lt;30,45*10.2,IF(DC93=30,50*10.2,70*10.2))))))))))))</f>
        <v> </v>
      </c>
      <c r="DR93" s="244" t="str">
        <f aca="false">IF(BR93=0,"",IF(AS93=$AX$4,220*DP93*0.0101972,""))</f>
        <v/>
      </c>
      <c r="DS93" s="271" t="str">
        <f aca="false">IF(BR93=0,"",IF(AS93=$AX$7,(SUM(DH93:DO93)-MIN(DH93:DO93)-MAX(DH93:DO93))/6,(SUM(DO93:DR93)-MIN(DO93:DR93)-MAX(DO93:DR93))/2))</f>
        <v/>
      </c>
      <c r="DT93" s="244" t="str">
        <f aca="false">IF(AW93=" "," ",IF(DC93=""," ",IF(DC93&lt;4,0.2,IF(DC93=4,0.27,IF(DC93&lt;10,0.33,IF(DC93=10,0.35,IF(DC93&lt;30,0.36,IF(DC93=30,0.37,IF(DC93&lt;50,0.38,IF(DC93=50,0.4,0.45))))))))))</f>
        <v> </v>
      </c>
      <c r="DU93" s="272" t="str">
        <f aca="false">IF(AW93=" "," ",IF(CC93=""," ",IF(CC93&lt;2,0.2,IF(CC93=2,0.23,IF(CC93&lt;4,0.26,IF(CC93=4,0.29,IF(CC93&lt;8,0.32,IF(CC93=8,0.35,IF(CC93&lt;15,0.38,IF(CC93=15,0.41,IF(CC93&lt;30,0.44,IF(CC93=30,0.47,0.5))))))))))))</f>
        <v> </v>
      </c>
      <c r="DV93" s="244" t="str">
        <f aca="false">IF(BR93=0,"",IF(AS93=$AX$3,DT93,DU93))</f>
        <v/>
      </c>
      <c r="DW93" s="244" t="str">
        <f aca="false">IF(BR93=0,"",IF(DC93&gt;15,15+0.5*(DC93-15),DC93))</f>
        <v/>
      </c>
      <c r="DX93" s="244" t="str">
        <f aca="false">IF(BR93=0,"",IF($S$12="SI",IF(CD93="NO",IF($AD$12&gt;(BO93+1.5*$ED$15),1,0.5),0.5),1))</f>
        <v/>
      </c>
      <c r="DY93" s="244" t="str">
        <f aca="false">IF(BR93=0,"",IF($S$12="SI",IF(CD93="NO",IF($AD$12&gt;(BO93+1.5*$EE$15),1,0.5),0.5),1))</f>
        <v/>
      </c>
      <c r="DZ93" s="244" t="str">
        <f aca="false">IF(BR93=0,"",IF($S$12="SI",IF(CD93="NO",IF($AD$12&gt;(BO93+1.5*$EF$15),1,0.5),0.5),1))</f>
        <v/>
      </c>
      <c r="EA93" s="244" t="str">
        <f aca="false">IF(BR93=0,"",IF($S$12="SI",IF(CD93="NO",IF($AD$12&gt;(BO93+1.5*$ED$15),1,0.5),IF($AD$12=BO93,1,0.5)),1))</f>
        <v/>
      </c>
      <c r="EB93" s="244" t="str">
        <f aca="false">IF(BR93=0,"",IF($S$12="SI",IF(CD93="NO",IF($AD$12&gt;(BO93+1.5*$EE$15),1,0.5),IF($AD$12=BO93,1,0.5)),1))</f>
        <v/>
      </c>
      <c r="EC93" s="244" t="str">
        <f aca="false">IF(BR93=0,"",IF($S$12="SI",IF(CD93="NO",IF($AD$12&gt;(BO93+1.5*$EF$15),1,0.5),IF($AD$12=BO93,1,0.5)),1))</f>
        <v/>
      </c>
      <c r="ED93" s="244" t="str">
        <f aca="false">IF(BR93=0,"",(DW93*($ED$15/10)*(DX93+EA93*(BO93/$ED$15))*1)/3)</f>
        <v/>
      </c>
      <c r="EE93" s="244" t="str">
        <f aca="false">IF(BR93=0,"",(DW93*($EE$15/10)*(DY93+EB93*(BO93/$EE$15))*1)/3)</f>
        <v/>
      </c>
      <c r="EF93" s="244" t="str">
        <f aca="false">IF(BR93=0,"",(DW93*($EF$15/10)*(DZ93+EC93*(BO93/$EF$15))*1)/3)</f>
        <v/>
      </c>
      <c r="EG93" s="273" t="str">
        <f aca="false">IF(BR93=0,"",IF(CD93="SI",0.5,1))</f>
        <v/>
      </c>
      <c r="EH93" s="244" t="str">
        <f aca="false">IF(BR93=0,"",IF((1+0.33*(BO93/$ED$15))&lt;=1.33,(1+0.33*(BO93/$ED$15)),1.33))</f>
        <v/>
      </c>
      <c r="EI93" s="244" t="str">
        <f aca="false">IF(BR93=0,"",IF((1+0.33*(BO93/$EE$15))&lt;=1.33,(1+0.33*(BO93/$EE$15)),1.33))</f>
        <v/>
      </c>
      <c r="EJ93" s="244" t="str">
        <f aca="false">IF(BR93=0,"",IF((1+0.33*(BO93/$EF$15))&lt;=1.33,(1+0.33*(BO93/$EF$15)),1.33))</f>
        <v/>
      </c>
      <c r="EK93" s="244" t="str">
        <f aca="false">IF(BR93=0,"",IF($ED$15&lt;=1.2,((20*DC93*EG93*EH93)/3)*0.010197,((12.5*DC93*((($ED$15+0.3)^2)/$ED$15)*EG93*EH93)/3)*0.010197))</f>
        <v/>
      </c>
      <c r="EL93" s="244" t="str">
        <f aca="false">IF(BR93=0,"",IF($EE$15&lt;=1.2,((20*DC93*EG93*EI93)/3)*0.010197,((12.5*DC93*((($EE$15+0.3)^2)/$EE$15)*EG93*EI93)/3)*0.010197))</f>
        <v/>
      </c>
      <c r="EM93" s="244" t="str">
        <f aca="false">IF(BR93=0,"",IF($EF$15&lt;=1.2,((20*DC93*EG93*EJ93)/3)*0.010197,((12.5*DC93*((($EF$15+0.3)^2)/$EF$15)*EG93*EJ93)/3)*0.010197))</f>
        <v/>
      </c>
      <c r="EN93" s="248" t="str">
        <f aca="false">IF(BR93=0,"",SQRT(12*CC93)+25)</f>
        <v/>
      </c>
      <c r="EO93" s="248" t="str">
        <f aca="false">IF(BR93=0,"",28.5+0.25*CC93)</f>
        <v/>
      </c>
      <c r="EP93" s="248" t="str">
        <f aca="false">IF(BR93=0,"",SQRT(20*CC93)+15)</f>
        <v/>
      </c>
      <c r="EQ93" s="248" t="str">
        <f aca="false">IF(BR93=0,"",23.7+0.57*CC93-0.0006*CC93*CC93)</f>
        <v/>
      </c>
      <c r="ER93" s="248" t="str">
        <f aca="false">IF(BR93=0,"",15+SQRT(12.5*DC93))</f>
        <v/>
      </c>
      <c r="ES93" s="248" t="str">
        <f aca="false">IF(BR93=0,"",3.5*SQRT(CC93)+20)</f>
        <v/>
      </c>
      <c r="ET93" s="248" t="str">
        <f aca="false">IF(BR93=0,"",27.1+0.3*DC93-0.00054*DC93*DC93)</f>
        <v/>
      </c>
      <c r="EU93" s="248" t="str">
        <f aca="false">IF(BR93=0,"",SQRT(20*CC93)+20)</f>
        <v/>
      </c>
      <c r="EV93" s="248" t="str">
        <f aca="false">IF(BR93=0,"",12.79+SQRT(25.86*CC93))</f>
        <v/>
      </c>
      <c r="EW93" s="248" t="str">
        <f aca="false">IF(BR93=0,"",DEGREES(_xlfn.ACOT((CC93/(12.2+20.3*CR93))^0.34)))</f>
        <v/>
      </c>
      <c r="EX93" s="248" t="str">
        <f aca="false">IF(BR93=0,"",24+(5.77*LN(0.17*DC93)))</f>
        <v/>
      </c>
      <c r="EY93" s="248" t="str">
        <f aca="false">IF(BR93=0,"",(SUM(EN93:EX93)-MIN(EN93:EX93)-MAX(EN93:EX93))/9)</f>
        <v/>
      </c>
      <c r="EZ93" s="248" t="str">
        <f aca="false">IF(BR93=0,"", -0.0000000034*CC93^6 + 0.0000008305*CC93^5 - 0.0000741842*CC93^4 + 0.0030204278*CC93^3 - 0.0541594733*CC93^2 + 0.8083147848*CC93 - 0.6182191243)</f>
        <v/>
      </c>
      <c r="FA93" s="249" t="str">
        <f aca="false">IF(BR93=0,"",(0.134811827956989*CC93 - 0.0383064516129019)/2)</f>
        <v/>
      </c>
      <c r="FB93" s="249" t="str">
        <f aca="false">IF(BR93=0,"",CC93*0.065)</f>
        <v/>
      </c>
      <c r="FC93" s="249" t="str">
        <f aca="false">IF(BR93=0,"",(CC93*0.12*0.48)*SQRT((1+SIN(EZ93*((2*PI())/360))/(1-SIN(EZ93*((2*PI())/360))))))</f>
        <v/>
      </c>
      <c r="FD93" s="249" t="str">
        <f aca="false">IF(BR93=0,"",(CC93/8)/2)</f>
        <v/>
      </c>
      <c r="FE93" s="249" t="str">
        <f aca="false">IF(BR93=0,"",(SUM(FA93:FD93)-MIN(FA93:FD93)-MAX(FA93:FD93))/2)</f>
        <v/>
      </c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</row>
    <row r="94" customFormat="false" ht="9.75" hidden="false" customHeight="true" outlineLevel="0" collapsed="false">
      <c r="A94" s="197" t="n">
        <f aca="false">ROUND(A93+0.1,1)</f>
        <v>7.7</v>
      </c>
      <c r="B94" s="250"/>
      <c r="C94" s="251"/>
      <c r="D94" s="251"/>
      <c r="E94" s="199"/>
      <c r="F94" s="200"/>
      <c r="G94" s="254"/>
      <c r="H94" s="284"/>
      <c r="I94" s="285"/>
      <c r="J94" s="257"/>
      <c r="K94" s="258"/>
      <c r="L94" s="259"/>
      <c r="M94" s="276"/>
      <c r="N94" s="277"/>
      <c r="O94" s="277"/>
      <c r="P94" s="277"/>
      <c r="Q94" s="293"/>
      <c r="R94" s="278"/>
      <c r="S94" s="278"/>
      <c r="T94" s="295"/>
      <c r="U94" s="295"/>
      <c r="V94" s="296"/>
      <c r="W94" s="296"/>
      <c r="X94" s="296"/>
      <c r="Y94" s="296"/>
      <c r="Z94" s="296"/>
      <c r="AA94" s="296"/>
      <c r="AB94" s="297"/>
      <c r="AC94" s="298"/>
      <c r="AD94" s="299"/>
      <c r="AE94" s="298"/>
      <c r="AF94" s="300"/>
      <c r="AG94" s="267"/>
      <c r="AH94" s="267"/>
      <c r="AI94" s="241"/>
      <c r="AJ94" s="241"/>
      <c r="AK94" s="266"/>
      <c r="AL94" s="266"/>
      <c r="AM94" s="268"/>
      <c r="AN94" s="250"/>
      <c r="AO94" s="251"/>
      <c r="AP94" s="251"/>
      <c r="AQ94" s="199"/>
      <c r="AR94" s="200"/>
      <c r="AS94" s="269" t="s">
        <v>13</v>
      </c>
      <c r="AT94" s="221"/>
      <c r="AU94" s="269"/>
      <c r="AV94" s="269"/>
      <c r="AW94" s="270" t="n">
        <f aca="false">+K94+L94</f>
        <v>0</v>
      </c>
      <c r="AX94" s="270" t="str">
        <f aca="false">IF(AS94="&gt;50","CONSISTENCIA",IF(AS94="&lt;50","COMPACIDAD"," "))</f>
        <v>COMPACIDAD</v>
      </c>
      <c r="AY94" s="225" t="str">
        <f aca="false">IF(AS94="&gt;50",AZ94,IF(AS94="&lt;50",BA94," "))</f>
        <v> </v>
      </c>
      <c r="AZ94" s="224" t="str">
        <f aca="false">IF(AW94=" "," ",IF(CC94=""," ",IF(CC94&lt;2,"MUY BLANDA",IF(CC94=2,"MUY BLANDA A BLANDA",IF(CC94&lt;4,"BLANDA",IF(CC94=4,"BLANDA A MEDIA",IF(CC94&lt;8,"MEDIA",IF(CC94=8,"MEDIA A FIRME",IF(CC94&lt;15,"FIRME",IF(CC94=15,"FIRME A MUY FIRME",IF(CC94&lt;30,"MUY FIRME",IF(CC94=30,"MUY FIRME A DURA","DURA"))))))))))))</f>
        <v> </v>
      </c>
      <c r="BA94" s="225" t="str">
        <f aca="false">IF(AW94=" "," ",IF(DC94=""," ",IF(DC94&lt;4,"MUY SUELTA",IF(DC94=4,"MUY SUELTA A SUELTA",IF(DC94&lt;10,"SUELTA",IF(DC94=10,"SUELTA A MEDIA",IF(DC94&lt;30,"MEDIA",IF(DC94=30,"MEDIA A DENSO",IF(DC94&lt;50,"DENSO",IF(DC94=50,"DENSO MUY DENSO","MUY DENSO"))))))))))</f>
        <v> </v>
      </c>
      <c r="BB94" s="226" t="str">
        <f aca="false">IF(BR95=0,"",CQ95*0.0101972)</f>
        <v/>
      </c>
      <c r="BC94" s="227" t="n">
        <f aca="false">+BC93+0.1</f>
        <v>7.69999999999999</v>
      </c>
      <c r="BD94" s="227" t="str">
        <f aca="false">IF(BC94&lt;=$AN$10,BC94,"")</f>
        <v/>
      </c>
      <c r="BE94" s="228" t="n">
        <f aca="false">ISNUMBER(BD94)</f>
        <v>0</v>
      </c>
      <c r="BF94" s="229" t="str">
        <f aca="false">MID(M94,1,1)</f>
        <v/>
      </c>
      <c r="BG94" s="230" t="str">
        <f aca="false">IF(BF94="S","",IF(BF94="G","",MID(M94,2,1)))</f>
        <v/>
      </c>
      <c r="BH94" s="231" t="str">
        <f aca="false">CONCATENATE(BF94,BG94)</f>
        <v/>
      </c>
      <c r="BI94" s="6" t="str">
        <f aca="false">IF(BE94=FALSE(),"",IF(BH94="",BI93,BH94))</f>
        <v/>
      </c>
      <c r="BJ94" s="74" t="str">
        <f aca="false">IF(OR(BI94="S",BI94="G"),BI94,"X")</f>
        <v>X</v>
      </c>
      <c r="BK94" s="74" t="s">
        <v>254</v>
      </c>
      <c r="BL94" s="311" t="e">
        <f aca="false">INDEX(sim_0,MATCH($BJ$94,granular,0))</f>
        <v>#NAME?</v>
      </c>
      <c r="BM94" s="311"/>
      <c r="BN94" s="6"/>
      <c r="BO94" s="191" t="n">
        <f aca="false">BO93+0.1</f>
        <v>7.69999999999999</v>
      </c>
      <c r="BP94" s="233" t="e">
        <f aca="false">IF(AW94=0,NA(),IF(AS94=$AX$3,ROUND(DC94,0),NA()))</f>
        <v>#N/A</v>
      </c>
      <c r="BQ94" s="31" t="e">
        <f aca="false">IF(AW94=0,NA(),IF(AS94=$AX$4,ROUND(CC94,0),NA()))</f>
        <v>#N/A</v>
      </c>
      <c r="BR94" s="234" t="n">
        <f aca="false">+AW94</f>
        <v>0</v>
      </c>
      <c r="BS94" s="235" t="str">
        <f aca="false">IF(BR94=0,"", -0.00000000016128755327*CC94^6 + 0.00000006709386362421*CC94^5 - 0.0000106217678052217*CC94^4 + 0.00081068114193385*CC94^3 - 0.0314027378159951*CC94^2 + 0.649796593937842*CC94 + 13.7888866455022)</f>
        <v/>
      </c>
      <c r="BT94" s="235" t="str">
        <f aca="false">IF(BR94=0,"",-0.00000000014625939695*CC94^6 + 0.00000004971732060241*CC94^5 - 0.000006683744342031*CC94^4 + 0.0004563177378098*CC94^3 - 0.0171727530635803*CC94^2 + 0.444529932876435*CC94 + 15.6692518940565)</f>
        <v/>
      </c>
      <c r="BU94" s="236" t="str">
        <f aca="false">IF(BR94=0,"", -0.0000000008152265738*BR94^6 + 0.00000022764320256987*BR94^5 - 0.0000248205675927705*BR94^4 + 0.00133186623684865*BR94^3 - 0.0368442570441677*BR94^2 + 0.580111565569094*BR94 + 14.0417598296107)</f>
        <v/>
      </c>
      <c r="BV94" s="236" t="str">
        <f aca="false">IF(BR94=0,"", -0.00000000004321395721*BR94^6 + 0.00000002531844275498*BR94^5 - 0.00000369428022780862*BR94^4 + 0.00020283665900125*BR94^3 - 0.00462426256803268*BR94^2 + 0.139572935065453*BR94 + 15.4475338156923)</f>
        <v/>
      </c>
      <c r="BW94" s="236" t="str">
        <f aca="false">IF(BR94=0,"",-0.00000000033126390082*BR94^6 + 0.00000010463660614506*BR94^5 - 0.0000129629592998707*BR94^4 + 0.000803946335250767*BR94^3 - 0.0270257140395994*BR94^2 + 0.562590210721552*BR94+ 12.1254107606419)</f>
        <v/>
      </c>
      <c r="BX94" s="236" t="str">
        <f aca="false">IF(BR94=0,"",-0.00000000002593504955*BR94^6 + 0.00000002430495156704*BR94^5 - 0.00000386103271086364*BR94^4 + 0.000214416118986322*BR94^3 - 0.0047271462612021*BR94^2 + 0.156696175741135*BR94 + 15.4598891949502)</f>
        <v/>
      </c>
      <c r="BY94" s="234" t="str">
        <f aca="false">IF(BR94=0,"",$BS$2)</f>
        <v/>
      </c>
      <c r="BZ94" s="234" t="str">
        <f aca="false">IF(BR94=0,"",$BS$3)</f>
        <v/>
      </c>
      <c r="CA94" s="234" t="str">
        <f aca="false">IF(BR94=0,"",$BS$4)</f>
        <v/>
      </c>
      <c r="CB94" s="235" t="str">
        <f aca="false">IF(BR94=0,"",IF(AND(BO94&gt;=0,BO94&lt;4),0.75,IF(AND(BO94&gt;=4,BO94&lt;6),0.85,IF(AND(BO94&gt;=6,BO94&lt;=10),0.95,1))))</f>
        <v/>
      </c>
      <c r="CC94" s="234" t="str">
        <f aca="false">IF(BR94=0,"",BR94*BY94*BZ94*CA94*CB94/60)</f>
        <v/>
      </c>
      <c r="CD94" s="238" t="str">
        <f aca="false">IF(BR94=0,"",IF($S$12="NO","NO",IF($AD$12&lt;=BO94,"SI","NO")))</f>
        <v/>
      </c>
      <c r="CE94" s="235" t="n">
        <f aca="false">IF(BR94=0,0,AB94)</f>
        <v>0</v>
      </c>
      <c r="CF94" s="235" t="n">
        <f aca="false">IF(CE94&gt;0,BO94,0)</f>
        <v>0</v>
      </c>
      <c r="CG94" s="239" t="n">
        <f aca="false">IF(CF94=0,CF94+CG93,CF94)</f>
        <v>0</v>
      </c>
      <c r="CH94" s="239" t="n">
        <f aca="false">IF(CG94=CG93,CH93,ABS(CG94-CG93))</f>
        <v>0</v>
      </c>
      <c r="CI94" s="239" t="n">
        <f aca="false">+CE94*CH94</f>
        <v>0</v>
      </c>
      <c r="CJ94" s="239" t="n">
        <f aca="false">IF(CI94=0,CI94+CJ93,CI94)</f>
        <v>0</v>
      </c>
      <c r="CK94" s="239" t="n">
        <f aca="false">IF(CJ94=CJ93,CK93,ABS(CJ94+CK93))</f>
        <v>0</v>
      </c>
      <c r="CL94" s="241" t="n">
        <f aca="false">IF(CE94=0,0,CK94)</f>
        <v>0</v>
      </c>
      <c r="CM94" s="239" t="n">
        <f aca="false">IF(CE94=0,0,CH94*9.81)</f>
        <v>0</v>
      </c>
      <c r="CN94" s="239" t="n">
        <f aca="false">IF(CM94=0,CM94+CN93,CM94)</f>
        <v>0</v>
      </c>
      <c r="CO94" s="239" t="n">
        <f aca="false">IF(CN94=CN93,CO93,ABS(CN94+CO93))</f>
        <v>0</v>
      </c>
      <c r="CP94" s="241" t="n">
        <f aca="false">IF(CD94="NO",0,IF(CE94=0,0,CO94))</f>
        <v>0</v>
      </c>
      <c r="CQ94" s="244" t="str">
        <f aca="false">IF(BR94=0,"",CL94-CP94)</f>
        <v/>
      </c>
      <c r="CR94" s="244" t="str">
        <f aca="false">IF(BR94=0,"",CQ94/101.3)</f>
        <v/>
      </c>
      <c r="CS94" s="244" t="str">
        <f aca="false">IF(BR94=0,"",LOG(10/CR94))</f>
        <v/>
      </c>
      <c r="CT94" s="243" t="str">
        <f aca="false">IF(BR94=0,"",IF(SQRT(101.3/CQ94)&lt;=1.7,SQRT(101.3/CQ94),2.2/(1.2+(CQ94/101.3))))</f>
        <v/>
      </c>
      <c r="CU94" s="244" t="str">
        <f aca="false">IF(BR94=0,"",1.7/(0.7+CR94))</f>
        <v/>
      </c>
      <c r="CV94" s="244" t="str">
        <f aca="false">IF(BR94=0,"",IF(CR94&gt;=0.25,0.77*LOG(20/CR94),""))</f>
        <v/>
      </c>
      <c r="CW94" s="244" t="str">
        <f aca="false">IF(BR94=0,"",32.5/(10.2+20.3*CR94))</f>
        <v/>
      </c>
      <c r="CX94" s="244" t="str">
        <f aca="false">IF(BR94=0,"",1-1.25*LOG(CR94))</f>
        <v/>
      </c>
      <c r="CY94" s="244" t="str">
        <f aca="false">IF(BR94=0,"",IF(CR94&lt;1,1-1.41*LOG(CR94),1+0.92*LOG(CR94)))</f>
        <v/>
      </c>
      <c r="CZ94" s="244" t="str">
        <f aca="false">IF(BR94=0,"",2/(1+CR94))</f>
        <v/>
      </c>
      <c r="DA94" s="244" t="str">
        <f aca="false">IF(BR94=0,"",IF(CR94&lt;=0.75,4/(1+4*CR94),4/(3.25+CR94)))</f>
        <v/>
      </c>
      <c r="DB94" s="244" t="str">
        <f aca="false">IF(BR94=0,"",CT94)</f>
        <v/>
      </c>
      <c r="DC94" s="244" t="str">
        <f aca="false">IF(BR94=0,"",DB94*CC94)</f>
        <v/>
      </c>
      <c r="DD94" s="244"/>
      <c r="DE94" s="244" t="str">
        <f aca="false">IF(BR94=0,"",0.193*(CC94/(CQ94*0.001))^0.689)</f>
        <v/>
      </c>
      <c r="DF94" s="244" t="str">
        <f aca="false">IF(BR94=0,"",IF(AS94=$AX$4,(0.1348118*CC94 - 0.0383065)*98.0665,""))</f>
        <v/>
      </c>
      <c r="DG94" s="244" t="str">
        <f aca="false">IF(BR94=0,"",IF(AS94=$AX$4,DF94/2,""))</f>
        <v/>
      </c>
      <c r="DH94" s="244" t="str">
        <f aca="false">IF(BR94=0,"",IF(DC94&lt;=15,12*(DC94+6),40+12*(DC94-6)))</f>
        <v/>
      </c>
      <c r="DI94" s="244" t="str">
        <f aca="false">IF(BR94=0,"",IF(CD94="SI",5*(DC94+15),((3.3*(DC94+15))+(4*(DC94+12)))/2))</f>
        <v/>
      </c>
      <c r="DJ94" s="244" t="str">
        <f aca="false">IF(BR94=0,"",8*DC94)</f>
        <v/>
      </c>
      <c r="DK94" s="244" t="str">
        <f aca="false">IF(BR94=0,"",215+(10.6*DC94))</f>
        <v/>
      </c>
      <c r="DL94" s="244" t="str">
        <f aca="false">IF(BR94=0,"",10*(7.5+(0.5*DC94)))</f>
        <v/>
      </c>
      <c r="DM94" s="244" t="str">
        <f aca="false">IF(BR94=0,"",8*DC94)</f>
        <v/>
      </c>
      <c r="DN94" s="244" t="str">
        <f aca="false">IF(AW94=" "," ",IF(DC94=""," ",IF(DC94&lt;4,10*10.2,IF(DC94=4,12*10.2,IF(DC94&lt;10,17.5*10.5,IF(DC94=10,15*10.2,IF(DC94&lt;30,22.5*10.2,IF(DC94=30,35*10.2,IF(DC94&lt;50,40*10.2,IF(DC94=50,50*10.2,55*10.2))))))))))</f>
        <v> </v>
      </c>
      <c r="DO94" s="244" t="str">
        <f aca="false">IF(BR94=0,"",7*SQRT(DC94)*10.1972)</f>
        <v/>
      </c>
      <c r="DP94" s="244" t="str">
        <f aca="false">IF(BR94=0,"",IF(AS94=$AX$4,5*CC94,""))</f>
        <v/>
      </c>
      <c r="DQ94" s="244" t="str">
        <f aca="false">IF(AW94=" "," ",IF(DC94=""," ",IF(DC94&lt;2,4*10.2,IF(DC94=2,6*10.2,IF(DC94&lt;4,12*10.2,IF(DC94=4,20*10.2,IF(DC94&lt;8,30*10.2,IF(DC94=8,35*10.2,IF(DC94&lt;15,40*10.2,IF(DC94=15,42*10.2,IF(DC94&lt;30,45*10.2,IF(DC94=30,50*10.2,70*10.2))))))))))))</f>
        <v> </v>
      </c>
      <c r="DR94" s="244" t="str">
        <f aca="false">IF(BR94=0,"",IF(AS94=$AX$4,220*DP94*0.0101972,""))</f>
        <v/>
      </c>
      <c r="DS94" s="271" t="str">
        <f aca="false">IF(BR94=0,"",IF(AS94=$AX$7,(SUM(DH94:DO94)-MIN(DH94:DO94)-MAX(DH94:DO94))/6,(SUM(DO94:DR94)-MIN(DO94:DR94)-MAX(DO94:DR94))/2))</f>
        <v/>
      </c>
      <c r="DT94" s="244" t="str">
        <f aca="false">IF(AW94=" "," ",IF(DC94=""," ",IF(DC94&lt;4,0.2,IF(DC94=4,0.27,IF(DC94&lt;10,0.33,IF(DC94=10,0.35,IF(DC94&lt;30,0.36,IF(DC94=30,0.37,IF(DC94&lt;50,0.38,IF(DC94=50,0.4,0.45))))))))))</f>
        <v> </v>
      </c>
      <c r="DU94" s="272" t="str">
        <f aca="false">IF(AW94=" "," ",IF(CC94=""," ",IF(CC94&lt;2,0.2,IF(CC94=2,0.23,IF(CC94&lt;4,0.26,IF(CC94=4,0.29,IF(CC94&lt;8,0.32,IF(CC94=8,0.35,IF(CC94&lt;15,0.38,IF(CC94=15,0.41,IF(CC94&lt;30,0.44,IF(CC94=30,0.47,0.5))))))))))))</f>
        <v> </v>
      </c>
      <c r="DV94" s="244" t="str">
        <f aca="false">IF(BR94=0,"",IF(AS94=$AX$3,DT94,DU94))</f>
        <v/>
      </c>
      <c r="DW94" s="244" t="str">
        <f aca="false">IF(BR94=0,"",IF(DC94&gt;15,15+0.5*(DC94-15),DC94))</f>
        <v/>
      </c>
      <c r="DX94" s="244" t="str">
        <f aca="false">IF(BR94=0,"",IF($S$12="SI",IF(CD94="NO",IF($AD$12&gt;(BO94+1.5*$ED$15),1,0.5),0.5),1))</f>
        <v/>
      </c>
      <c r="DY94" s="244" t="str">
        <f aca="false">IF(BR94=0,"",IF($S$12="SI",IF(CD94="NO",IF($AD$12&gt;(BO94+1.5*$EE$15),1,0.5),0.5),1))</f>
        <v/>
      </c>
      <c r="DZ94" s="244" t="str">
        <f aca="false">IF(BR94=0,"",IF($S$12="SI",IF(CD94="NO",IF($AD$12&gt;(BO94+1.5*$EF$15),1,0.5),0.5),1))</f>
        <v/>
      </c>
      <c r="EA94" s="244" t="str">
        <f aca="false">IF(BR94=0,"",IF($S$12="SI",IF(CD94="NO",IF($AD$12&gt;(BO94+1.5*$ED$15),1,0.5),IF($AD$12=BO94,1,0.5)),1))</f>
        <v/>
      </c>
      <c r="EB94" s="244" t="str">
        <f aca="false">IF(BR94=0,"",IF($S$12="SI",IF(CD94="NO",IF($AD$12&gt;(BO94+1.5*$EE$15),1,0.5),IF($AD$12=BO94,1,0.5)),1))</f>
        <v/>
      </c>
      <c r="EC94" s="244" t="str">
        <f aca="false">IF(BR94=0,"",IF($S$12="SI",IF(CD94="NO",IF($AD$12&gt;(BO94+1.5*$EF$15),1,0.5),IF($AD$12=BO94,1,0.5)),1))</f>
        <v/>
      </c>
      <c r="ED94" s="244" t="str">
        <f aca="false">IF(BR94=0,"",(DW94*($ED$15/10)*(DX94+EA94*(BO94/$ED$15))*1)/3)</f>
        <v/>
      </c>
      <c r="EE94" s="244" t="str">
        <f aca="false">IF(BR94=0,"",(DW94*($EE$15/10)*(DY94+EB94*(BO94/$EE$15))*1)/3)</f>
        <v/>
      </c>
      <c r="EF94" s="244" t="str">
        <f aca="false">IF(BR94=0,"",(DW94*($EF$15/10)*(DZ94+EC94*(BO94/$EF$15))*1)/3)</f>
        <v/>
      </c>
      <c r="EG94" s="273" t="str">
        <f aca="false">IF(BR94=0,"",IF(CD94="SI",0.5,1))</f>
        <v/>
      </c>
      <c r="EH94" s="244" t="str">
        <f aca="false">IF(BR94=0,"",IF((1+0.33*(BO94/$ED$15))&lt;=1.33,(1+0.33*(BO94/$ED$15)),1.33))</f>
        <v/>
      </c>
      <c r="EI94" s="244" t="str">
        <f aca="false">IF(BR94=0,"",IF((1+0.33*(BO94/$EE$15))&lt;=1.33,(1+0.33*(BO94/$EE$15)),1.33))</f>
        <v/>
      </c>
      <c r="EJ94" s="244" t="str">
        <f aca="false">IF(BR94=0,"",IF((1+0.33*(BO94/$EF$15))&lt;=1.33,(1+0.33*(BO94/$EF$15)),1.33))</f>
        <v/>
      </c>
      <c r="EK94" s="244" t="str">
        <f aca="false">IF(BR94=0,"",IF($ED$15&lt;=1.2,((20*DC94*EG94*EH94)/3)*0.010197,((12.5*DC94*((($ED$15+0.3)^2)/$ED$15)*EG94*EH94)/3)*0.010197))</f>
        <v/>
      </c>
      <c r="EL94" s="244" t="str">
        <f aca="false">IF(BR94=0,"",IF($EE$15&lt;=1.2,((20*DC94*EG94*EI94)/3)*0.010197,((12.5*DC94*((($EE$15+0.3)^2)/$EE$15)*EG94*EI94)/3)*0.010197))</f>
        <v/>
      </c>
      <c r="EM94" s="244" t="str">
        <f aca="false">IF(BR94=0,"",IF($EF$15&lt;=1.2,((20*DC94*EG94*EJ94)/3)*0.010197,((12.5*DC94*((($EF$15+0.3)^2)/$EF$15)*EG94*EJ94)/3)*0.010197))</f>
        <v/>
      </c>
      <c r="EN94" s="248" t="str">
        <f aca="false">IF(BR94=0,"",SQRT(12*CC94)+25)</f>
        <v/>
      </c>
      <c r="EO94" s="248" t="str">
        <f aca="false">IF(BR94=0,"",28.5+0.25*CC94)</f>
        <v/>
      </c>
      <c r="EP94" s="248" t="str">
        <f aca="false">IF(BR94=0,"",SQRT(20*CC94)+15)</f>
        <v/>
      </c>
      <c r="EQ94" s="248" t="str">
        <f aca="false">IF(BR94=0,"",23.7+0.57*CC94-0.0006*CC94*CC94)</f>
        <v/>
      </c>
      <c r="ER94" s="248" t="str">
        <f aca="false">IF(BR94=0,"",15+SQRT(12.5*DC94))</f>
        <v/>
      </c>
      <c r="ES94" s="248" t="str">
        <f aca="false">IF(BR94=0,"",3.5*SQRT(CC94)+20)</f>
        <v/>
      </c>
      <c r="ET94" s="248" t="str">
        <f aca="false">IF(BR94=0,"",27.1+0.3*DC94-0.00054*DC94*DC94)</f>
        <v/>
      </c>
      <c r="EU94" s="248" t="str">
        <f aca="false">IF(BR94=0,"",SQRT(20*CC94)+20)</f>
        <v/>
      </c>
      <c r="EV94" s="248" t="str">
        <f aca="false">IF(BR94=0,"",12.79+SQRT(25.86*CC94))</f>
        <v/>
      </c>
      <c r="EW94" s="248" t="str">
        <f aca="false">IF(BR94=0,"",DEGREES(_xlfn.ACOT((CC94/(12.2+20.3*CR94))^0.34)))</f>
        <v/>
      </c>
      <c r="EX94" s="248" t="str">
        <f aca="false">IF(BR94=0,"",24+(5.77*LN(0.17*DC94)))</f>
        <v/>
      </c>
      <c r="EY94" s="248" t="str">
        <f aca="false">IF(BR94=0,"",(SUM(EN94:EX94)-MIN(EN94:EX94)-MAX(EN94:EX94))/9)</f>
        <v/>
      </c>
      <c r="EZ94" s="248" t="str">
        <f aca="false">IF(BR94=0,"", -0.0000000034*CC94^6 + 0.0000008305*CC94^5 - 0.0000741842*CC94^4 + 0.0030204278*CC94^3 - 0.0541594733*CC94^2 + 0.8083147848*CC94 - 0.6182191243)</f>
        <v/>
      </c>
      <c r="FA94" s="249" t="str">
        <f aca="false">IF(BR94=0,"",(0.134811827956989*CC94 - 0.0383064516129019)/2)</f>
        <v/>
      </c>
      <c r="FB94" s="249" t="str">
        <f aca="false">IF(BR94=0,"",CC94*0.065)</f>
        <v/>
      </c>
      <c r="FC94" s="249" t="str">
        <f aca="false">IF(BR94=0,"",(CC94*0.12*0.48)*SQRT((1+SIN(EZ94*((2*PI())/360))/(1-SIN(EZ94*((2*PI())/360))))))</f>
        <v/>
      </c>
      <c r="FD94" s="249" t="str">
        <f aca="false">IF(BR94=0,"",(CC94/8)/2)</f>
        <v/>
      </c>
      <c r="FE94" s="249" t="str">
        <f aca="false">IF(BR94=0,"",(SUM(FA94:FD94)-MIN(FA94:FD94)-MAX(FA94:FD94))/2)</f>
        <v/>
      </c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</row>
    <row r="95" customFormat="false" ht="9.75" hidden="false" customHeight="true" outlineLevel="0" collapsed="false">
      <c r="A95" s="197" t="n">
        <f aca="false">ROUND(A94+0.1,1)</f>
        <v>7.8</v>
      </c>
      <c r="B95" s="250" t="n">
        <f aca="false">+A95</f>
        <v>7.8</v>
      </c>
      <c r="C95" s="251"/>
      <c r="D95" s="251"/>
      <c r="E95" s="274"/>
      <c r="F95" s="253"/>
      <c r="G95" s="254"/>
      <c r="H95" s="284"/>
      <c r="I95" s="285"/>
      <c r="J95" s="257"/>
      <c r="K95" s="258"/>
      <c r="L95" s="259"/>
      <c r="M95" s="276"/>
      <c r="N95" s="277"/>
      <c r="O95" s="277"/>
      <c r="P95" s="277"/>
      <c r="Q95" s="293"/>
      <c r="R95" s="278"/>
      <c r="S95" s="278"/>
      <c r="T95" s="295"/>
      <c r="U95" s="295"/>
      <c r="V95" s="296"/>
      <c r="W95" s="296"/>
      <c r="X95" s="296"/>
      <c r="Y95" s="296"/>
      <c r="Z95" s="296"/>
      <c r="AA95" s="296"/>
      <c r="AB95" s="297"/>
      <c r="AC95" s="298"/>
      <c r="AD95" s="299"/>
      <c r="AE95" s="298"/>
      <c r="AF95" s="300"/>
      <c r="AG95" s="267"/>
      <c r="AH95" s="267"/>
      <c r="AI95" s="241"/>
      <c r="AJ95" s="241"/>
      <c r="AK95" s="266"/>
      <c r="AL95" s="266"/>
      <c r="AM95" s="268"/>
      <c r="AN95" s="250" t="n">
        <f aca="false">+AN93+0.2</f>
        <v>7.8</v>
      </c>
      <c r="AO95" s="251"/>
      <c r="AP95" s="251"/>
      <c r="AQ95" s="274"/>
      <c r="AR95" s="253"/>
      <c r="AS95" s="269" t="s">
        <v>13</v>
      </c>
      <c r="AT95" s="221"/>
      <c r="AU95" s="269"/>
      <c r="AV95" s="269"/>
      <c r="AW95" s="270" t="n">
        <f aca="false">+K95+L95</f>
        <v>0</v>
      </c>
      <c r="AX95" s="270" t="str">
        <f aca="false">IF(AS95="&gt;50","CONSISTENCIA",IF(AS95="&lt;50","COMPACIDAD"," "))</f>
        <v>COMPACIDAD</v>
      </c>
      <c r="AY95" s="225" t="str">
        <f aca="false">IF(AS95="&gt;50",AZ95,IF(AS95="&lt;50",BA95," "))</f>
        <v> </v>
      </c>
      <c r="AZ95" s="224" t="str">
        <f aca="false">IF(AW95=" "," ",IF(CC95=""," ",IF(CC95&lt;2,"MUY BLANDA",IF(CC95=2,"MUY BLANDA A BLANDA",IF(CC95&lt;4,"BLANDA",IF(CC95=4,"BLANDA A MEDIA",IF(CC95&lt;8,"MEDIA",IF(CC95=8,"MEDIA A FIRME",IF(CC95&lt;15,"FIRME",IF(CC95=15,"FIRME A MUY FIRME",IF(CC95&lt;30,"MUY FIRME",IF(CC95=30,"MUY FIRME A DURA","DURA"))))))))))))</f>
        <v> </v>
      </c>
      <c r="BA95" s="225" t="str">
        <f aca="false">IF(AW95=" "," ",IF(DC95=""," ",IF(DC95&lt;4,"MUY SUELTA",IF(DC95=4,"MUY SUELTA A SUELTA",IF(DC95&lt;10,"SUELTA",IF(DC95=10,"SUELTA A MEDIA",IF(DC95&lt;30,"MEDIA",IF(DC95=30,"MEDIA A DENSO",IF(DC95&lt;50,"DENSO",IF(DC95=50,"DENSO MUY DENSO","MUY DENSO"))))))))))</f>
        <v> </v>
      </c>
      <c r="BB95" s="226" t="str">
        <f aca="false">IF(BR96=0,"",CQ96*0.0101972)</f>
        <v/>
      </c>
      <c r="BC95" s="227" t="n">
        <f aca="false">+BC94+0.1</f>
        <v>7.79999999999999</v>
      </c>
      <c r="BD95" s="227" t="str">
        <f aca="false">IF(BC95&lt;=$AN$10,BC95,"")</f>
        <v/>
      </c>
      <c r="BE95" s="228" t="n">
        <f aca="false">ISNUMBER(BD95)</f>
        <v>0</v>
      </c>
      <c r="BF95" s="229" t="str">
        <f aca="false">MID(M95,1,1)</f>
        <v/>
      </c>
      <c r="BG95" s="230" t="str">
        <f aca="false">IF(BF95="S","",IF(BF95="G","",MID(M95,2,1)))</f>
        <v/>
      </c>
      <c r="BH95" s="231" t="str">
        <f aca="false">CONCATENATE(BF95,BG95)</f>
        <v/>
      </c>
      <c r="BI95" s="6" t="str">
        <f aca="false">IF(BE95=FALSE(),"",IF(BH95="",BI94,BH95))</f>
        <v/>
      </c>
      <c r="BJ95" s="74" t="str">
        <f aca="false">IF(OR(BI95="S",BI95="G"),BI95,"X")</f>
        <v>X</v>
      </c>
      <c r="BK95" s="74" t="s">
        <v>255</v>
      </c>
      <c r="BL95" s="311" t="e">
        <f aca="false">INDEX(sim_0,MATCH($BJ$95,granular,0))</f>
        <v>#NAME?</v>
      </c>
      <c r="BM95" s="311"/>
      <c r="BN95" s="6"/>
      <c r="BO95" s="191" t="n">
        <f aca="false">BO94+0.1</f>
        <v>7.79999999999999</v>
      </c>
      <c r="BP95" s="233" t="e">
        <f aca="false">IF(AW95=0,NA(),IF(AS95=$AX$3,ROUND(DC95,0),NA()))</f>
        <v>#N/A</v>
      </c>
      <c r="BQ95" s="31" t="e">
        <f aca="false">IF(AW95=0,NA(),IF(AS95=$AX$4,ROUND(CC95,0),NA()))</f>
        <v>#N/A</v>
      </c>
      <c r="BR95" s="234" t="n">
        <f aca="false">+AW95</f>
        <v>0</v>
      </c>
      <c r="BS95" s="235" t="str">
        <f aca="false">IF(BR95=0,"", -0.00000000016128755327*CC95^6 + 0.00000006709386362421*CC95^5 - 0.0000106217678052217*CC95^4 + 0.00081068114193385*CC95^3 - 0.0314027378159951*CC95^2 + 0.649796593937842*CC95 + 13.7888866455022)</f>
        <v/>
      </c>
      <c r="BT95" s="235" t="str">
        <f aca="false">IF(BR95=0,"",-0.00000000014625939695*CC95^6 + 0.00000004971732060241*CC95^5 - 0.000006683744342031*CC95^4 + 0.0004563177378098*CC95^3 - 0.0171727530635803*CC95^2 + 0.444529932876435*CC95 + 15.6692518940565)</f>
        <v/>
      </c>
      <c r="BU95" s="236" t="str">
        <f aca="false">IF(BR95=0,"", -0.0000000008152265738*BR95^6 + 0.00000022764320256987*BR95^5 - 0.0000248205675927705*BR95^4 + 0.00133186623684865*BR95^3 - 0.0368442570441677*BR95^2 + 0.580111565569094*BR95 + 14.0417598296107)</f>
        <v/>
      </c>
      <c r="BV95" s="236" t="str">
        <f aca="false">IF(BR95=0,"", -0.00000000004321395721*BR95^6 + 0.00000002531844275498*BR95^5 - 0.00000369428022780862*BR95^4 + 0.00020283665900125*BR95^3 - 0.00462426256803268*BR95^2 + 0.139572935065453*BR95 + 15.4475338156923)</f>
        <v/>
      </c>
      <c r="BW95" s="236" t="str">
        <f aca="false">IF(BR95=0,"",-0.00000000033126390082*BR95^6 + 0.00000010463660614506*BR95^5 - 0.0000129629592998707*BR95^4 + 0.000803946335250767*BR95^3 - 0.0270257140395994*BR95^2 + 0.562590210721552*BR95+ 12.1254107606419)</f>
        <v/>
      </c>
      <c r="BX95" s="236" t="str">
        <f aca="false">IF(BR95=0,"",-0.00000000002593504955*BR95^6 + 0.00000002430495156704*BR95^5 - 0.00000386103271086364*BR95^4 + 0.000214416118986322*BR95^3 - 0.0047271462612021*BR95^2 + 0.156696175741135*BR95 + 15.4598891949502)</f>
        <v/>
      </c>
      <c r="BY95" s="234" t="str">
        <f aca="false">IF(BR95=0,"",$BS$2)</f>
        <v/>
      </c>
      <c r="BZ95" s="234" t="str">
        <f aca="false">IF(BR95=0,"",$BS$3)</f>
        <v/>
      </c>
      <c r="CA95" s="234" t="str">
        <f aca="false">IF(BR95=0,"",$BS$4)</f>
        <v/>
      </c>
      <c r="CB95" s="235" t="str">
        <f aca="false">IF(BR95=0,"",IF(AND(BO95&gt;=0,BO95&lt;4),0.75,IF(AND(BO95&gt;=4,BO95&lt;6),0.85,IF(AND(BO95&gt;=6,BO95&lt;=10),0.95,1))))</f>
        <v/>
      </c>
      <c r="CC95" s="234" t="str">
        <f aca="false">IF(BR95=0,"",BR95*BY95*BZ95*CA95*CB95/60)</f>
        <v/>
      </c>
      <c r="CD95" s="238" t="str">
        <f aca="false">IF(BR95=0,"",IF($S$12="NO","NO",IF($AD$12&lt;=BO95,"SI","NO")))</f>
        <v/>
      </c>
      <c r="CE95" s="235" t="n">
        <f aca="false">IF(BR95=0,0,AB95)</f>
        <v>0</v>
      </c>
      <c r="CF95" s="235" t="n">
        <f aca="false">IF(CE95&gt;0,BO95,0)</f>
        <v>0</v>
      </c>
      <c r="CG95" s="239" t="n">
        <f aca="false">IF(CF95=0,CF95+CG94,CF95)</f>
        <v>0</v>
      </c>
      <c r="CH95" s="239" t="n">
        <f aca="false">IF(CG95=CG94,CH94,ABS(CG95-CG94))</f>
        <v>0</v>
      </c>
      <c r="CI95" s="239" t="n">
        <f aca="false">+CE95*CH95</f>
        <v>0</v>
      </c>
      <c r="CJ95" s="239" t="n">
        <f aca="false">IF(CI95=0,CI95+CJ94,CI95)</f>
        <v>0</v>
      </c>
      <c r="CK95" s="239" t="n">
        <f aca="false">IF(CJ95=CJ94,CK94,ABS(CJ95+CK94))</f>
        <v>0</v>
      </c>
      <c r="CL95" s="241" t="n">
        <f aca="false">IF(CE95=0,0,CK95)</f>
        <v>0</v>
      </c>
      <c r="CM95" s="239" t="n">
        <f aca="false">IF(CE95=0,0,CH95*9.81)</f>
        <v>0</v>
      </c>
      <c r="CN95" s="239" t="n">
        <f aca="false">IF(CM95=0,CM95+CN94,CM95)</f>
        <v>0</v>
      </c>
      <c r="CO95" s="239" t="n">
        <f aca="false">IF(CN95=CN94,CO94,ABS(CN95+CO94))</f>
        <v>0</v>
      </c>
      <c r="CP95" s="241" t="n">
        <f aca="false">IF(CD95="NO",0,IF(CE95=0,0,CO95))</f>
        <v>0</v>
      </c>
      <c r="CQ95" s="244" t="str">
        <f aca="false">IF(BR95=0,"",CL95-CP95)</f>
        <v/>
      </c>
      <c r="CR95" s="244" t="str">
        <f aca="false">IF(BR95=0,"",CQ95/101.3)</f>
        <v/>
      </c>
      <c r="CS95" s="244" t="str">
        <f aca="false">IF(BR95=0,"",LOG(10/CR95))</f>
        <v/>
      </c>
      <c r="CT95" s="243" t="str">
        <f aca="false">IF(BR95=0,"",IF(SQRT(101.3/CQ95)&lt;=1.7,SQRT(101.3/CQ95),2.2/(1.2+(CQ95/101.3))))</f>
        <v/>
      </c>
      <c r="CU95" s="244" t="str">
        <f aca="false">IF(BR95=0,"",1.7/(0.7+CR95))</f>
        <v/>
      </c>
      <c r="CV95" s="244" t="str">
        <f aca="false">IF(BR95=0,"",IF(CR95&gt;=0.25,0.77*LOG(20/CR95),""))</f>
        <v/>
      </c>
      <c r="CW95" s="244" t="str">
        <f aca="false">IF(BR95=0,"",32.5/(10.2+20.3*CR95))</f>
        <v/>
      </c>
      <c r="CX95" s="244" t="str">
        <f aca="false">IF(BR95=0,"",1-1.25*LOG(CR95))</f>
        <v/>
      </c>
      <c r="CY95" s="244" t="str">
        <f aca="false">IF(BR95=0,"",IF(CR95&lt;1,1-1.41*LOG(CR95),1+0.92*LOG(CR95)))</f>
        <v/>
      </c>
      <c r="CZ95" s="244" t="str">
        <f aca="false">IF(BR95=0,"",2/(1+CR95))</f>
        <v/>
      </c>
      <c r="DA95" s="244" t="str">
        <f aca="false">IF(BR95=0,"",IF(CR95&lt;=0.75,4/(1+4*CR95),4/(3.25+CR95)))</f>
        <v/>
      </c>
      <c r="DB95" s="244" t="str">
        <f aca="false">IF(BR95=0,"",CT95)</f>
        <v/>
      </c>
      <c r="DC95" s="244" t="str">
        <f aca="false">IF(BR95=0,"",DB95*CC95)</f>
        <v/>
      </c>
      <c r="DD95" s="244"/>
      <c r="DE95" s="244" t="str">
        <f aca="false">IF(BR95=0,"",0.193*(CC95/(CQ95*0.001))^0.689)</f>
        <v/>
      </c>
      <c r="DF95" s="244" t="str">
        <f aca="false">IF(BR95=0,"",IF(AS95=$AX$4,(0.1348118*CC95 - 0.0383065)*98.0665,""))</f>
        <v/>
      </c>
      <c r="DG95" s="244" t="str">
        <f aca="false">IF(BR95=0,"",IF(AS95=$AX$4,DF95/2,""))</f>
        <v/>
      </c>
      <c r="DH95" s="244" t="str">
        <f aca="false">IF(BR95=0,"",IF(DC95&lt;=15,12*(DC95+6),40+12*(DC95-6)))</f>
        <v/>
      </c>
      <c r="DI95" s="244" t="str">
        <f aca="false">IF(BR95=0,"",IF(CD95="SI",5*(DC95+15),((3.3*(DC95+15))+(4*(DC95+12)))/2))</f>
        <v/>
      </c>
      <c r="DJ95" s="244" t="str">
        <f aca="false">IF(BR95=0,"",8*DC95)</f>
        <v/>
      </c>
      <c r="DK95" s="244" t="str">
        <f aca="false">IF(BR95=0,"",215+(10.6*DC95))</f>
        <v/>
      </c>
      <c r="DL95" s="244" t="str">
        <f aca="false">IF(BR95=0,"",10*(7.5+(0.5*DC95)))</f>
        <v/>
      </c>
      <c r="DM95" s="244" t="str">
        <f aca="false">IF(BR95=0,"",8*DC95)</f>
        <v/>
      </c>
      <c r="DN95" s="244" t="str">
        <f aca="false">IF(AW95=" "," ",IF(DC95=""," ",IF(DC95&lt;4,10*10.2,IF(DC95=4,12*10.2,IF(DC95&lt;10,17.5*10.5,IF(DC95=10,15*10.2,IF(DC95&lt;30,22.5*10.2,IF(DC95=30,35*10.2,IF(DC95&lt;50,40*10.2,IF(DC95=50,50*10.2,55*10.2))))))))))</f>
        <v> </v>
      </c>
      <c r="DO95" s="244" t="str">
        <f aca="false">IF(BR95=0,"",7*SQRT(DC95)*10.1972)</f>
        <v/>
      </c>
      <c r="DP95" s="244" t="str">
        <f aca="false">IF(BR95=0,"",IF(AS95=$AX$4,5*CC95,""))</f>
        <v/>
      </c>
      <c r="DQ95" s="244" t="str">
        <f aca="false">IF(AW95=" "," ",IF(DC95=""," ",IF(DC95&lt;2,4*10.2,IF(DC95=2,6*10.2,IF(DC95&lt;4,12*10.2,IF(DC95=4,20*10.2,IF(DC95&lt;8,30*10.2,IF(DC95=8,35*10.2,IF(DC95&lt;15,40*10.2,IF(DC95=15,42*10.2,IF(DC95&lt;30,45*10.2,IF(DC95=30,50*10.2,70*10.2))))))))))))</f>
        <v> </v>
      </c>
      <c r="DR95" s="244" t="str">
        <f aca="false">IF(BR95=0,"",IF(AS95=$AX$4,220*DP95*0.0101972,""))</f>
        <v/>
      </c>
      <c r="DS95" s="271" t="str">
        <f aca="false">IF(BR95=0,"",IF(AS95=$AX$7,(SUM(DH95:DO95)-MIN(DH95:DO95)-MAX(DH95:DO95))/6,(SUM(DO95:DR95)-MIN(DO95:DR95)-MAX(DO95:DR95))/2))</f>
        <v/>
      </c>
      <c r="DT95" s="244" t="str">
        <f aca="false">IF(AW95=" "," ",IF(DC95=""," ",IF(DC95&lt;4,0.2,IF(DC95=4,0.27,IF(DC95&lt;10,0.33,IF(DC95=10,0.35,IF(DC95&lt;30,0.36,IF(DC95=30,0.37,IF(DC95&lt;50,0.38,IF(DC95=50,0.4,0.45))))))))))</f>
        <v> </v>
      </c>
      <c r="DU95" s="272" t="str">
        <f aca="false">IF(AW95=" "," ",IF(CC95=""," ",IF(CC95&lt;2,0.2,IF(CC95=2,0.23,IF(CC95&lt;4,0.26,IF(CC95=4,0.29,IF(CC95&lt;8,0.32,IF(CC95=8,0.35,IF(CC95&lt;15,0.38,IF(CC95=15,0.41,IF(CC95&lt;30,0.44,IF(CC95=30,0.47,0.5))))))))))))</f>
        <v> </v>
      </c>
      <c r="DV95" s="244" t="str">
        <f aca="false">IF(BR95=0,"",IF(AS95=$AX$3,DT95,DU95))</f>
        <v/>
      </c>
      <c r="DW95" s="244" t="str">
        <f aca="false">IF(BR95=0,"",IF(DC95&gt;15,15+0.5*(DC95-15),DC95))</f>
        <v/>
      </c>
      <c r="DX95" s="244" t="str">
        <f aca="false">IF(BR95=0,"",IF($S$12="SI",IF(CD95="NO",IF($AD$12&gt;(BO95+1.5*$ED$15),1,0.5),0.5),1))</f>
        <v/>
      </c>
      <c r="DY95" s="244" t="str">
        <f aca="false">IF(BR95=0,"",IF($S$12="SI",IF(CD95="NO",IF($AD$12&gt;(BO95+1.5*$EE$15),1,0.5),0.5),1))</f>
        <v/>
      </c>
      <c r="DZ95" s="244" t="str">
        <f aca="false">IF(BR95=0,"",IF($S$12="SI",IF(CD95="NO",IF($AD$12&gt;(BO95+1.5*$EF$15),1,0.5),0.5),1))</f>
        <v/>
      </c>
      <c r="EA95" s="244" t="str">
        <f aca="false">IF(BR95=0,"",IF($S$12="SI",IF(CD95="NO",IF($AD$12&gt;(BO95+1.5*$ED$15),1,0.5),IF($AD$12=BO95,1,0.5)),1))</f>
        <v/>
      </c>
      <c r="EB95" s="244" t="str">
        <f aca="false">IF(BR95=0,"",IF($S$12="SI",IF(CD95="NO",IF($AD$12&gt;(BO95+1.5*$EE$15),1,0.5),IF($AD$12=BO95,1,0.5)),1))</f>
        <v/>
      </c>
      <c r="EC95" s="244" t="str">
        <f aca="false">IF(BR95=0,"",IF($S$12="SI",IF(CD95="NO",IF($AD$12&gt;(BO95+1.5*$EF$15),1,0.5),IF($AD$12=BO95,1,0.5)),1))</f>
        <v/>
      </c>
      <c r="ED95" s="244" t="str">
        <f aca="false">IF(BR95=0,"",(DW95*($ED$15/10)*(DX95+EA95*(BO95/$ED$15))*1)/3)</f>
        <v/>
      </c>
      <c r="EE95" s="244" t="str">
        <f aca="false">IF(BR95=0,"",(DW95*($EE$15/10)*(DY95+EB95*(BO95/$EE$15))*1)/3)</f>
        <v/>
      </c>
      <c r="EF95" s="244" t="str">
        <f aca="false">IF(BR95=0,"",(DW95*($EF$15/10)*(DZ95+EC95*(BO95/$EF$15))*1)/3)</f>
        <v/>
      </c>
      <c r="EG95" s="273" t="str">
        <f aca="false">IF(BR95=0,"",IF(CD95="SI",0.5,1))</f>
        <v/>
      </c>
      <c r="EH95" s="244" t="str">
        <f aca="false">IF(BR95=0,"",IF((1+0.33*(BO95/$ED$15))&lt;=1.33,(1+0.33*(BO95/$ED$15)),1.33))</f>
        <v/>
      </c>
      <c r="EI95" s="244" t="str">
        <f aca="false">IF(BR95=0,"",IF((1+0.33*(BO95/$EE$15))&lt;=1.33,(1+0.33*(BO95/$EE$15)),1.33))</f>
        <v/>
      </c>
      <c r="EJ95" s="244" t="str">
        <f aca="false">IF(BR95=0,"",IF((1+0.33*(BO95/$EF$15))&lt;=1.33,(1+0.33*(BO95/$EF$15)),1.33))</f>
        <v/>
      </c>
      <c r="EK95" s="244" t="str">
        <f aca="false">IF(BR95=0,"",IF($ED$15&lt;=1.2,((20*DC95*EG95*EH95)/3)*0.010197,((12.5*DC95*((($ED$15+0.3)^2)/$ED$15)*EG95*EH95)/3)*0.010197))</f>
        <v/>
      </c>
      <c r="EL95" s="244" t="str">
        <f aca="false">IF(BR95=0,"",IF($EE$15&lt;=1.2,((20*DC95*EG95*EI95)/3)*0.010197,((12.5*DC95*((($EE$15+0.3)^2)/$EE$15)*EG95*EI95)/3)*0.010197))</f>
        <v/>
      </c>
      <c r="EM95" s="244" t="str">
        <f aca="false">IF(BR95=0,"",IF($EF$15&lt;=1.2,((20*DC95*EG95*EJ95)/3)*0.010197,((12.5*DC95*((($EF$15+0.3)^2)/$EF$15)*EG95*EJ95)/3)*0.010197))</f>
        <v/>
      </c>
      <c r="EN95" s="248" t="str">
        <f aca="false">IF(BR95=0,"",SQRT(12*CC95)+25)</f>
        <v/>
      </c>
      <c r="EO95" s="248" t="str">
        <f aca="false">IF(BR95=0,"",28.5+0.25*CC95)</f>
        <v/>
      </c>
      <c r="EP95" s="248" t="str">
        <f aca="false">IF(BR95=0,"",SQRT(20*CC95)+15)</f>
        <v/>
      </c>
      <c r="EQ95" s="248" t="str">
        <f aca="false">IF(BR95=0,"",23.7+0.57*CC95-0.0006*CC95*CC95)</f>
        <v/>
      </c>
      <c r="ER95" s="248" t="str">
        <f aca="false">IF(BR95=0,"",15+SQRT(12.5*DC95))</f>
        <v/>
      </c>
      <c r="ES95" s="248" t="str">
        <f aca="false">IF(BR95=0,"",3.5*SQRT(CC95)+20)</f>
        <v/>
      </c>
      <c r="ET95" s="248" t="str">
        <f aca="false">IF(BR95=0,"",27.1+0.3*DC95-0.00054*DC95*DC95)</f>
        <v/>
      </c>
      <c r="EU95" s="248" t="str">
        <f aca="false">IF(BR95=0,"",SQRT(20*CC95)+20)</f>
        <v/>
      </c>
      <c r="EV95" s="248" t="str">
        <f aca="false">IF(BR95=0,"",12.79+SQRT(25.86*CC95))</f>
        <v/>
      </c>
      <c r="EW95" s="248" t="str">
        <f aca="false">IF(BR95=0,"",DEGREES(_xlfn.ACOT((CC95/(12.2+20.3*CR95))^0.34)))</f>
        <v/>
      </c>
      <c r="EX95" s="248" t="str">
        <f aca="false">IF(BR95=0,"",24+(5.77*LN(0.17*DC95)))</f>
        <v/>
      </c>
      <c r="EY95" s="248" t="str">
        <f aca="false">IF(BR95=0,"",(SUM(EN95:EX95)-MIN(EN95:EX95)-MAX(EN95:EX95))/9)</f>
        <v/>
      </c>
      <c r="EZ95" s="248" t="str">
        <f aca="false">IF(BR95=0,"", -0.0000000034*CC95^6 + 0.0000008305*CC95^5 - 0.0000741842*CC95^4 + 0.0030204278*CC95^3 - 0.0541594733*CC95^2 + 0.8083147848*CC95 - 0.6182191243)</f>
        <v/>
      </c>
      <c r="FA95" s="249" t="str">
        <f aca="false">IF(BR95=0,"",(0.134811827956989*CC95 - 0.0383064516129019)/2)</f>
        <v/>
      </c>
      <c r="FB95" s="249" t="str">
        <f aca="false">IF(BR95=0,"",CC95*0.065)</f>
        <v/>
      </c>
      <c r="FC95" s="249" t="str">
        <f aca="false">IF(BR95=0,"",(CC95*0.12*0.48)*SQRT((1+SIN(EZ95*((2*PI())/360))/(1-SIN(EZ95*((2*PI())/360))))))</f>
        <v/>
      </c>
      <c r="FD95" s="249" t="str">
        <f aca="false">IF(BR95=0,"",(CC95/8)/2)</f>
        <v/>
      </c>
      <c r="FE95" s="249" t="str">
        <f aca="false">IF(BR95=0,"",(SUM(FA95:FD95)-MIN(FA95:FD95)-MAX(FA95:FD95))/2)</f>
        <v/>
      </c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</row>
    <row r="96" customFormat="false" ht="9.75" hidden="false" customHeight="true" outlineLevel="0" collapsed="false">
      <c r="A96" s="197" t="n">
        <f aca="false">ROUND(A95+0.1,1)</f>
        <v>7.9</v>
      </c>
      <c r="B96" s="250"/>
      <c r="C96" s="251"/>
      <c r="D96" s="251"/>
      <c r="E96" s="199"/>
      <c r="F96" s="200"/>
      <c r="G96" s="254"/>
      <c r="H96" s="284"/>
      <c r="I96" s="285"/>
      <c r="J96" s="257"/>
      <c r="K96" s="258"/>
      <c r="L96" s="259"/>
      <c r="M96" s="276"/>
      <c r="N96" s="277"/>
      <c r="O96" s="277"/>
      <c r="P96" s="277"/>
      <c r="Q96" s="293"/>
      <c r="R96" s="278"/>
      <c r="S96" s="278"/>
      <c r="T96" s="295"/>
      <c r="U96" s="295"/>
      <c r="V96" s="296"/>
      <c r="W96" s="296"/>
      <c r="X96" s="296"/>
      <c r="Y96" s="296"/>
      <c r="Z96" s="296"/>
      <c r="AA96" s="296"/>
      <c r="AB96" s="297"/>
      <c r="AC96" s="298"/>
      <c r="AD96" s="299"/>
      <c r="AE96" s="298"/>
      <c r="AF96" s="300"/>
      <c r="AG96" s="267"/>
      <c r="AH96" s="267"/>
      <c r="AI96" s="241"/>
      <c r="AJ96" s="241"/>
      <c r="AK96" s="266"/>
      <c r="AL96" s="266"/>
      <c r="AM96" s="268"/>
      <c r="AN96" s="250"/>
      <c r="AO96" s="251"/>
      <c r="AP96" s="251"/>
      <c r="AQ96" s="199"/>
      <c r="AR96" s="200"/>
      <c r="AS96" s="269" t="s">
        <v>13</v>
      </c>
      <c r="AT96" s="221"/>
      <c r="AU96" s="269"/>
      <c r="AV96" s="269"/>
      <c r="AW96" s="270" t="n">
        <f aca="false">+K96+L96</f>
        <v>0</v>
      </c>
      <c r="AX96" s="270" t="str">
        <f aca="false">IF(AS96="&gt;50","CONSISTENCIA",IF(AS96="&lt;50","COMPACIDAD"," "))</f>
        <v>COMPACIDAD</v>
      </c>
      <c r="AY96" s="225" t="str">
        <f aca="false">IF(AS96="&gt;50",AZ96,IF(AS96="&lt;50",BA96," "))</f>
        <v> </v>
      </c>
      <c r="AZ96" s="224" t="str">
        <f aca="false">IF(AW96=" "," ",IF(CC96=""," ",IF(CC96&lt;2,"MUY BLANDA",IF(CC96=2,"MUY BLANDA A BLANDA",IF(CC96&lt;4,"BLANDA",IF(CC96=4,"BLANDA A MEDIA",IF(CC96&lt;8,"MEDIA",IF(CC96=8,"MEDIA A FIRME",IF(CC96&lt;15,"FIRME",IF(CC96=15,"FIRME A MUY FIRME",IF(CC96&lt;30,"MUY FIRME",IF(CC96=30,"MUY FIRME A DURA","DURA"))))))))))))</f>
        <v> </v>
      </c>
      <c r="BA96" s="225" t="str">
        <f aca="false">IF(AW96=" "," ",IF(DC96=""," ",IF(DC96&lt;4,"MUY SUELTA",IF(DC96=4,"MUY SUELTA A SUELTA",IF(DC96&lt;10,"SUELTA",IF(DC96=10,"SUELTA A MEDIA",IF(DC96&lt;30,"MEDIA",IF(DC96=30,"MEDIA A DENSO",IF(DC96&lt;50,"DENSO",IF(DC96=50,"DENSO MUY DENSO","MUY DENSO"))))))))))</f>
        <v> </v>
      </c>
      <c r="BB96" s="290" t="str">
        <f aca="false">IF(BR97=0,"",CQ97*0.0101972)</f>
        <v/>
      </c>
      <c r="BC96" s="227" t="n">
        <f aca="false">+BC95+0.1</f>
        <v>7.89999999999999</v>
      </c>
      <c r="BD96" s="227" t="str">
        <f aca="false">IF(BC96&lt;=$AN$10,BC96,"")</f>
        <v/>
      </c>
      <c r="BE96" s="228" t="n">
        <f aca="false">ISNUMBER(BD96)</f>
        <v>0</v>
      </c>
      <c r="BF96" s="229" t="str">
        <f aca="false">MID(M96,1,1)</f>
        <v/>
      </c>
      <c r="BG96" s="230" t="str">
        <f aca="false">IF(BF96="S","",IF(BF96="G","",MID(M96,2,1)))</f>
        <v/>
      </c>
      <c r="BH96" s="231" t="str">
        <f aca="false">CONCATENATE(BF96,BG96)</f>
        <v/>
      </c>
      <c r="BI96" s="6" t="str">
        <f aca="false">IF(BE96=FALSE(),"",IF(BH96="",BI95,BH96))</f>
        <v/>
      </c>
      <c r="BJ96" s="74" t="str">
        <f aca="false">IF(OR(BI96="S",BI96="G"),BI96,"X")</f>
        <v>X</v>
      </c>
      <c r="BK96" s="74" t="s">
        <v>256</v>
      </c>
      <c r="BL96" s="311" t="e">
        <f aca="false">INDEX(sim_0,MATCH($BJ$96,granular,0))</f>
        <v>#NAME?</v>
      </c>
      <c r="BM96" s="311"/>
      <c r="BN96" s="6"/>
      <c r="BO96" s="191" t="n">
        <f aca="false">BO95+0.1</f>
        <v>7.89999999999999</v>
      </c>
      <c r="BP96" s="233" t="e">
        <f aca="false">IF(AW96=0,NA(),IF(AS96=$AX$3,ROUND(DC96,0),NA()))</f>
        <v>#N/A</v>
      </c>
      <c r="BQ96" s="31" t="e">
        <f aca="false">IF(AW96=0,NA(),IF(AS96=$AX$4,ROUND(CC96,0),NA()))</f>
        <v>#N/A</v>
      </c>
      <c r="BR96" s="234" t="n">
        <f aca="false">+AW96</f>
        <v>0</v>
      </c>
      <c r="BS96" s="235" t="str">
        <f aca="false">IF(BR96=0,"", -0.00000000016128755327*CC96^6 + 0.00000006709386362421*CC96^5 - 0.0000106217678052217*CC96^4 + 0.00081068114193385*CC96^3 - 0.0314027378159951*CC96^2 + 0.649796593937842*CC96 + 13.7888866455022)</f>
        <v/>
      </c>
      <c r="BT96" s="235" t="str">
        <f aca="false">IF(BR96=0,"",-0.00000000014625939695*CC96^6 + 0.00000004971732060241*CC96^5 - 0.000006683744342031*CC96^4 + 0.0004563177378098*CC96^3 - 0.0171727530635803*CC96^2 + 0.444529932876435*CC96 + 15.6692518940565)</f>
        <v/>
      </c>
      <c r="BU96" s="236" t="str">
        <f aca="false">IF(BR96=0,"", -0.0000000008152265738*BR96^6 + 0.00000022764320256987*BR96^5 - 0.0000248205675927705*BR96^4 + 0.00133186623684865*BR96^3 - 0.0368442570441677*BR96^2 + 0.580111565569094*BR96 + 14.0417598296107)</f>
        <v/>
      </c>
      <c r="BV96" s="236" t="str">
        <f aca="false">IF(BR96=0,"", -0.00000000004321395721*BR96^6 + 0.00000002531844275498*BR96^5 - 0.00000369428022780862*BR96^4 + 0.00020283665900125*BR96^3 - 0.00462426256803268*BR96^2 + 0.139572935065453*BR96 + 15.4475338156923)</f>
        <v/>
      </c>
      <c r="BW96" s="236" t="str">
        <f aca="false">IF(BR96=0,"",-0.00000000033126390082*BR96^6 + 0.00000010463660614506*BR96^5 - 0.0000129629592998707*BR96^4 + 0.000803946335250767*BR96^3 - 0.0270257140395994*BR96^2 + 0.562590210721552*BR96+ 12.1254107606419)</f>
        <v/>
      </c>
      <c r="BX96" s="236" t="str">
        <f aca="false">IF(BR96=0,"",-0.00000000002593504955*BR96^6 + 0.00000002430495156704*BR96^5 - 0.00000386103271086364*BR96^4 + 0.000214416118986322*BR96^3 - 0.0047271462612021*BR96^2 + 0.156696175741135*BR96 + 15.4598891949502)</f>
        <v/>
      </c>
      <c r="BY96" s="234" t="str">
        <f aca="false">IF(BR96=0,"",$BS$2)</f>
        <v/>
      </c>
      <c r="BZ96" s="234" t="str">
        <f aca="false">IF(BR96=0,"",$BS$3)</f>
        <v/>
      </c>
      <c r="CA96" s="234" t="str">
        <f aca="false">IF(BR96=0,"",$BS$4)</f>
        <v/>
      </c>
      <c r="CB96" s="235" t="str">
        <f aca="false">IF(BR96=0,"",IF(AND(BO96&gt;=0,BO96&lt;4),0.75,IF(AND(BO96&gt;=4,BO96&lt;6),0.85,IF(AND(BO96&gt;=6,BO96&lt;=10),0.95,1))))</f>
        <v/>
      </c>
      <c r="CC96" s="234" t="str">
        <f aca="false">IF(BR96=0,"",BR96*BY96*BZ96*CA96*CB96/60)</f>
        <v/>
      </c>
      <c r="CD96" s="238" t="str">
        <f aca="false">IF(BR96=0,"",IF($S$12="NO","NO",IF($AD$12&lt;=BO96,"SI","NO")))</f>
        <v/>
      </c>
      <c r="CE96" s="235" t="n">
        <f aca="false">IF(BR96=0,0,AB96)</f>
        <v>0</v>
      </c>
      <c r="CF96" s="235" t="n">
        <f aca="false">IF(CE96&gt;0,BO96,0)</f>
        <v>0</v>
      </c>
      <c r="CG96" s="239" t="n">
        <f aca="false">IF(CF96=0,CF96+CG95,CF96)</f>
        <v>0</v>
      </c>
      <c r="CH96" s="239" t="n">
        <f aca="false">IF(CG96=CG95,CH95,ABS(CG96-CG95))</f>
        <v>0</v>
      </c>
      <c r="CI96" s="239" t="n">
        <f aca="false">+CE96*CH96</f>
        <v>0</v>
      </c>
      <c r="CJ96" s="239" t="n">
        <f aca="false">IF(CI96=0,CI96+CJ95,CI96)</f>
        <v>0</v>
      </c>
      <c r="CK96" s="239" t="n">
        <f aca="false">IF(CJ96=CJ95,CK95,ABS(CJ96+CK95))</f>
        <v>0</v>
      </c>
      <c r="CL96" s="241" t="n">
        <f aca="false">IF(CE96=0,0,CK96)</f>
        <v>0</v>
      </c>
      <c r="CM96" s="239" t="n">
        <f aca="false">IF(CE96=0,0,CH96*9.81)</f>
        <v>0</v>
      </c>
      <c r="CN96" s="239" t="n">
        <f aca="false">IF(CM96=0,CM96+CN95,CM96)</f>
        <v>0</v>
      </c>
      <c r="CO96" s="239" t="n">
        <f aca="false">IF(CN96=CN95,CO95,ABS(CN96+CO95))</f>
        <v>0</v>
      </c>
      <c r="CP96" s="241" t="n">
        <f aca="false">IF(CD96="NO",0,IF(CE96=0,0,CO96))</f>
        <v>0</v>
      </c>
      <c r="CQ96" s="244" t="str">
        <f aca="false">IF(BR96=0,"",CL96-CP96)</f>
        <v/>
      </c>
      <c r="CR96" s="244" t="str">
        <f aca="false">IF(BR96=0,"",CQ96/101.3)</f>
        <v/>
      </c>
      <c r="CS96" s="244" t="str">
        <f aca="false">IF(BR96=0,"",LOG(10/CR96))</f>
        <v/>
      </c>
      <c r="CT96" s="243" t="str">
        <f aca="false">IF(BR96=0,"",IF(SQRT(101.3/CQ96)&lt;=1.7,SQRT(101.3/CQ96),2.2/(1.2+(CQ96/101.3))))</f>
        <v/>
      </c>
      <c r="CU96" s="244" t="str">
        <f aca="false">IF(BR96=0,"",1.7/(0.7+CR96))</f>
        <v/>
      </c>
      <c r="CV96" s="244" t="str">
        <f aca="false">IF(BR96=0,"",IF(CR96&gt;=0.25,0.77*LOG(20/CR96),""))</f>
        <v/>
      </c>
      <c r="CW96" s="244" t="str">
        <f aca="false">IF(BR96=0,"",32.5/(10.2+20.3*CR96))</f>
        <v/>
      </c>
      <c r="CX96" s="244" t="str">
        <f aca="false">IF(BR96=0,"",1-1.25*LOG(CR96))</f>
        <v/>
      </c>
      <c r="CY96" s="244" t="str">
        <f aca="false">IF(BR96=0,"",IF(CR96&lt;1,1-1.41*LOG(CR96),1+0.92*LOG(CR96)))</f>
        <v/>
      </c>
      <c r="CZ96" s="244" t="str">
        <f aca="false">IF(BR96=0,"",2/(1+CR96))</f>
        <v/>
      </c>
      <c r="DA96" s="244" t="str">
        <f aca="false">IF(BR96=0,"",IF(CR96&lt;=0.75,4/(1+4*CR96),4/(3.25+CR96)))</f>
        <v/>
      </c>
      <c r="DB96" s="244" t="str">
        <f aca="false">IF(BR96=0,"",CT96)</f>
        <v/>
      </c>
      <c r="DC96" s="244" t="str">
        <f aca="false">IF(BR96=0,"",DB96*CC96)</f>
        <v/>
      </c>
      <c r="DD96" s="244"/>
      <c r="DE96" s="244" t="str">
        <f aca="false">IF(BR96=0,"",0.193*(CC96/(CQ96*0.001))^0.689)</f>
        <v/>
      </c>
      <c r="DF96" s="244" t="str">
        <f aca="false">IF(BR96=0,"",IF(AS96=$AX$4,(0.1348118*CC96 - 0.0383065)*98.0665,""))</f>
        <v/>
      </c>
      <c r="DG96" s="244" t="str">
        <f aca="false">IF(BR96=0,"",IF(AS96=$AX$4,DF96/2,""))</f>
        <v/>
      </c>
      <c r="DH96" s="244" t="str">
        <f aca="false">IF(BR96=0,"",IF(DC96&lt;=15,12*(DC96+6),40+12*(DC96-6)))</f>
        <v/>
      </c>
      <c r="DI96" s="244" t="str">
        <f aca="false">IF(BR96=0,"",IF(CD96="SI",5*(DC96+15),((3.3*(DC96+15))+(4*(DC96+12)))/2))</f>
        <v/>
      </c>
      <c r="DJ96" s="244" t="str">
        <f aca="false">IF(BR96=0,"",8*DC96)</f>
        <v/>
      </c>
      <c r="DK96" s="244" t="str">
        <f aca="false">IF(BR96=0,"",215+(10.6*DC96))</f>
        <v/>
      </c>
      <c r="DL96" s="244" t="str">
        <f aca="false">IF(BR96=0,"",10*(7.5+(0.5*DC96)))</f>
        <v/>
      </c>
      <c r="DM96" s="244" t="str">
        <f aca="false">IF(BR96=0,"",8*DC96)</f>
        <v/>
      </c>
      <c r="DN96" s="244" t="str">
        <f aca="false">IF(AW96=" "," ",IF(DC96=""," ",IF(DC96&lt;4,10*10.2,IF(DC96=4,12*10.2,IF(DC96&lt;10,17.5*10.5,IF(DC96=10,15*10.2,IF(DC96&lt;30,22.5*10.2,IF(DC96=30,35*10.2,IF(DC96&lt;50,40*10.2,IF(DC96=50,50*10.2,55*10.2))))))))))</f>
        <v> </v>
      </c>
      <c r="DO96" s="244" t="str">
        <f aca="false">IF(BR96=0,"",7*SQRT(DC96)*10.1972)</f>
        <v/>
      </c>
      <c r="DP96" s="244" t="str">
        <f aca="false">IF(BR96=0,"",IF(AS96=$AX$4,5*CC96,""))</f>
        <v/>
      </c>
      <c r="DQ96" s="244" t="str">
        <f aca="false">IF(AW96=" "," ",IF(DC96=""," ",IF(DC96&lt;2,4*10.2,IF(DC96=2,6*10.2,IF(DC96&lt;4,12*10.2,IF(DC96=4,20*10.2,IF(DC96&lt;8,30*10.2,IF(DC96=8,35*10.2,IF(DC96&lt;15,40*10.2,IF(DC96=15,42*10.2,IF(DC96&lt;30,45*10.2,IF(DC96=30,50*10.2,70*10.2))))))))))))</f>
        <v> </v>
      </c>
      <c r="DR96" s="244" t="str">
        <f aca="false">IF(BR96=0,"",IF(AS96=$AX$4,220*DP96*0.0101972,""))</f>
        <v/>
      </c>
      <c r="DS96" s="271" t="str">
        <f aca="false">IF(BR96=0,"",IF(AS96=$AX$7,(SUM(DH96:DO96)-MIN(DH96:DO96)-MAX(DH96:DO96))/6,(SUM(DO96:DR96)-MIN(DO96:DR96)-MAX(DO96:DR96))/2))</f>
        <v/>
      </c>
      <c r="DT96" s="244" t="str">
        <f aca="false">IF(AW96=" "," ",IF(DC96=""," ",IF(DC96&lt;4,0.2,IF(DC96=4,0.27,IF(DC96&lt;10,0.33,IF(DC96=10,0.35,IF(DC96&lt;30,0.36,IF(DC96=30,0.37,IF(DC96&lt;50,0.38,IF(DC96=50,0.4,0.45))))))))))</f>
        <v> </v>
      </c>
      <c r="DU96" s="272" t="str">
        <f aca="false">IF(AW96=" "," ",IF(CC96=""," ",IF(CC96&lt;2,0.2,IF(CC96=2,0.23,IF(CC96&lt;4,0.26,IF(CC96=4,0.29,IF(CC96&lt;8,0.32,IF(CC96=8,0.35,IF(CC96&lt;15,0.38,IF(CC96=15,0.41,IF(CC96&lt;30,0.44,IF(CC96=30,0.47,0.5))))))))))))</f>
        <v> </v>
      </c>
      <c r="DV96" s="244" t="str">
        <f aca="false">IF(BR96=0,"",IF(AS96=$AX$3,DT96,DU96))</f>
        <v/>
      </c>
      <c r="DW96" s="244" t="str">
        <f aca="false">IF(BR96=0,"",IF(DC96&gt;15,15+0.5*(DC96-15),DC96))</f>
        <v/>
      </c>
      <c r="DX96" s="244" t="str">
        <f aca="false">IF(BR96=0,"",IF($S$12="SI",IF(CD96="NO",IF($AD$12&gt;(BO96+1.5*$ED$15),1,0.5),0.5),1))</f>
        <v/>
      </c>
      <c r="DY96" s="244" t="str">
        <f aca="false">IF(BR96=0,"",IF($S$12="SI",IF(CD96="NO",IF($AD$12&gt;(BO96+1.5*$EE$15),1,0.5),0.5),1))</f>
        <v/>
      </c>
      <c r="DZ96" s="244" t="str">
        <f aca="false">IF(BR96=0,"",IF($S$12="SI",IF(CD96="NO",IF($AD$12&gt;(BO96+1.5*$EF$15),1,0.5),0.5),1))</f>
        <v/>
      </c>
      <c r="EA96" s="244" t="str">
        <f aca="false">IF(BR96=0,"",IF($S$12="SI",IF(CD96="NO",IF($AD$12&gt;(BO96+1.5*$ED$15),1,0.5),IF($AD$12=BO96,1,0.5)),1))</f>
        <v/>
      </c>
      <c r="EB96" s="244" t="str">
        <f aca="false">IF(BR96=0,"",IF($S$12="SI",IF(CD96="NO",IF($AD$12&gt;(BO96+1.5*$EE$15),1,0.5),IF($AD$12=BO96,1,0.5)),1))</f>
        <v/>
      </c>
      <c r="EC96" s="244" t="str">
        <f aca="false">IF(BR96=0,"",IF($S$12="SI",IF(CD96="NO",IF($AD$12&gt;(BO96+1.5*$EF$15),1,0.5),IF($AD$12=BO96,1,0.5)),1))</f>
        <v/>
      </c>
      <c r="ED96" s="244" t="str">
        <f aca="false">IF(BR96=0,"",(DW96*($ED$15/10)*(DX96+EA96*(BO96/$ED$15))*1)/3)</f>
        <v/>
      </c>
      <c r="EE96" s="244" t="str">
        <f aca="false">IF(BR96=0,"",(DW96*($EE$15/10)*(DY96+EB96*(BO96/$EE$15))*1)/3)</f>
        <v/>
      </c>
      <c r="EF96" s="244" t="str">
        <f aca="false">IF(BR96=0,"",(DW96*($EF$15/10)*(DZ96+EC96*(BO96/$EF$15))*1)/3)</f>
        <v/>
      </c>
      <c r="EG96" s="273" t="str">
        <f aca="false">IF(BR96=0,"",IF(CD96="SI",0.5,1))</f>
        <v/>
      </c>
      <c r="EH96" s="244" t="str">
        <f aca="false">IF(BR96=0,"",IF((1+0.33*(BO96/$ED$15))&lt;=1.33,(1+0.33*(BO96/$ED$15)),1.33))</f>
        <v/>
      </c>
      <c r="EI96" s="244" t="str">
        <f aca="false">IF(BR96=0,"",IF((1+0.33*(BO96/$EE$15))&lt;=1.33,(1+0.33*(BO96/$EE$15)),1.33))</f>
        <v/>
      </c>
      <c r="EJ96" s="244" t="str">
        <f aca="false">IF(BR96=0,"",IF((1+0.33*(BO96/$EF$15))&lt;=1.33,(1+0.33*(BO96/$EF$15)),1.33))</f>
        <v/>
      </c>
      <c r="EK96" s="244" t="str">
        <f aca="false">IF(BR96=0,"",IF($ED$15&lt;=1.2,((20*DC96*EG96*EH96)/3)*0.010197,((12.5*DC96*((($ED$15+0.3)^2)/$ED$15)*EG96*EH96)/3)*0.010197))</f>
        <v/>
      </c>
      <c r="EL96" s="244" t="str">
        <f aca="false">IF(BR96=0,"",IF($EE$15&lt;=1.2,((20*DC96*EG96*EI96)/3)*0.010197,((12.5*DC96*((($EE$15+0.3)^2)/$EE$15)*EG96*EI96)/3)*0.010197))</f>
        <v/>
      </c>
      <c r="EM96" s="244" t="str">
        <f aca="false">IF(BR96=0,"",IF($EF$15&lt;=1.2,((20*DC96*EG96*EJ96)/3)*0.010197,((12.5*DC96*((($EF$15+0.3)^2)/$EF$15)*EG96*EJ96)/3)*0.010197))</f>
        <v/>
      </c>
      <c r="EN96" s="248" t="str">
        <f aca="false">IF(BR96=0,"",SQRT(12*CC96)+25)</f>
        <v/>
      </c>
      <c r="EO96" s="248" t="str">
        <f aca="false">IF(BR96=0,"",28.5+0.25*CC96)</f>
        <v/>
      </c>
      <c r="EP96" s="248" t="str">
        <f aca="false">IF(BR96=0,"",SQRT(20*CC96)+15)</f>
        <v/>
      </c>
      <c r="EQ96" s="248" t="str">
        <f aca="false">IF(BR96=0,"",23.7+0.57*CC96-0.0006*CC96*CC96)</f>
        <v/>
      </c>
      <c r="ER96" s="248" t="str">
        <f aca="false">IF(BR96=0,"",15+SQRT(12.5*DC96))</f>
        <v/>
      </c>
      <c r="ES96" s="248" t="str">
        <f aca="false">IF(BR96=0,"",3.5*SQRT(CC96)+20)</f>
        <v/>
      </c>
      <c r="ET96" s="248" t="str">
        <f aca="false">IF(BR96=0,"",27.1+0.3*DC96-0.00054*DC96*DC96)</f>
        <v/>
      </c>
      <c r="EU96" s="248" t="str">
        <f aca="false">IF(BR96=0,"",SQRT(20*CC96)+20)</f>
        <v/>
      </c>
      <c r="EV96" s="248" t="str">
        <f aca="false">IF(BR96=0,"",12.79+SQRT(25.86*CC96))</f>
        <v/>
      </c>
      <c r="EW96" s="248" t="str">
        <f aca="false">IF(BR96=0,"",DEGREES(_xlfn.ACOT((CC96/(12.2+20.3*CR96))^0.34)))</f>
        <v/>
      </c>
      <c r="EX96" s="248" t="str">
        <f aca="false">IF(BR96=0,"",24+(5.77*LN(0.17*DC96)))</f>
        <v/>
      </c>
      <c r="EY96" s="248" t="str">
        <f aca="false">IF(BR96=0,"",(SUM(EN96:EX96)-MIN(EN96:EX96)-MAX(EN96:EX96))/9)</f>
        <v/>
      </c>
      <c r="EZ96" s="248" t="str">
        <f aca="false">IF(BR96=0,"", -0.0000000034*CC96^6 + 0.0000008305*CC96^5 - 0.0000741842*CC96^4 + 0.0030204278*CC96^3 - 0.0541594733*CC96^2 + 0.8083147848*CC96 - 0.6182191243)</f>
        <v/>
      </c>
      <c r="FA96" s="249" t="str">
        <f aca="false">IF(BR96=0,"",(0.134811827956989*CC96 - 0.0383064516129019)/2)</f>
        <v/>
      </c>
      <c r="FB96" s="249" t="str">
        <f aca="false">IF(BR96=0,"",CC96*0.065)</f>
        <v/>
      </c>
      <c r="FC96" s="249" t="str">
        <f aca="false">IF(BR96=0,"",(CC96*0.12*0.48)*SQRT((1+SIN(EZ96*((2*PI())/360))/(1-SIN(EZ96*((2*PI())/360))))))</f>
        <v/>
      </c>
      <c r="FD96" s="249" t="str">
        <f aca="false">IF(BR96=0,"",(CC96/8)/2)</f>
        <v/>
      </c>
      <c r="FE96" s="249" t="str">
        <f aca="false">IF(BR96=0,"",(SUM(FA96:FD96)-MIN(FA96:FD96)-MAX(FA96:FD96))/2)</f>
        <v/>
      </c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</row>
    <row r="97" customFormat="false" ht="9.75" hidden="false" customHeight="true" outlineLevel="0" collapsed="false">
      <c r="A97" s="197" t="n">
        <f aca="false">ROUND(A96+0.1,1)</f>
        <v>8</v>
      </c>
      <c r="B97" s="281" t="n">
        <f aca="false">+A97</f>
        <v>8</v>
      </c>
      <c r="C97" s="291"/>
      <c r="D97" s="292"/>
      <c r="E97" s="252"/>
      <c r="F97" s="253"/>
      <c r="G97" s="254"/>
      <c r="H97" s="284"/>
      <c r="I97" s="285"/>
      <c r="J97" s="257"/>
      <c r="K97" s="258"/>
      <c r="L97" s="259"/>
      <c r="M97" s="276"/>
      <c r="N97" s="277"/>
      <c r="O97" s="277"/>
      <c r="P97" s="277"/>
      <c r="Q97" s="293"/>
      <c r="R97" s="278"/>
      <c r="S97" s="278"/>
      <c r="T97" s="295"/>
      <c r="U97" s="295"/>
      <c r="V97" s="296"/>
      <c r="W97" s="296"/>
      <c r="X97" s="296"/>
      <c r="Y97" s="296"/>
      <c r="Z97" s="296"/>
      <c r="AA97" s="296"/>
      <c r="AB97" s="297"/>
      <c r="AC97" s="298"/>
      <c r="AD97" s="299"/>
      <c r="AE97" s="298"/>
      <c r="AF97" s="300"/>
      <c r="AG97" s="267"/>
      <c r="AH97" s="267"/>
      <c r="AI97" s="241"/>
      <c r="AJ97" s="241"/>
      <c r="AK97" s="266"/>
      <c r="AL97" s="266"/>
      <c r="AM97" s="268"/>
      <c r="AN97" s="281" t="n">
        <f aca="false">+AN95+0.2</f>
        <v>8</v>
      </c>
      <c r="AO97" s="291"/>
      <c r="AP97" s="292"/>
      <c r="AQ97" s="252"/>
      <c r="AR97" s="253"/>
      <c r="AS97" s="269" t="s">
        <v>13</v>
      </c>
      <c r="AT97" s="221"/>
      <c r="AU97" s="269"/>
      <c r="AV97" s="269"/>
      <c r="AW97" s="270" t="n">
        <f aca="false">+K97+L97</f>
        <v>0</v>
      </c>
      <c r="AX97" s="270" t="str">
        <f aca="false">IF(AS97="&gt;50","CONSISTENCIA",IF(AS97="&lt;50","COMPACIDAD"," "))</f>
        <v>COMPACIDAD</v>
      </c>
      <c r="AY97" s="225" t="str">
        <f aca="false">IF(AS97="&gt;50",AZ97,IF(AS97="&lt;50",BA97," "))</f>
        <v> </v>
      </c>
      <c r="AZ97" s="224" t="str">
        <f aca="false">IF(AW97=" "," ",IF(CC97=""," ",IF(CC97&lt;2,"MUY BLANDA",IF(CC97=2,"MUY BLANDA A BLANDA",IF(CC97&lt;4,"BLANDA",IF(CC97=4,"BLANDA A MEDIA",IF(CC97&lt;8,"MEDIA",IF(CC97=8,"MEDIA A FIRME",IF(CC97&lt;15,"FIRME",IF(CC97=15,"FIRME A MUY FIRME",IF(CC97&lt;30,"MUY FIRME",IF(CC97=30,"MUY FIRME A DURA","DURA"))))))))))))</f>
        <v> </v>
      </c>
      <c r="BA97" s="225" t="str">
        <f aca="false">IF(AW97=" "," ",IF(DC97=""," ",IF(DC97&lt;4,"MUY SUELTA",IF(DC97=4,"MUY SUELTA A SUELTA",IF(DC97&lt;10,"SUELTA",IF(DC97=10,"SUELTA A MEDIA",IF(DC97&lt;30,"MEDIA",IF(DC97=30,"MEDIA A DENSO",IF(DC97&lt;50,"DENSO",IF(DC97=50,"DENSO MUY DENSO","MUY DENSO"))))))))))</f>
        <v> </v>
      </c>
      <c r="BB97" s="190" t="str">
        <f aca="false">IF(BR98=0,"",CQ98*0.0101972)</f>
        <v/>
      </c>
      <c r="BC97" s="227" t="n">
        <f aca="false">+BC96+0.1</f>
        <v>7.99999999999999</v>
      </c>
      <c r="BD97" s="227" t="str">
        <f aca="false">IF(BC97&lt;=$AN$10,BC97,"")</f>
        <v/>
      </c>
      <c r="BE97" s="228" t="n">
        <f aca="false">ISNUMBER(BD97)</f>
        <v>0</v>
      </c>
      <c r="BF97" s="229" t="str">
        <f aca="false">MID(M97,1,1)</f>
        <v/>
      </c>
      <c r="BG97" s="230" t="str">
        <f aca="false">IF(BF97="S","",IF(BF97="G","",MID(M97,2,1)))</f>
        <v/>
      </c>
      <c r="BH97" s="231" t="str">
        <f aca="false">CONCATENATE(BF97,BG97)</f>
        <v/>
      </c>
      <c r="BI97" s="6" t="str">
        <f aca="false">IF(BE97=FALSE(),"",IF(BH97="",BI96,BH97))</f>
        <v/>
      </c>
      <c r="BJ97" s="74" t="str">
        <f aca="false">IF(OR(BI97="S",BI97="G"),BI97,"X")</f>
        <v>X</v>
      </c>
      <c r="BK97" s="74" t="s">
        <v>257</v>
      </c>
      <c r="BL97" s="311" t="e">
        <f aca="false">INDEX(sim_0,MATCH($BJ$97,granular,0))</f>
        <v>#NAME?</v>
      </c>
      <c r="BM97" s="311"/>
      <c r="BN97" s="6"/>
      <c r="BO97" s="191" t="n">
        <f aca="false">BO96+0.1</f>
        <v>7.99999999999999</v>
      </c>
      <c r="BP97" s="233" t="e">
        <f aca="false">IF(AW97=0,NA(),IF(AS97=$AX$3,ROUND(DC97,0),NA()))</f>
        <v>#N/A</v>
      </c>
      <c r="BQ97" s="31" t="e">
        <f aca="false">IF(AW97=0,NA(),IF(AS97=$AX$4,ROUND(CC97,0),NA()))</f>
        <v>#N/A</v>
      </c>
      <c r="BR97" s="234" t="n">
        <f aca="false">+AW97</f>
        <v>0</v>
      </c>
      <c r="BS97" s="235" t="str">
        <f aca="false">IF(BR97=0,"", -0.00000000016128755327*CC97^6 + 0.00000006709386362421*CC97^5 - 0.0000106217678052217*CC97^4 + 0.00081068114193385*CC97^3 - 0.0314027378159951*CC97^2 + 0.649796593937842*CC97 + 13.7888866455022)</f>
        <v/>
      </c>
      <c r="BT97" s="235" t="str">
        <f aca="false">IF(BR97=0,"",-0.00000000014625939695*CC97^6 + 0.00000004971732060241*CC97^5 - 0.000006683744342031*CC97^4 + 0.0004563177378098*CC97^3 - 0.0171727530635803*CC97^2 + 0.444529932876435*CC97 + 15.6692518940565)</f>
        <v/>
      </c>
      <c r="BU97" s="236" t="str">
        <f aca="false">IF(BR97=0,"", -0.0000000008152265738*BR97^6 + 0.00000022764320256987*BR97^5 - 0.0000248205675927705*BR97^4 + 0.00133186623684865*BR97^3 - 0.0368442570441677*BR97^2 + 0.580111565569094*BR97 + 14.0417598296107)</f>
        <v/>
      </c>
      <c r="BV97" s="236" t="str">
        <f aca="false">IF(BR97=0,"", -0.00000000004321395721*BR97^6 + 0.00000002531844275498*BR97^5 - 0.00000369428022780862*BR97^4 + 0.00020283665900125*BR97^3 - 0.00462426256803268*BR97^2 + 0.139572935065453*BR97 + 15.4475338156923)</f>
        <v/>
      </c>
      <c r="BW97" s="236" t="str">
        <f aca="false">IF(BR97=0,"",-0.00000000033126390082*BR97^6 + 0.00000010463660614506*BR97^5 - 0.0000129629592998707*BR97^4 + 0.000803946335250767*BR97^3 - 0.0270257140395994*BR97^2 + 0.562590210721552*BR97+ 12.1254107606419)</f>
        <v/>
      </c>
      <c r="BX97" s="236" t="str">
        <f aca="false">IF(BR97=0,"",-0.00000000002593504955*BR97^6 + 0.00000002430495156704*BR97^5 - 0.00000386103271086364*BR97^4 + 0.000214416118986322*BR97^3 - 0.0047271462612021*BR97^2 + 0.156696175741135*BR97 + 15.4598891949502)</f>
        <v/>
      </c>
      <c r="BY97" s="234" t="str">
        <f aca="false">IF(BR97=0,"",$BS$2)</f>
        <v/>
      </c>
      <c r="BZ97" s="234" t="str">
        <f aca="false">IF(BR97=0,"",$BS$3)</f>
        <v/>
      </c>
      <c r="CA97" s="234" t="str">
        <f aca="false">IF(BR97=0,"",$BS$4)</f>
        <v/>
      </c>
      <c r="CB97" s="235" t="str">
        <f aca="false">IF(BR97=0,"",IF(AND(BO97&gt;=0,BO97&lt;4),0.75,IF(AND(BO97&gt;=4,BO97&lt;6),0.85,IF(AND(BO97&gt;=6,BO97&lt;=10),0.95,1))))</f>
        <v/>
      </c>
      <c r="CC97" s="234" t="str">
        <f aca="false">IF(BR97=0,"",BR97*BY97*BZ97*CA97*CB97/60)</f>
        <v/>
      </c>
      <c r="CD97" s="238" t="str">
        <f aca="false">IF(BR97=0,"",IF($S$12="NO","NO",IF($AD$12&lt;=BO97,"SI","NO")))</f>
        <v/>
      </c>
      <c r="CE97" s="235" t="n">
        <f aca="false">IF(BR97=0,0,AB97)</f>
        <v>0</v>
      </c>
      <c r="CF97" s="235" t="n">
        <f aca="false">IF(CE97&gt;0,BO97,0)</f>
        <v>0</v>
      </c>
      <c r="CG97" s="239" t="n">
        <f aca="false">IF(CF97=0,CF97+CG96,CF97)</f>
        <v>0</v>
      </c>
      <c r="CH97" s="239" t="n">
        <f aca="false">IF(CG97=CG96,CH96,ABS(CG97-CG96))</f>
        <v>0</v>
      </c>
      <c r="CI97" s="239" t="n">
        <f aca="false">+CE97*CH97</f>
        <v>0</v>
      </c>
      <c r="CJ97" s="239" t="n">
        <f aca="false">IF(CI97=0,CI97+CJ96,CI97)</f>
        <v>0</v>
      </c>
      <c r="CK97" s="239" t="n">
        <f aca="false">IF(CJ97=CJ96,CK96,ABS(CJ97+CK96))</f>
        <v>0</v>
      </c>
      <c r="CL97" s="241" t="n">
        <f aca="false">IF(CE97=0,0,CK97)</f>
        <v>0</v>
      </c>
      <c r="CM97" s="239" t="n">
        <f aca="false">IF(CE97=0,0,CH97*9.81)</f>
        <v>0</v>
      </c>
      <c r="CN97" s="239" t="n">
        <f aca="false">IF(CM97=0,CM97+CN96,CM97)</f>
        <v>0</v>
      </c>
      <c r="CO97" s="239" t="n">
        <f aca="false">IF(CN97=CN96,CO96,ABS(CN97+CO96))</f>
        <v>0</v>
      </c>
      <c r="CP97" s="241" t="n">
        <f aca="false">IF(CD97="NO",0,IF(CE97=0,0,CO97))</f>
        <v>0</v>
      </c>
      <c r="CQ97" s="244" t="str">
        <f aca="false">IF(BR97=0,"",CL97-CP97)</f>
        <v/>
      </c>
      <c r="CR97" s="244" t="str">
        <f aca="false">IF(BR97=0,"",CQ97/101.3)</f>
        <v/>
      </c>
      <c r="CS97" s="244" t="str">
        <f aca="false">IF(BR97=0,"",LOG(10/CR97))</f>
        <v/>
      </c>
      <c r="CT97" s="243" t="str">
        <f aca="false">IF(BR97=0,"",IF(SQRT(101.3/CQ97)&lt;=1.7,SQRT(101.3/CQ97),2.2/(1.2+(CQ97/101.3))))</f>
        <v/>
      </c>
      <c r="CU97" s="244" t="str">
        <f aca="false">IF(BR97=0,"",1.7/(0.7+CR97))</f>
        <v/>
      </c>
      <c r="CV97" s="244" t="str">
        <f aca="false">IF(BR97=0,"",IF(CR97&gt;=0.25,0.77*LOG(20/CR97),""))</f>
        <v/>
      </c>
      <c r="CW97" s="244" t="str">
        <f aca="false">IF(BR97=0,"",32.5/(10.2+20.3*CR97))</f>
        <v/>
      </c>
      <c r="CX97" s="244" t="str">
        <f aca="false">IF(BR97=0,"",1-1.25*LOG(CR97))</f>
        <v/>
      </c>
      <c r="CY97" s="244" t="str">
        <f aca="false">IF(BR97=0,"",IF(CR97&lt;1,1-1.41*LOG(CR97),1+0.92*LOG(CR97)))</f>
        <v/>
      </c>
      <c r="CZ97" s="244" t="str">
        <f aca="false">IF(BR97=0,"",2/(1+CR97))</f>
        <v/>
      </c>
      <c r="DA97" s="244" t="str">
        <f aca="false">IF(BR97=0,"",IF(CR97&lt;=0.75,4/(1+4*CR97),4/(3.25+CR97)))</f>
        <v/>
      </c>
      <c r="DB97" s="244" t="str">
        <f aca="false">IF(BR97=0,"",CT97)</f>
        <v/>
      </c>
      <c r="DC97" s="244" t="str">
        <f aca="false">IF(BR97=0,"",DB97*CC97)</f>
        <v/>
      </c>
      <c r="DD97" s="244"/>
      <c r="DE97" s="244" t="str">
        <f aca="false">IF(BR97=0,"",0.193*(CC97/(CQ97*0.001))^0.689)</f>
        <v/>
      </c>
      <c r="DF97" s="244" t="str">
        <f aca="false">IF(BR97=0,"",IF(AS97=$AX$4,(0.1348118*CC97 - 0.0383065)*98.0665,""))</f>
        <v/>
      </c>
      <c r="DG97" s="244" t="str">
        <f aca="false">IF(BR97=0,"",IF(AS97=$AX$4,DF97/2,""))</f>
        <v/>
      </c>
      <c r="DH97" s="244" t="str">
        <f aca="false">IF(BR97=0,"",IF(DC97&lt;=15,12*(DC97+6),40+12*(DC97-6)))</f>
        <v/>
      </c>
      <c r="DI97" s="244" t="str">
        <f aca="false">IF(BR97=0,"",IF(CD97="SI",5*(DC97+15),((3.3*(DC97+15))+(4*(DC97+12)))/2))</f>
        <v/>
      </c>
      <c r="DJ97" s="244" t="str">
        <f aca="false">IF(BR97=0,"",8*DC97)</f>
        <v/>
      </c>
      <c r="DK97" s="244" t="str">
        <f aca="false">IF(BR97=0,"",215+(10.6*DC97))</f>
        <v/>
      </c>
      <c r="DL97" s="244" t="str">
        <f aca="false">IF(BR97=0,"",10*(7.5+(0.5*DC97)))</f>
        <v/>
      </c>
      <c r="DM97" s="244" t="str">
        <f aca="false">IF(BR97=0,"",8*DC97)</f>
        <v/>
      </c>
      <c r="DN97" s="244" t="str">
        <f aca="false">IF(AW97=" "," ",IF(DC97=""," ",IF(DC97&lt;4,10*10.2,IF(DC97=4,12*10.2,IF(DC97&lt;10,17.5*10.5,IF(DC97=10,15*10.2,IF(DC97&lt;30,22.5*10.2,IF(DC97=30,35*10.2,IF(DC97&lt;50,40*10.2,IF(DC97=50,50*10.2,55*10.2))))))))))</f>
        <v> </v>
      </c>
      <c r="DO97" s="244" t="str">
        <f aca="false">IF(BR97=0,"",7*SQRT(DC97)*10.1972)</f>
        <v/>
      </c>
      <c r="DP97" s="244" t="str">
        <f aca="false">IF(BR97=0,"",IF(AS97=$AX$4,5*CC97,""))</f>
        <v/>
      </c>
      <c r="DQ97" s="244" t="str">
        <f aca="false">IF(AW97=" "," ",IF(DC97=""," ",IF(DC97&lt;2,4*10.2,IF(DC97=2,6*10.2,IF(DC97&lt;4,12*10.2,IF(DC97=4,20*10.2,IF(DC97&lt;8,30*10.2,IF(DC97=8,35*10.2,IF(DC97&lt;15,40*10.2,IF(DC97=15,42*10.2,IF(DC97&lt;30,45*10.2,IF(DC97=30,50*10.2,70*10.2))))))))))))</f>
        <v> </v>
      </c>
      <c r="DR97" s="244" t="str">
        <f aca="false">IF(BR97=0,"",IF(AS97=$AX$4,220*DP97*0.0101972,""))</f>
        <v/>
      </c>
      <c r="DS97" s="271" t="str">
        <f aca="false">IF(BR97=0,"",IF(AS97=$AX$7,(SUM(DH97:DO97)-MIN(DH97:DO97)-MAX(DH97:DO97))/6,(SUM(DO97:DR97)-MIN(DO97:DR97)-MAX(DO97:DR97))/2))</f>
        <v/>
      </c>
      <c r="DT97" s="244" t="str">
        <f aca="false">IF(AW97=" "," ",IF(DC97=""," ",IF(DC97&lt;4,0.2,IF(DC97=4,0.27,IF(DC97&lt;10,0.33,IF(DC97=10,0.35,IF(DC97&lt;30,0.36,IF(DC97=30,0.37,IF(DC97&lt;50,0.38,IF(DC97=50,0.4,0.45))))))))))</f>
        <v> </v>
      </c>
      <c r="DU97" s="272" t="str">
        <f aca="false">IF(AW97=" "," ",IF(CC97=""," ",IF(CC97&lt;2,0.2,IF(CC97=2,0.23,IF(CC97&lt;4,0.26,IF(CC97=4,0.29,IF(CC97&lt;8,0.32,IF(CC97=8,0.35,IF(CC97&lt;15,0.38,IF(CC97=15,0.41,IF(CC97&lt;30,0.44,IF(CC97=30,0.47,0.5))))))))))))</f>
        <v> </v>
      </c>
      <c r="DV97" s="244" t="str">
        <f aca="false">IF(BR97=0,"",IF(AS97=$AX$3,DT97,DU97))</f>
        <v/>
      </c>
      <c r="DW97" s="244" t="str">
        <f aca="false">IF(BR97=0,"",IF(DC97&gt;15,15+0.5*(DC97-15),DC97))</f>
        <v/>
      </c>
      <c r="DX97" s="244" t="str">
        <f aca="false">IF(BR97=0,"",IF($S$12="SI",IF(CD97="NO",IF($AD$12&gt;(BO97+1.5*$ED$15),1,0.5),0.5),1))</f>
        <v/>
      </c>
      <c r="DY97" s="244" t="str">
        <f aca="false">IF(BR97=0,"",IF($S$12="SI",IF(CD97="NO",IF($AD$12&gt;(BO97+1.5*$EE$15),1,0.5),0.5),1))</f>
        <v/>
      </c>
      <c r="DZ97" s="244" t="str">
        <f aca="false">IF(BR97=0,"",IF($S$12="SI",IF(CD97="NO",IF($AD$12&gt;(BO97+1.5*$EF$15),1,0.5),0.5),1))</f>
        <v/>
      </c>
      <c r="EA97" s="244" t="str">
        <f aca="false">IF(BR97=0,"",IF($S$12="SI",IF(CD97="NO",IF($AD$12&gt;(BO97+1.5*$ED$15),1,0.5),IF($AD$12=BO97,1,0.5)),1))</f>
        <v/>
      </c>
      <c r="EB97" s="244" t="str">
        <f aca="false">IF(BR97=0,"",IF($S$12="SI",IF(CD97="NO",IF($AD$12&gt;(BO97+1.5*$EE$15),1,0.5),IF($AD$12=BO97,1,0.5)),1))</f>
        <v/>
      </c>
      <c r="EC97" s="244" t="str">
        <f aca="false">IF(BR97=0,"",IF($S$12="SI",IF(CD97="NO",IF($AD$12&gt;(BO97+1.5*$EF$15),1,0.5),IF($AD$12=BO97,1,0.5)),1))</f>
        <v/>
      </c>
      <c r="ED97" s="244" t="str">
        <f aca="false">IF(BR97=0,"",(DW97*($ED$15/10)*(DX97+EA97*(BO97/$ED$15))*1)/3)</f>
        <v/>
      </c>
      <c r="EE97" s="244" t="str">
        <f aca="false">IF(BR97=0,"",(DW97*($EE$15/10)*(DY97+EB97*(BO97/$EE$15))*1)/3)</f>
        <v/>
      </c>
      <c r="EF97" s="244" t="str">
        <f aca="false">IF(BR97=0,"",(DW97*($EF$15/10)*(DZ97+EC97*(BO97/$EF$15))*1)/3)</f>
        <v/>
      </c>
      <c r="EG97" s="273" t="str">
        <f aca="false">IF(BR97=0,"",IF(CD97="SI",0.5,1))</f>
        <v/>
      </c>
      <c r="EH97" s="244" t="str">
        <f aca="false">IF(BR97=0,"",IF((1+0.33*(BO97/$ED$15))&lt;=1.33,(1+0.33*(BO97/$ED$15)),1.33))</f>
        <v/>
      </c>
      <c r="EI97" s="244" t="str">
        <f aca="false">IF(BR97=0,"",IF((1+0.33*(BO97/$EE$15))&lt;=1.33,(1+0.33*(BO97/$EE$15)),1.33))</f>
        <v/>
      </c>
      <c r="EJ97" s="244" t="str">
        <f aca="false">IF(BR97=0,"",IF((1+0.33*(BO97/$EF$15))&lt;=1.33,(1+0.33*(BO97/$EF$15)),1.33))</f>
        <v/>
      </c>
      <c r="EK97" s="244" t="str">
        <f aca="false">IF(BR97=0,"",IF($ED$15&lt;=1.2,((20*DC97*EG97*EH97)/3)*0.010197,((12.5*DC97*((($ED$15+0.3)^2)/$ED$15)*EG97*EH97)/3)*0.010197))</f>
        <v/>
      </c>
      <c r="EL97" s="244" t="str">
        <f aca="false">IF(BR97=0,"",IF($EE$15&lt;=1.2,((20*DC97*EG97*EI97)/3)*0.010197,((12.5*DC97*((($EE$15+0.3)^2)/$EE$15)*EG97*EI97)/3)*0.010197))</f>
        <v/>
      </c>
      <c r="EM97" s="244" t="str">
        <f aca="false">IF(BR97=0,"",IF($EF$15&lt;=1.2,((20*DC97*EG97*EJ97)/3)*0.010197,((12.5*DC97*((($EF$15+0.3)^2)/$EF$15)*EG97*EJ97)/3)*0.010197))</f>
        <v/>
      </c>
      <c r="EN97" s="248" t="str">
        <f aca="false">IF(BR97=0,"",SQRT(12*CC97)+25)</f>
        <v/>
      </c>
      <c r="EO97" s="248" t="str">
        <f aca="false">IF(BR97=0,"",28.5+0.25*CC97)</f>
        <v/>
      </c>
      <c r="EP97" s="248" t="str">
        <f aca="false">IF(BR97=0,"",SQRT(20*CC97)+15)</f>
        <v/>
      </c>
      <c r="EQ97" s="248" t="str">
        <f aca="false">IF(BR97=0,"",23.7+0.57*CC97-0.0006*CC97*CC97)</f>
        <v/>
      </c>
      <c r="ER97" s="248" t="str">
        <f aca="false">IF(BR97=0,"",15+SQRT(12.5*DC97))</f>
        <v/>
      </c>
      <c r="ES97" s="248" t="str">
        <f aca="false">IF(BR97=0,"",3.5*SQRT(CC97)+20)</f>
        <v/>
      </c>
      <c r="ET97" s="248" t="str">
        <f aca="false">IF(BR97=0,"",27.1+0.3*DC97-0.00054*DC97*DC97)</f>
        <v/>
      </c>
      <c r="EU97" s="248" t="str">
        <f aca="false">IF(BR97=0,"",SQRT(20*CC97)+20)</f>
        <v/>
      </c>
      <c r="EV97" s="248" t="str">
        <f aca="false">IF(BR97=0,"",12.79+SQRT(25.86*CC97))</f>
        <v/>
      </c>
      <c r="EW97" s="248" t="str">
        <f aca="false">IF(BR97=0,"",DEGREES(_xlfn.ACOT((CC97/(12.2+20.3*CR97))^0.34)))</f>
        <v/>
      </c>
      <c r="EX97" s="248" t="str">
        <f aca="false">IF(BR97=0,"",24+(5.77*LN(0.17*DC97)))</f>
        <v/>
      </c>
      <c r="EY97" s="248" t="str">
        <f aca="false">IF(BR97=0,"",(SUM(EN97:EX97)-MIN(EN97:EX97)-MAX(EN97:EX97))/9)</f>
        <v/>
      </c>
      <c r="EZ97" s="248" t="str">
        <f aca="false">IF(BR97=0,"", -0.0000000034*CC97^6 + 0.0000008305*CC97^5 - 0.0000741842*CC97^4 + 0.0030204278*CC97^3 - 0.0541594733*CC97^2 + 0.8083147848*CC97 - 0.6182191243)</f>
        <v/>
      </c>
      <c r="FA97" s="249" t="str">
        <f aca="false">IF(BR97=0,"",(0.134811827956989*CC97 - 0.0383064516129019)/2)</f>
        <v/>
      </c>
      <c r="FB97" s="249" t="str">
        <f aca="false">IF(BR97=0,"",CC97*0.065)</f>
        <v/>
      </c>
      <c r="FC97" s="249" t="str">
        <f aca="false">IF(BR97=0,"",(CC97*0.12*0.48)*SQRT((1+SIN(EZ97*((2*PI())/360))/(1-SIN(EZ97*((2*PI())/360))))))</f>
        <v/>
      </c>
      <c r="FD97" s="249" t="str">
        <f aca="false">IF(BR97=0,"",(CC97/8)/2)</f>
        <v/>
      </c>
      <c r="FE97" s="249" t="str">
        <f aca="false">IF(BR97=0,"",(SUM(FA97:FD97)-MIN(FA97:FD97)-MAX(FA97:FD97))/2)</f>
        <v/>
      </c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</row>
    <row r="98" customFormat="false" ht="9.75" hidden="false" customHeight="true" outlineLevel="0" collapsed="false">
      <c r="A98" s="197" t="n">
        <f aca="false">ROUND(A97+0.1,1)</f>
        <v>8.1</v>
      </c>
      <c r="B98" s="281"/>
      <c r="C98" s="251"/>
      <c r="D98" s="283"/>
      <c r="E98" s="199"/>
      <c r="F98" s="200"/>
      <c r="G98" s="254"/>
      <c r="H98" s="284"/>
      <c r="I98" s="285"/>
      <c r="J98" s="257"/>
      <c r="K98" s="258"/>
      <c r="L98" s="259"/>
      <c r="M98" s="276"/>
      <c r="N98" s="277"/>
      <c r="O98" s="277"/>
      <c r="P98" s="277"/>
      <c r="Q98" s="293"/>
      <c r="R98" s="278"/>
      <c r="S98" s="278"/>
      <c r="T98" s="295"/>
      <c r="U98" s="295"/>
      <c r="V98" s="296"/>
      <c r="W98" s="296"/>
      <c r="X98" s="296"/>
      <c r="Y98" s="296"/>
      <c r="Z98" s="296"/>
      <c r="AA98" s="296"/>
      <c r="AB98" s="297"/>
      <c r="AC98" s="298"/>
      <c r="AD98" s="299"/>
      <c r="AE98" s="298"/>
      <c r="AF98" s="300"/>
      <c r="AG98" s="267"/>
      <c r="AH98" s="267"/>
      <c r="AI98" s="241"/>
      <c r="AJ98" s="241"/>
      <c r="AK98" s="266"/>
      <c r="AL98" s="266"/>
      <c r="AM98" s="268"/>
      <c r="AN98" s="281"/>
      <c r="AO98" s="251"/>
      <c r="AP98" s="283"/>
      <c r="AQ98" s="199"/>
      <c r="AR98" s="200"/>
      <c r="AS98" s="269" t="s">
        <v>13</v>
      </c>
      <c r="AT98" s="221"/>
      <c r="AU98" s="269"/>
      <c r="AV98" s="269"/>
      <c r="AW98" s="270" t="n">
        <f aca="false">+K98+L98</f>
        <v>0</v>
      </c>
      <c r="AX98" s="270" t="str">
        <f aca="false">IF(AS98="&gt;50","CONSISTENCIA",IF(AS98="&lt;50","COMPACIDAD"," "))</f>
        <v>COMPACIDAD</v>
      </c>
      <c r="AY98" s="225" t="str">
        <f aca="false">IF(AS98="&gt;50",AZ98,IF(AS98="&lt;50",BA98," "))</f>
        <v> </v>
      </c>
      <c r="AZ98" s="224" t="str">
        <f aca="false">IF(AW98=" "," ",IF(CC98=""," ",IF(CC98&lt;2,"MUY BLANDA",IF(CC98=2,"MUY BLANDA A BLANDA",IF(CC98&lt;4,"BLANDA",IF(CC98=4,"BLANDA A MEDIA",IF(CC98&lt;8,"MEDIA",IF(CC98=8,"MEDIA A FIRME",IF(CC98&lt;15,"FIRME",IF(CC98=15,"FIRME A MUY FIRME",IF(CC98&lt;30,"MUY FIRME",IF(CC98=30,"MUY FIRME A DURA","DURA"))))))))))))</f>
        <v> </v>
      </c>
      <c r="BA98" s="225" t="str">
        <f aca="false">IF(AW98=" "," ",IF(DC98=""," ",IF(DC98&lt;4,"MUY SUELTA",IF(DC98=4,"MUY SUELTA A SUELTA",IF(DC98&lt;10,"SUELTA",IF(DC98=10,"SUELTA A MEDIA",IF(DC98&lt;30,"MEDIA",IF(DC98=30,"MEDIA A DENSO",IF(DC98&lt;50,"DENSO",IF(DC98=50,"DENSO MUY DENSO","MUY DENSO"))))))))))</f>
        <v> </v>
      </c>
      <c r="BB98" s="226" t="str">
        <f aca="false">IF(BR99=0,"",CQ99*0.0101972)</f>
        <v/>
      </c>
      <c r="BC98" s="227" t="n">
        <f aca="false">+BC97+0.1</f>
        <v>8.09999999999999</v>
      </c>
      <c r="BD98" s="227" t="str">
        <f aca="false">IF(BC98&lt;=$AN$10,BC98,"")</f>
        <v/>
      </c>
      <c r="BE98" s="228" t="n">
        <f aca="false">ISNUMBER(BD98)</f>
        <v>0</v>
      </c>
      <c r="BF98" s="229" t="str">
        <f aca="false">MID(M98,1,1)</f>
        <v/>
      </c>
      <c r="BG98" s="230" t="str">
        <f aca="false">IF(BF98="S","",IF(BF98="G","",MID(M98,2,1)))</f>
        <v/>
      </c>
      <c r="BH98" s="231" t="str">
        <f aca="false">CONCATENATE(BF98,BG98)</f>
        <v/>
      </c>
      <c r="BI98" s="6" t="str">
        <f aca="false">IF(BE98=FALSE(),"",IF(BH98="",BI97,BH98))</f>
        <v/>
      </c>
      <c r="BJ98" s="74" t="str">
        <f aca="false">IF(OR(BI98="S",BI98="G"),BI98,"X")</f>
        <v>X</v>
      </c>
      <c r="BK98" s="74" t="s">
        <v>258</v>
      </c>
      <c r="BL98" s="312" t="e">
        <f aca="false">INDEX(sim_0,MATCH($BJ$98,granular,0))</f>
        <v>#NAME?</v>
      </c>
      <c r="BM98" s="312"/>
      <c r="BN98" s="6"/>
      <c r="BO98" s="191" t="n">
        <f aca="false">BO97+0.1</f>
        <v>8.09999999999999</v>
      </c>
      <c r="BP98" s="233" t="e">
        <f aca="false">IF(AW98=0,NA(),IF(AS98=$AX$3,ROUND(DC98,0),NA()))</f>
        <v>#N/A</v>
      </c>
      <c r="BQ98" s="31" t="e">
        <f aca="false">IF(AW98=0,NA(),IF(AS98=$AX$4,ROUND(CC98,0),NA()))</f>
        <v>#N/A</v>
      </c>
      <c r="BR98" s="234" t="n">
        <f aca="false">+AW98</f>
        <v>0</v>
      </c>
      <c r="BS98" s="235" t="str">
        <f aca="false">IF(BR98=0,"", -0.00000000016128755327*CC98^6 + 0.00000006709386362421*CC98^5 - 0.0000106217678052217*CC98^4 + 0.00081068114193385*CC98^3 - 0.0314027378159951*CC98^2 + 0.649796593937842*CC98 + 13.7888866455022)</f>
        <v/>
      </c>
      <c r="BT98" s="235" t="str">
        <f aca="false">IF(BR98=0,"",-0.00000000014625939695*CC98^6 + 0.00000004971732060241*CC98^5 - 0.000006683744342031*CC98^4 + 0.0004563177378098*CC98^3 - 0.0171727530635803*CC98^2 + 0.444529932876435*CC98 + 15.6692518940565)</f>
        <v/>
      </c>
      <c r="BU98" s="236" t="str">
        <f aca="false">IF(BR98=0,"", -0.0000000008152265738*BR98^6 + 0.00000022764320256987*BR98^5 - 0.0000248205675927705*BR98^4 + 0.00133186623684865*BR98^3 - 0.0368442570441677*BR98^2 + 0.580111565569094*BR98 + 14.0417598296107)</f>
        <v/>
      </c>
      <c r="BV98" s="236" t="str">
        <f aca="false">IF(BR98=0,"", -0.00000000004321395721*BR98^6 + 0.00000002531844275498*BR98^5 - 0.00000369428022780862*BR98^4 + 0.00020283665900125*BR98^3 - 0.00462426256803268*BR98^2 + 0.139572935065453*BR98 + 15.4475338156923)</f>
        <v/>
      </c>
      <c r="BW98" s="236" t="str">
        <f aca="false">IF(BR98=0,"",-0.00000000033126390082*BR98^6 + 0.00000010463660614506*BR98^5 - 0.0000129629592998707*BR98^4 + 0.000803946335250767*BR98^3 - 0.0270257140395994*BR98^2 + 0.562590210721552*BR98+ 12.1254107606419)</f>
        <v/>
      </c>
      <c r="BX98" s="236" t="str">
        <f aca="false">IF(BR98=0,"",-0.00000000002593504955*BR98^6 + 0.00000002430495156704*BR98^5 - 0.00000386103271086364*BR98^4 + 0.000214416118986322*BR98^3 - 0.0047271462612021*BR98^2 + 0.156696175741135*BR98 + 15.4598891949502)</f>
        <v/>
      </c>
      <c r="BY98" s="234" t="str">
        <f aca="false">IF(BR98=0,"",$BS$2)</f>
        <v/>
      </c>
      <c r="BZ98" s="234" t="str">
        <f aca="false">IF(BR98=0,"",$BS$3)</f>
        <v/>
      </c>
      <c r="CA98" s="234" t="str">
        <f aca="false">IF(BR98=0,"",$BS$4)</f>
        <v/>
      </c>
      <c r="CB98" s="235" t="str">
        <f aca="false">IF(BR98=0,"",IF(AND(BO98&gt;=0,BO98&lt;4),0.75,IF(AND(BO98&gt;=4,BO98&lt;6),0.85,IF(AND(BO98&gt;=6,BO98&lt;=10),0.95,1))))</f>
        <v/>
      </c>
      <c r="CC98" s="234" t="str">
        <f aca="false">IF(BR98=0,"",BR98*BY98*BZ98*CA98*CB98/60)</f>
        <v/>
      </c>
      <c r="CD98" s="238" t="str">
        <f aca="false">IF(BR98=0,"",IF($S$12="NO","NO",IF($AD$12&lt;=BO98,"SI","NO")))</f>
        <v/>
      </c>
      <c r="CE98" s="235" t="n">
        <f aca="false">IF(BR98=0,0,AB98)</f>
        <v>0</v>
      </c>
      <c r="CF98" s="235" t="n">
        <f aca="false">IF(CE98&gt;0,BO98,0)</f>
        <v>0</v>
      </c>
      <c r="CG98" s="239" t="n">
        <f aca="false">IF(CF98=0,CF98+CG97,CF98)</f>
        <v>0</v>
      </c>
      <c r="CH98" s="239" t="n">
        <f aca="false">IF(CG98=CG97,CH97,ABS(CG98-CG97))</f>
        <v>0</v>
      </c>
      <c r="CI98" s="239" t="n">
        <f aca="false">+CE98*CH98</f>
        <v>0</v>
      </c>
      <c r="CJ98" s="239" t="n">
        <f aca="false">IF(CI98=0,CI98+CJ97,CI98)</f>
        <v>0</v>
      </c>
      <c r="CK98" s="239" t="n">
        <f aca="false">IF(CJ98=CJ97,CK97,ABS(CJ98+CK97))</f>
        <v>0</v>
      </c>
      <c r="CL98" s="241" t="n">
        <f aca="false">IF(CE98=0,0,CK98)</f>
        <v>0</v>
      </c>
      <c r="CM98" s="239" t="n">
        <f aca="false">IF(CE98=0,0,CH98*9.81)</f>
        <v>0</v>
      </c>
      <c r="CN98" s="239" t="n">
        <f aca="false">IF(CM98=0,CM98+CN97,CM98)</f>
        <v>0</v>
      </c>
      <c r="CO98" s="239" t="n">
        <f aca="false">IF(CN98=CN97,CO97,ABS(CN98+CO97))</f>
        <v>0</v>
      </c>
      <c r="CP98" s="241" t="n">
        <f aca="false">IF(CD98="NO",0,IF(CE98=0,0,CO98))</f>
        <v>0</v>
      </c>
      <c r="CQ98" s="244" t="str">
        <f aca="false">IF(BR98=0,"",CL98-CP98)</f>
        <v/>
      </c>
      <c r="CR98" s="244" t="str">
        <f aca="false">IF(BR98=0,"",CQ98/101.3)</f>
        <v/>
      </c>
      <c r="CS98" s="244" t="str">
        <f aca="false">IF(BR98=0,"",LOG(10/CR98))</f>
        <v/>
      </c>
      <c r="CT98" s="243" t="str">
        <f aca="false">IF(BR98=0,"",IF(SQRT(101.3/CQ98)&lt;=1.7,SQRT(101.3/CQ98),2.2/(1.2+(CQ98/101.3))))</f>
        <v/>
      </c>
      <c r="CU98" s="244" t="str">
        <f aca="false">IF(BR98=0,"",1.7/(0.7+CR98))</f>
        <v/>
      </c>
      <c r="CV98" s="244" t="str">
        <f aca="false">IF(BR98=0,"",IF(CR98&gt;=0.25,0.77*LOG(20/CR98),""))</f>
        <v/>
      </c>
      <c r="CW98" s="244" t="str">
        <f aca="false">IF(BR98=0,"",32.5/(10.2+20.3*CR98))</f>
        <v/>
      </c>
      <c r="CX98" s="244" t="str">
        <f aca="false">IF(BR98=0,"",1-1.25*LOG(CR98))</f>
        <v/>
      </c>
      <c r="CY98" s="244" t="str">
        <f aca="false">IF(BR98=0,"",IF(CR98&lt;1,1-1.41*LOG(CR98),1+0.92*LOG(CR98)))</f>
        <v/>
      </c>
      <c r="CZ98" s="244" t="str">
        <f aca="false">IF(BR98=0,"",2/(1+CR98))</f>
        <v/>
      </c>
      <c r="DA98" s="244" t="str">
        <f aca="false">IF(BR98=0,"",IF(CR98&lt;=0.75,4/(1+4*CR98),4/(3.25+CR98)))</f>
        <v/>
      </c>
      <c r="DB98" s="244" t="str">
        <f aca="false">IF(BR98=0,"",CT98)</f>
        <v/>
      </c>
      <c r="DC98" s="244" t="str">
        <f aca="false">IF(BR98=0,"",DB98*CC98)</f>
        <v/>
      </c>
      <c r="DD98" s="244"/>
      <c r="DE98" s="244" t="str">
        <f aca="false">IF(BR98=0,"",0.193*(CC98/(CQ98*0.001))^0.689)</f>
        <v/>
      </c>
      <c r="DF98" s="244" t="str">
        <f aca="false">IF(BR98=0,"",IF(AS98=$AX$4,(0.1348118*CC98 - 0.0383065)*98.0665,""))</f>
        <v/>
      </c>
      <c r="DG98" s="244" t="str">
        <f aca="false">IF(BR98=0,"",IF(AS98=$AX$4,DF98/2,""))</f>
        <v/>
      </c>
      <c r="DH98" s="244" t="str">
        <f aca="false">IF(BR98=0,"",IF(DC98&lt;=15,12*(DC98+6),40+12*(DC98-6)))</f>
        <v/>
      </c>
      <c r="DI98" s="244" t="str">
        <f aca="false">IF(BR98=0,"",IF(CD98="SI",5*(DC98+15),((3.3*(DC98+15))+(4*(DC98+12)))/2))</f>
        <v/>
      </c>
      <c r="DJ98" s="244" t="str">
        <f aca="false">IF(BR98=0,"",8*DC98)</f>
        <v/>
      </c>
      <c r="DK98" s="244" t="str">
        <f aca="false">IF(BR98=0,"",215+(10.6*DC98))</f>
        <v/>
      </c>
      <c r="DL98" s="244" t="str">
        <f aca="false">IF(BR98=0,"",10*(7.5+(0.5*DC98)))</f>
        <v/>
      </c>
      <c r="DM98" s="244" t="str">
        <f aca="false">IF(BR98=0,"",8*DC98)</f>
        <v/>
      </c>
      <c r="DN98" s="244" t="str">
        <f aca="false">IF(AW98=" "," ",IF(DC98=""," ",IF(DC98&lt;4,10*10.2,IF(DC98=4,12*10.2,IF(DC98&lt;10,17.5*10.5,IF(DC98=10,15*10.2,IF(DC98&lt;30,22.5*10.2,IF(DC98=30,35*10.2,IF(DC98&lt;50,40*10.2,IF(DC98=50,50*10.2,55*10.2))))))))))</f>
        <v> </v>
      </c>
      <c r="DO98" s="244" t="str">
        <f aca="false">IF(BR98=0,"",7*SQRT(DC98)*10.1972)</f>
        <v/>
      </c>
      <c r="DP98" s="244" t="str">
        <f aca="false">IF(BR98=0,"",IF(AS98=$AX$4,5*CC98,""))</f>
        <v/>
      </c>
      <c r="DQ98" s="244" t="str">
        <f aca="false">IF(AW98=" "," ",IF(DC98=""," ",IF(DC98&lt;2,4*10.2,IF(DC98=2,6*10.2,IF(DC98&lt;4,12*10.2,IF(DC98=4,20*10.2,IF(DC98&lt;8,30*10.2,IF(DC98=8,35*10.2,IF(DC98&lt;15,40*10.2,IF(DC98=15,42*10.2,IF(DC98&lt;30,45*10.2,IF(DC98=30,50*10.2,70*10.2))))))))))))</f>
        <v> </v>
      </c>
      <c r="DR98" s="244" t="str">
        <f aca="false">IF(BR98=0,"",IF(AS98=$AX$4,220*DP98*0.0101972,""))</f>
        <v/>
      </c>
      <c r="DS98" s="271" t="str">
        <f aca="false">IF(BR98=0,"",IF(AS98=$AX$7,(SUM(DH98:DO98)-MIN(DH98:DO98)-MAX(DH98:DO98))/6,(SUM(DO98:DR98)-MIN(DO98:DR98)-MAX(DO98:DR98))/2))</f>
        <v/>
      </c>
      <c r="DT98" s="244" t="str">
        <f aca="false">IF(AW98=" "," ",IF(DC98=""," ",IF(DC98&lt;4,0.2,IF(DC98=4,0.27,IF(DC98&lt;10,0.33,IF(DC98=10,0.35,IF(DC98&lt;30,0.36,IF(DC98=30,0.37,IF(DC98&lt;50,0.38,IF(DC98=50,0.4,0.45))))))))))</f>
        <v> </v>
      </c>
      <c r="DU98" s="272" t="str">
        <f aca="false">IF(AW98=" "," ",IF(CC98=""," ",IF(CC98&lt;2,0.2,IF(CC98=2,0.23,IF(CC98&lt;4,0.26,IF(CC98=4,0.29,IF(CC98&lt;8,0.32,IF(CC98=8,0.35,IF(CC98&lt;15,0.38,IF(CC98=15,0.41,IF(CC98&lt;30,0.44,IF(CC98=30,0.47,0.5))))))))))))</f>
        <v> </v>
      </c>
      <c r="DV98" s="244" t="str">
        <f aca="false">IF(BR98=0,"",IF(AS98=$AX$3,DT98,DU98))</f>
        <v/>
      </c>
      <c r="DW98" s="244" t="str">
        <f aca="false">IF(BR98=0,"",IF(DC98&gt;15,15+0.5*(DC98-15),DC98))</f>
        <v/>
      </c>
      <c r="DX98" s="244" t="str">
        <f aca="false">IF(BR98=0,"",IF($S$12="SI",IF(CD98="NO",IF($AD$12&gt;(BO98+1.5*$ED$15),1,0.5),0.5),1))</f>
        <v/>
      </c>
      <c r="DY98" s="244" t="str">
        <f aca="false">IF(BR98=0,"",IF($S$12="SI",IF(CD98="NO",IF($AD$12&gt;(BO98+1.5*$EE$15),1,0.5),0.5),1))</f>
        <v/>
      </c>
      <c r="DZ98" s="244" t="str">
        <f aca="false">IF(BR98=0,"",IF($S$12="SI",IF(CD98="NO",IF($AD$12&gt;(BO98+1.5*$EF$15),1,0.5),0.5),1))</f>
        <v/>
      </c>
      <c r="EA98" s="244" t="str">
        <f aca="false">IF(BR98=0,"",IF($S$12="SI",IF(CD98="NO",IF($AD$12&gt;(BO98+1.5*$ED$15),1,0.5),IF($AD$12=BO98,1,0.5)),1))</f>
        <v/>
      </c>
      <c r="EB98" s="244" t="str">
        <f aca="false">IF(BR98=0,"",IF($S$12="SI",IF(CD98="NO",IF($AD$12&gt;(BO98+1.5*$EE$15),1,0.5),IF($AD$12=BO98,1,0.5)),1))</f>
        <v/>
      </c>
      <c r="EC98" s="244" t="str">
        <f aca="false">IF(BR98=0,"",IF($S$12="SI",IF(CD98="NO",IF($AD$12&gt;(BO98+1.5*$EF$15),1,0.5),IF($AD$12=BO98,1,0.5)),1))</f>
        <v/>
      </c>
      <c r="ED98" s="244" t="str">
        <f aca="false">IF(BR98=0,"",(DW98*($ED$15/10)*(DX98+EA98*(BO98/$ED$15))*1)/3)</f>
        <v/>
      </c>
      <c r="EE98" s="244" t="str">
        <f aca="false">IF(BR98=0,"",(DW98*($EE$15/10)*(DY98+EB98*(BO98/$EE$15))*1)/3)</f>
        <v/>
      </c>
      <c r="EF98" s="244" t="str">
        <f aca="false">IF(BR98=0,"",(DW98*($EF$15/10)*(DZ98+EC98*(BO98/$EF$15))*1)/3)</f>
        <v/>
      </c>
      <c r="EG98" s="273" t="str">
        <f aca="false">IF(BR98=0,"",IF(CD98="SI",0.5,1))</f>
        <v/>
      </c>
      <c r="EH98" s="244" t="str">
        <f aca="false">IF(BR98=0,"",IF((1+0.33*(BO98/$ED$15))&lt;=1.33,(1+0.33*(BO98/$ED$15)),1.33))</f>
        <v/>
      </c>
      <c r="EI98" s="244" t="str">
        <f aca="false">IF(BR98=0,"",IF((1+0.33*(BO98/$EE$15))&lt;=1.33,(1+0.33*(BO98/$EE$15)),1.33))</f>
        <v/>
      </c>
      <c r="EJ98" s="244" t="str">
        <f aca="false">IF(BR98=0,"",IF((1+0.33*(BO98/$EF$15))&lt;=1.33,(1+0.33*(BO98/$EF$15)),1.33))</f>
        <v/>
      </c>
      <c r="EK98" s="244" t="str">
        <f aca="false">IF(BR98=0,"",IF($ED$15&lt;=1.2,((20*DC98*EG98*EH98)/3)*0.010197,((12.5*DC98*((($ED$15+0.3)^2)/$ED$15)*EG98*EH98)/3)*0.010197))</f>
        <v/>
      </c>
      <c r="EL98" s="244" t="str">
        <f aca="false">IF(BR98=0,"",IF($EE$15&lt;=1.2,((20*DC98*EG98*EI98)/3)*0.010197,((12.5*DC98*((($EE$15+0.3)^2)/$EE$15)*EG98*EI98)/3)*0.010197))</f>
        <v/>
      </c>
      <c r="EM98" s="244" t="str">
        <f aca="false">IF(BR98=0,"",IF($EF$15&lt;=1.2,((20*DC98*EG98*EJ98)/3)*0.010197,((12.5*DC98*((($EF$15+0.3)^2)/$EF$15)*EG98*EJ98)/3)*0.010197))</f>
        <v/>
      </c>
      <c r="EN98" s="248" t="str">
        <f aca="false">IF(BR98=0,"",SQRT(12*CC98)+25)</f>
        <v/>
      </c>
      <c r="EO98" s="248" t="str">
        <f aca="false">IF(BR98=0,"",28.5+0.25*CC98)</f>
        <v/>
      </c>
      <c r="EP98" s="248" t="str">
        <f aca="false">IF(BR98=0,"",SQRT(20*CC98)+15)</f>
        <v/>
      </c>
      <c r="EQ98" s="248" t="str">
        <f aca="false">IF(BR98=0,"",23.7+0.57*CC98-0.0006*CC98*CC98)</f>
        <v/>
      </c>
      <c r="ER98" s="248" t="str">
        <f aca="false">IF(BR98=0,"",15+SQRT(12.5*DC98))</f>
        <v/>
      </c>
      <c r="ES98" s="248" t="str">
        <f aca="false">IF(BR98=0,"",3.5*SQRT(CC98)+20)</f>
        <v/>
      </c>
      <c r="ET98" s="248" t="str">
        <f aca="false">IF(BR98=0,"",27.1+0.3*DC98-0.00054*DC98*DC98)</f>
        <v/>
      </c>
      <c r="EU98" s="248" t="str">
        <f aca="false">IF(BR98=0,"",SQRT(20*CC98)+20)</f>
        <v/>
      </c>
      <c r="EV98" s="248" t="str">
        <f aca="false">IF(BR98=0,"",12.79+SQRT(25.86*CC98))</f>
        <v/>
      </c>
      <c r="EW98" s="248" t="str">
        <f aca="false">IF(BR98=0,"",DEGREES(_xlfn.ACOT((CC98/(12.2+20.3*CR98))^0.34)))</f>
        <v/>
      </c>
      <c r="EX98" s="248" t="str">
        <f aca="false">IF(BR98=0,"",24+(5.77*LN(0.17*DC98)))</f>
        <v/>
      </c>
      <c r="EY98" s="248" t="str">
        <f aca="false">IF(BR98=0,"",(SUM(EN98:EX98)-MIN(EN98:EX98)-MAX(EN98:EX98))/9)</f>
        <v/>
      </c>
      <c r="EZ98" s="248" t="str">
        <f aca="false">IF(BR98=0,"", -0.0000000034*CC98^6 + 0.0000008305*CC98^5 - 0.0000741842*CC98^4 + 0.0030204278*CC98^3 - 0.0541594733*CC98^2 + 0.8083147848*CC98 - 0.6182191243)</f>
        <v/>
      </c>
      <c r="FA98" s="249" t="str">
        <f aca="false">IF(BR98=0,"",(0.134811827956989*CC98 - 0.0383064516129019)/2)</f>
        <v/>
      </c>
      <c r="FB98" s="249" t="str">
        <f aca="false">IF(BR98=0,"",CC98*0.065)</f>
        <v/>
      </c>
      <c r="FC98" s="249" t="str">
        <f aca="false">IF(BR98=0,"",(CC98*0.12*0.48)*SQRT((1+SIN(EZ98*((2*PI())/360))/(1-SIN(EZ98*((2*PI())/360))))))</f>
        <v/>
      </c>
      <c r="FD98" s="249" t="str">
        <f aca="false">IF(BR98=0,"",(CC98/8)/2)</f>
        <v/>
      </c>
      <c r="FE98" s="249" t="str">
        <f aca="false">IF(BR98=0,"",(SUM(FA98:FD98)-MIN(FA98:FD98)-MAX(FA98:FD98))/2)</f>
        <v/>
      </c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</row>
    <row r="99" customFormat="false" ht="9.75" hidden="false" customHeight="true" outlineLevel="0" collapsed="false">
      <c r="A99" s="197" t="n">
        <f aca="false">ROUND(A98+0.1,1)</f>
        <v>8.2</v>
      </c>
      <c r="B99" s="250" t="n">
        <f aca="false">+A99</f>
        <v>8.2</v>
      </c>
      <c r="C99" s="251"/>
      <c r="D99" s="251"/>
      <c r="E99" s="252"/>
      <c r="F99" s="253"/>
      <c r="G99" s="254"/>
      <c r="H99" s="284"/>
      <c r="I99" s="285"/>
      <c r="J99" s="257"/>
      <c r="K99" s="258"/>
      <c r="L99" s="259"/>
      <c r="M99" s="276"/>
      <c r="N99" s="277"/>
      <c r="O99" s="277"/>
      <c r="P99" s="277"/>
      <c r="Q99" s="293"/>
      <c r="R99" s="278"/>
      <c r="S99" s="278"/>
      <c r="T99" s="295"/>
      <c r="U99" s="295"/>
      <c r="V99" s="296"/>
      <c r="W99" s="296"/>
      <c r="X99" s="296"/>
      <c r="Y99" s="296"/>
      <c r="Z99" s="296"/>
      <c r="AA99" s="296"/>
      <c r="AB99" s="297"/>
      <c r="AC99" s="298"/>
      <c r="AD99" s="299"/>
      <c r="AE99" s="298"/>
      <c r="AF99" s="300"/>
      <c r="AG99" s="267"/>
      <c r="AH99" s="267"/>
      <c r="AI99" s="241"/>
      <c r="AJ99" s="241"/>
      <c r="AK99" s="266"/>
      <c r="AL99" s="266"/>
      <c r="AM99" s="268"/>
      <c r="AN99" s="250" t="n">
        <f aca="false">+AN97+0.2</f>
        <v>8.2</v>
      </c>
      <c r="AO99" s="251"/>
      <c r="AP99" s="251"/>
      <c r="AQ99" s="252"/>
      <c r="AR99" s="253"/>
      <c r="AS99" s="269" t="s">
        <v>13</v>
      </c>
      <c r="AT99" s="221"/>
      <c r="AU99" s="269"/>
      <c r="AV99" s="269"/>
      <c r="AW99" s="270" t="n">
        <f aca="false">+K99+L99</f>
        <v>0</v>
      </c>
      <c r="AX99" s="270" t="str">
        <f aca="false">IF(AS99="&gt;50","CONSISTENCIA",IF(AS99="&lt;50","COMPACIDAD"," "))</f>
        <v>COMPACIDAD</v>
      </c>
      <c r="AY99" s="225" t="str">
        <f aca="false">IF(AS99="&gt;50",AZ99,IF(AS99="&lt;50",BA99," "))</f>
        <v> </v>
      </c>
      <c r="AZ99" s="224" t="str">
        <f aca="false">IF(AW99=" "," ",IF(CC99=""," ",IF(CC99&lt;2,"MUY BLANDA",IF(CC99=2,"MUY BLANDA A BLANDA",IF(CC99&lt;4,"BLANDA",IF(CC99=4,"BLANDA A MEDIA",IF(CC99&lt;8,"MEDIA",IF(CC99=8,"MEDIA A FIRME",IF(CC99&lt;15,"FIRME",IF(CC99=15,"FIRME A MUY FIRME",IF(CC99&lt;30,"MUY FIRME",IF(CC99=30,"MUY FIRME A DURA","DURA"))))))))))))</f>
        <v> </v>
      </c>
      <c r="BA99" s="225" t="str">
        <f aca="false">IF(AW99=" "," ",IF(DC99=""," ",IF(DC99&lt;4,"MUY SUELTA",IF(DC99=4,"MUY SUELTA A SUELTA",IF(DC99&lt;10,"SUELTA",IF(DC99=10,"SUELTA A MEDIA",IF(DC99&lt;30,"MEDIA",IF(DC99=30,"MEDIA A DENSO",IF(DC99&lt;50,"DENSO",IF(DC99=50,"DENSO MUY DENSO","MUY DENSO"))))))))))</f>
        <v> </v>
      </c>
      <c r="BB99" s="226" t="str">
        <f aca="false">IF(BR100=0,"",CQ100*0.0101972)</f>
        <v/>
      </c>
      <c r="BC99" s="227" t="n">
        <f aca="false">+BC98+0.1</f>
        <v>8.19999999999999</v>
      </c>
      <c r="BD99" s="227" t="str">
        <f aca="false">IF(BC99&lt;=$AN$10,BC99,"")</f>
        <v/>
      </c>
      <c r="BE99" s="228" t="n">
        <f aca="false">ISNUMBER(BD99)</f>
        <v>0</v>
      </c>
      <c r="BF99" s="229" t="str">
        <f aca="false">MID(M99,1,1)</f>
        <v/>
      </c>
      <c r="BG99" s="230" t="str">
        <f aca="false">IF(BF99="S","",IF(BF99="G","",MID(M99,2,1)))</f>
        <v/>
      </c>
      <c r="BH99" s="231" t="str">
        <f aca="false">CONCATENATE(BF99,BG99)</f>
        <v/>
      </c>
      <c r="BI99" s="6" t="str">
        <f aca="false">IF(BE99=FALSE(),"",IF(BH99="",BI98,BH99))</f>
        <v/>
      </c>
      <c r="BJ99" s="74" t="str">
        <f aca="false">IF(OR(BI99="S",BI99="G"),BI99,"X")</f>
        <v>X</v>
      </c>
      <c r="BK99" s="74" t="s">
        <v>259</v>
      </c>
      <c r="BL99" s="312" t="e">
        <f aca="false">INDEX(sim_0,MATCH($BJ$99,granular,0))</f>
        <v>#NAME?</v>
      </c>
      <c r="BM99" s="312"/>
      <c r="BN99" s="6"/>
      <c r="BO99" s="191" t="n">
        <f aca="false">BO98+0.1</f>
        <v>8.19999999999999</v>
      </c>
      <c r="BP99" s="233" t="e">
        <f aca="false">IF(AW99=0,NA(),IF(AS99=$AX$3,ROUND(DC99,0),NA()))</f>
        <v>#N/A</v>
      </c>
      <c r="BQ99" s="31" t="e">
        <f aca="false">IF(AW99=0,NA(),IF(AS99=$AX$4,ROUND(CC99,0),NA()))</f>
        <v>#N/A</v>
      </c>
      <c r="BR99" s="234" t="n">
        <f aca="false">+AW99</f>
        <v>0</v>
      </c>
      <c r="BS99" s="235" t="str">
        <f aca="false">IF(BR99=0,"", -0.00000000016128755327*CC99^6 + 0.00000006709386362421*CC99^5 - 0.0000106217678052217*CC99^4 + 0.00081068114193385*CC99^3 - 0.0314027378159951*CC99^2 + 0.649796593937842*CC99 + 13.7888866455022)</f>
        <v/>
      </c>
      <c r="BT99" s="235" t="str">
        <f aca="false">IF(BR99=0,"",-0.00000000014625939695*CC99^6 + 0.00000004971732060241*CC99^5 - 0.000006683744342031*CC99^4 + 0.0004563177378098*CC99^3 - 0.0171727530635803*CC99^2 + 0.444529932876435*CC99 + 15.6692518940565)</f>
        <v/>
      </c>
      <c r="BU99" s="236" t="str">
        <f aca="false">IF(BR99=0,"", -0.0000000008152265738*BR99^6 + 0.00000022764320256987*BR99^5 - 0.0000248205675927705*BR99^4 + 0.00133186623684865*BR99^3 - 0.0368442570441677*BR99^2 + 0.580111565569094*BR99 + 14.0417598296107)</f>
        <v/>
      </c>
      <c r="BV99" s="236" t="str">
        <f aca="false">IF(BR99=0,"", -0.00000000004321395721*BR99^6 + 0.00000002531844275498*BR99^5 - 0.00000369428022780862*BR99^4 + 0.00020283665900125*BR99^3 - 0.00462426256803268*BR99^2 + 0.139572935065453*BR99 + 15.4475338156923)</f>
        <v/>
      </c>
      <c r="BW99" s="236" t="str">
        <f aca="false">IF(BR99=0,"",-0.00000000033126390082*BR99^6 + 0.00000010463660614506*BR99^5 - 0.0000129629592998707*BR99^4 + 0.000803946335250767*BR99^3 - 0.0270257140395994*BR99^2 + 0.562590210721552*BR99+ 12.1254107606419)</f>
        <v/>
      </c>
      <c r="BX99" s="236" t="str">
        <f aca="false">IF(BR99=0,"",-0.00000000002593504955*BR99^6 + 0.00000002430495156704*BR99^5 - 0.00000386103271086364*BR99^4 + 0.000214416118986322*BR99^3 - 0.0047271462612021*BR99^2 + 0.156696175741135*BR99 + 15.4598891949502)</f>
        <v/>
      </c>
      <c r="BY99" s="234" t="str">
        <f aca="false">IF(BR99=0,"",$BS$2)</f>
        <v/>
      </c>
      <c r="BZ99" s="234" t="str">
        <f aca="false">IF(BR99=0,"",$BS$3)</f>
        <v/>
      </c>
      <c r="CA99" s="234" t="str">
        <f aca="false">IF(BR99=0,"",$BS$4)</f>
        <v/>
      </c>
      <c r="CB99" s="235" t="str">
        <f aca="false">IF(BR99=0,"",IF(AND(BO99&gt;=0,BO99&lt;4),0.75,IF(AND(BO99&gt;=4,BO99&lt;6),0.85,IF(AND(BO99&gt;=6,BO99&lt;=10),0.95,1))))</f>
        <v/>
      </c>
      <c r="CC99" s="234" t="str">
        <f aca="false">IF(BR99=0,"",BR99*BY99*BZ99*CA99*CB99/60)</f>
        <v/>
      </c>
      <c r="CD99" s="238" t="str">
        <f aca="false">IF(BR99=0,"",IF($S$12="NO","NO",IF($AD$12&lt;=BO99,"SI","NO")))</f>
        <v/>
      </c>
      <c r="CE99" s="235" t="n">
        <f aca="false">IF(BR99=0,0,AB99)</f>
        <v>0</v>
      </c>
      <c r="CF99" s="235" t="n">
        <f aca="false">IF(CE99&gt;0,BO99,0)</f>
        <v>0</v>
      </c>
      <c r="CG99" s="239" t="n">
        <f aca="false">IF(CF99=0,CF99+CG98,CF99)</f>
        <v>0</v>
      </c>
      <c r="CH99" s="239" t="n">
        <f aca="false">IF(CG99=CG98,CH98,ABS(CG99-CG98))</f>
        <v>0</v>
      </c>
      <c r="CI99" s="239" t="n">
        <f aca="false">+CE99*CH99</f>
        <v>0</v>
      </c>
      <c r="CJ99" s="239" t="n">
        <f aca="false">IF(CI99=0,CI99+CJ98,CI99)</f>
        <v>0</v>
      </c>
      <c r="CK99" s="239" t="n">
        <f aca="false">IF(CJ99=CJ98,CK98,ABS(CJ99+CK98))</f>
        <v>0</v>
      </c>
      <c r="CL99" s="241" t="n">
        <f aca="false">IF(CE99=0,0,CK99)</f>
        <v>0</v>
      </c>
      <c r="CM99" s="239" t="n">
        <f aca="false">IF(CE99=0,0,CH99*9.81)</f>
        <v>0</v>
      </c>
      <c r="CN99" s="239" t="n">
        <f aca="false">IF(CM99=0,CM99+CN98,CM99)</f>
        <v>0</v>
      </c>
      <c r="CO99" s="239" t="n">
        <f aca="false">IF(CN99=CN98,CO98,ABS(CN99+CO98))</f>
        <v>0</v>
      </c>
      <c r="CP99" s="241" t="n">
        <f aca="false">IF(CD99="NO",0,IF(CE99=0,0,CO99))</f>
        <v>0</v>
      </c>
      <c r="CQ99" s="244" t="str">
        <f aca="false">IF(BR99=0,"",CL99-CP99)</f>
        <v/>
      </c>
      <c r="CR99" s="244" t="str">
        <f aca="false">IF(BR99=0,"",CQ99/101.3)</f>
        <v/>
      </c>
      <c r="CS99" s="244" t="str">
        <f aca="false">IF(BR99=0,"",LOG(10/CR99))</f>
        <v/>
      </c>
      <c r="CT99" s="243" t="str">
        <f aca="false">IF(BR99=0,"",IF(SQRT(101.3/CQ99)&lt;=1.7,SQRT(101.3/CQ99),2.2/(1.2+(CQ99/101.3))))</f>
        <v/>
      </c>
      <c r="CU99" s="244" t="str">
        <f aca="false">IF(BR99=0,"",1.7/(0.7+CR99))</f>
        <v/>
      </c>
      <c r="CV99" s="244" t="str">
        <f aca="false">IF(BR99=0,"",IF(CR99&gt;=0.25,0.77*LOG(20/CR99),""))</f>
        <v/>
      </c>
      <c r="CW99" s="244" t="str">
        <f aca="false">IF(BR99=0,"",32.5/(10.2+20.3*CR99))</f>
        <v/>
      </c>
      <c r="CX99" s="244" t="str">
        <f aca="false">IF(BR99=0,"",1-1.25*LOG(CR99))</f>
        <v/>
      </c>
      <c r="CY99" s="244" t="str">
        <f aca="false">IF(BR99=0,"",IF(CR99&lt;1,1-1.41*LOG(CR99),1+0.92*LOG(CR99)))</f>
        <v/>
      </c>
      <c r="CZ99" s="244" t="str">
        <f aca="false">IF(BR99=0,"",2/(1+CR99))</f>
        <v/>
      </c>
      <c r="DA99" s="244" t="str">
        <f aca="false">IF(BR99=0,"",IF(CR99&lt;=0.75,4/(1+4*CR99),4/(3.25+CR99)))</f>
        <v/>
      </c>
      <c r="DB99" s="244" t="str">
        <f aca="false">IF(BR99=0,"",CT99)</f>
        <v/>
      </c>
      <c r="DC99" s="244" t="str">
        <f aca="false">IF(BR99=0,"",DB99*CC99)</f>
        <v/>
      </c>
      <c r="DD99" s="244"/>
      <c r="DE99" s="244" t="str">
        <f aca="false">IF(BR99=0,"",0.193*(CC99/(CQ99*0.001))^0.689)</f>
        <v/>
      </c>
      <c r="DF99" s="244" t="str">
        <f aca="false">IF(BR99=0,"",IF(AS99=$AX$4,(0.1348118*CC99 - 0.0383065)*98.0665,""))</f>
        <v/>
      </c>
      <c r="DG99" s="244" t="str">
        <f aca="false">IF(BR99=0,"",IF(AS99=$AX$4,DF99/2,""))</f>
        <v/>
      </c>
      <c r="DH99" s="244" t="str">
        <f aca="false">IF(BR99=0,"",IF(DC99&lt;=15,12*(DC99+6),40+12*(DC99-6)))</f>
        <v/>
      </c>
      <c r="DI99" s="244" t="str">
        <f aca="false">IF(BR99=0,"",IF(CD99="SI",5*(DC99+15),((3.3*(DC99+15))+(4*(DC99+12)))/2))</f>
        <v/>
      </c>
      <c r="DJ99" s="244" t="str">
        <f aca="false">IF(BR99=0,"",8*DC99)</f>
        <v/>
      </c>
      <c r="DK99" s="244" t="str">
        <f aca="false">IF(BR99=0,"",215+(10.6*DC99))</f>
        <v/>
      </c>
      <c r="DL99" s="244" t="str">
        <f aca="false">IF(BR99=0,"",10*(7.5+(0.5*DC99)))</f>
        <v/>
      </c>
      <c r="DM99" s="244" t="str">
        <f aca="false">IF(BR99=0,"",8*DC99)</f>
        <v/>
      </c>
      <c r="DN99" s="244" t="str">
        <f aca="false">IF(AW99=" "," ",IF(DC99=""," ",IF(DC99&lt;4,10*10.2,IF(DC99=4,12*10.2,IF(DC99&lt;10,17.5*10.5,IF(DC99=10,15*10.2,IF(DC99&lt;30,22.5*10.2,IF(DC99=30,35*10.2,IF(DC99&lt;50,40*10.2,IF(DC99=50,50*10.2,55*10.2))))))))))</f>
        <v> </v>
      </c>
      <c r="DO99" s="244" t="str">
        <f aca="false">IF(BR99=0,"",7*SQRT(DC99)*10.1972)</f>
        <v/>
      </c>
      <c r="DP99" s="244" t="str">
        <f aca="false">IF(BR99=0,"",IF(AS99=$AX$4,5*CC99,""))</f>
        <v/>
      </c>
      <c r="DQ99" s="244" t="str">
        <f aca="false">IF(AW99=" "," ",IF(DC99=""," ",IF(DC99&lt;2,4*10.2,IF(DC99=2,6*10.2,IF(DC99&lt;4,12*10.2,IF(DC99=4,20*10.2,IF(DC99&lt;8,30*10.2,IF(DC99=8,35*10.2,IF(DC99&lt;15,40*10.2,IF(DC99=15,42*10.2,IF(DC99&lt;30,45*10.2,IF(DC99=30,50*10.2,70*10.2))))))))))))</f>
        <v> </v>
      </c>
      <c r="DR99" s="244" t="str">
        <f aca="false">IF(BR99=0,"",IF(AS99=$AX$4,220*DP99*0.0101972,""))</f>
        <v/>
      </c>
      <c r="DS99" s="271" t="str">
        <f aca="false">IF(BR99=0,"",IF(AS99=$AX$7,(SUM(DH99:DO99)-MIN(DH99:DO99)-MAX(DH99:DO99))/6,(SUM(DO99:DR99)-MIN(DO99:DR99)-MAX(DO99:DR99))/2))</f>
        <v/>
      </c>
      <c r="DT99" s="244" t="str">
        <f aca="false">IF(AW99=" "," ",IF(DC99=""," ",IF(DC99&lt;4,0.2,IF(DC99=4,0.27,IF(DC99&lt;10,0.33,IF(DC99=10,0.35,IF(DC99&lt;30,0.36,IF(DC99=30,0.37,IF(DC99&lt;50,0.38,IF(DC99=50,0.4,0.45))))))))))</f>
        <v> </v>
      </c>
      <c r="DU99" s="272" t="str">
        <f aca="false">IF(AW99=" "," ",IF(CC99=""," ",IF(CC99&lt;2,0.2,IF(CC99=2,0.23,IF(CC99&lt;4,0.26,IF(CC99=4,0.29,IF(CC99&lt;8,0.32,IF(CC99=8,0.35,IF(CC99&lt;15,0.38,IF(CC99=15,0.41,IF(CC99&lt;30,0.44,IF(CC99=30,0.47,0.5))))))))))))</f>
        <v> </v>
      </c>
      <c r="DV99" s="244" t="str">
        <f aca="false">IF(BR99=0,"",IF(AS99=$AX$3,DT99,DU99))</f>
        <v/>
      </c>
      <c r="DW99" s="244" t="str">
        <f aca="false">IF(BR99=0,"",IF(DC99&gt;15,15+0.5*(DC99-15),DC99))</f>
        <v/>
      </c>
      <c r="DX99" s="244" t="str">
        <f aca="false">IF(BR99=0,"",IF($S$12="SI",IF(CD99="NO",IF($AD$12&gt;(BO99+1.5*$ED$15),1,0.5),0.5),1))</f>
        <v/>
      </c>
      <c r="DY99" s="244" t="str">
        <f aca="false">IF(BR99=0,"",IF($S$12="SI",IF(CD99="NO",IF($AD$12&gt;(BO99+1.5*$EE$15),1,0.5),0.5),1))</f>
        <v/>
      </c>
      <c r="DZ99" s="244" t="str">
        <f aca="false">IF(BR99=0,"",IF($S$12="SI",IF(CD99="NO",IF($AD$12&gt;(BO99+1.5*$EF$15),1,0.5),0.5),1))</f>
        <v/>
      </c>
      <c r="EA99" s="244" t="str">
        <f aca="false">IF(BR99=0,"",IF($S$12="SI",IF(CD99="NO",IF($AD$12&gt;(BO99+1.5*$ED$15),1,0.5),IF($AD$12=BO99,1,0.5)),1))</f>
        <v/>
      </c>
      <c r="EB99" s="244" t="str">
        <f aca="false">IF(BR99=0,"",IF($S$12="SI",IF(CD99="NO",IF($AD$12&gt;(BO99+1.5*$EE$15),1,0.5),IF($AD$12=BO99,1,0.5)),1))</f>
        <v/>
      </c>
      <c r="EC99" s="244" t="str">
        <f aca="false">IF(BR99=0,"",IF($S$12="SI",IF(CD99="NO",IF($AD$12&gt;(BO99+1.5*$EF$15),1,0.5),IF($AD$12=BO99,1,0.5)),1))</f>
        <v/>
      </c>
      <c r="ED99" s="244" t="str">
        <f aca="false">IF(BR99=0,"",(DW99*($ED$15/10)*(DX99+EA99*(BO99/$ED$15))*1)/3)</f>
        <v/>
      </c>
      <c r="EE99" s="244" t="str">
        <f aca="false">IF(BR99=0,"",(DW99*($EE$15/10)*(DY99+EB99*(BO99/$EE$15))*1)/3)</f>
        <v/>
      </c>
      <c r="EF99" s="244" t="str">
        <f aca="false">IF(BR99=0,"",(DW99*($EF$15/10)*(DZ99+EC99*(BO99/$EF$15))*1)/3)</f>
        <v/>
      </c>
      <c r="EG99" s="273" t="str">
        <f aca="false">IF(BR99=0,"",IF(CD99="SI",0.5,1))</f>
        <v/>
      </c>
      <c r="EH99" s="244" t="str">
        <f aca="false">IF(BR99=0,"",IF((1+0.33*(BO99/$ED$15))&lt;=1.33,(1+0.33*(BO99/$ED$15)),1.33))</f>
        <v/>
      </c>
      <c r="EI99" s="244" t="str">
        <f aca="false">IF(BR99=0,"",IF((1+0.33*(BO99/$EE$15))&lt;=1.33,(1+0.33*(BO99/$EE$15)),1.33))</f>
        <v/>
      </c>
      <c r="EJ99" s="244" t="str">
        <f aca="false">IF(BR99=0,"",IF((1+0.33*(BO99/$EF$15))&lt;=1.33,(1+0.33*(BO99/$EF$15)),1.33))</f>
        <v/>
      </c>
      <c r="EK99" s="244" t="str">
        <f aca="false">IF(BR99=0,"",IF($ED$15&lt;=1.2,((20*DC99*EG99*EH99)/3)*0.010197,((12.5*DC99*((($ED$15+0.3)^2)/$ED$15)*EG99*EH99)/3)*0.010197))</f>
        <v/>
      </c>
      <c r="EL99" s="244" t="str">
        <f aca="false">IF(BR99=0,"",IF($EE$15&lt;=1.2,((20*DC99*EG99*EI99)/3)*0.010197,((12.5*DC99*((($EE$15+0.3)^2)/$EE$15)*EG99*EI99)/3)*0.010197))</f>
        <v/>
      </c>
      <c r="EM99" s="244" t="str">
        <f aca="false">IF(BR99=0,"",IF($EF$15&lt;=1.2,((20*DC99*EG99*EJ99)/3)*0.010197,((12.5*DC99*((($EF$15+0.3)^2)/$EF$15)*EG99*EJ99)/3)*0.010197))</f>
        <v/>
      </c>
      <c r="EN99" s="248" t="str">
        <f aca="false">IF(BR99=0,"",SQRT(12*CC99)+25)</f>
        <v/>
      </c>
      <c r="EO99" s="248" t="str">
        <f aca="false">IF(BR99=0,"",28.5+0.25*CC99)</f>
        <v/>
      </c>
      <c r="EP99" s="248" t="str">
        <f aca="false">IF(BR99=0,"",SQRT(20*CC99)+15)</f>
        <v/>
      </c>
      <c r="EQ99" s="248" t="str">
        <f aca="false">IF(BR99=0,"",23.7+0.57*CC99-0.0006*CC99*CC99)</f>
        <v/>
      </c>
      <c r="ER99" s="248" t="str">
        <f aca="false">IF(BR99=0,"",15+SQRT(12.5*DC99))</f>
        <v/>
      </c>
      <c r="ES99" s="248" t="str">
        <f aca="false">IF(BR99=0,"",3.5*SQRT(CC99)+20)</f>
        <v/>
      </c>
      <c r="ET99" s="248" t="str">
        <f aca="false">IF(BR99=0,"",27.1+0.3*DC99-0.00054*DC99*DC99)</f>
        <v/>
      </c>
      <c r="EU99" s="248" t="str">
        <f aca="false">IF(BR99=0,"",SQRT(20*CC99)+20)</f>
        <v/>
      </c>
      <c r="EV99" s="248" t="str">
        <f aca="false">IF(BR99=0,"",12.79+SQRT(25.86*CC99))</f>
        <v/>
      </c>
      <c r="EW99" s="248" t="str">
        <f aca="false">IF(BR99=0,"",DEGREES(_xlfn.ACOT((CC99/(12.2+20.3*CR99))^0.34)))</f>
        <v/>
      </c>
      <c r="EX99" s="248" t="str">
        <f aca="false">IF(BR99=0,"",24+(5.77*LN(0.17*DC99)))</f>
        <v/>
      </c>
      <c r="EY99" s="248" t="str">
        <f aca="false">IF(BR99=0,"",(SUM(EN99:EX99)-MIN(EN99:EX99)-MAX(EN99:EX99))/9)</f>
        <v/>
      </c>
      <c r="EZ99" s="248" t="str">
        <f aca="false">IF(BR99=0,"", -0.0000000034*CC99^6 + 0.0000008305*CC99^5 - 0.0000741842*CC99^4 + 0.0030204278*CC99^3 - 0.0541594733*CC99^2 + 0.8083147848*CC99 - 0.6182191243)</f>
        <v/>
      </c>
      <c r="FA99" s="249" t="str">
        <f aca="false">IF(BR99=0,"",(0.134811827956989*CC99 - 0.0383064516129019)/2)</f>
        <v/>
      </c>
      <c r="FB99" s="249" t="str">
        <f aca="false">IF(BR99=0,"",CC99*0.065)</f>
        <v/>
      </c>
      <c r="FC99" s="249" t="str">
        <f aca="false">IF(BR99=0,"",(CC99*0.12*0.48)*SQRT((1+SIN(EZ99*((2*PI())/360))/(1-SIN(EZ99*((2*PI())/360))))))</f>
        <v/>
      </c>
      <c r="FD99" s="249" t="str">
        <f aca="false">IF(BR99=0,"",(CC99/8)/2)</f>
        <v/>
      </c>
      <c r="FE99" s="249" t="str">
        <f aca="false">IF(BR99=0,"",(SUM(FA99:FD99)-MIN(FA99:FD99)-MAX(FA99:FD99))/2)</f>
        <v/>
      </c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</row>
    <row r="100" customFormat="false" ht="9.75" hidden="false" customHeight="true" outlineLevel="0" collapsed="false">
      <c r="A100" s="197" t="n">
        <f aca="false">ROUND(A99+0.1,1)</f>
        <v>8.3</v>
      </c>
      <c r="B100" s="250"/>
      <c r="C100" s="251"/>
      <c r="D100" s="251"/>
      <c r="E100" s="199"/>
      <c r="F100" s="200"/>
      <c r="G100" s="254"/>
      <c r="H100" s="284"/>
      <c r="I100" s="285"/>
      <c r="J100" s="257"/>
      <c r="K100" s="258"/>
      <c r="L100" s="259"/>
      <c r="M100" s="276"/>
      <c r="N100" s="277"/>
      <c r="O100" s="277"/>
      <c r="P100" s="277"/>
      <c r="Q100" s="293"/>
      <c r="R100" s="278"/>
      <c r="S100" s="278"/>
      <c r="T100" s="295"/>
      <c r="U100" s="295"/>
      <c r="V100" s="296"/>
      <c r="W100" s="296"/>
      <c r="X100" s="296"/>
      <c r="Y100" s="296"/>
      <c r="Z100" s="296"/>
      <c r="AA100" s="296"/>
      <c r="AB100" s="297"/>
      <c r="AC100" s="298"/>
      <c r="AD100" s="299"/>
      <c r="AE100" s="298"/>
      <c r="AF100" s="300"/>
      <c r="AG100" s="267"/>
      <c r="AH100" s="267"/>
      <c r="AI100" s="241"/>
      <c r="AJ100" s="241"/>
      <c r="AK100" s="266"/>
      <c r="AL100" s="266"/>
      <c r="AM100" s="268"/>
      <c r="AN100" s="250"/>
      <c r="AO100" s="251"/>
      <c r="AP100" s="251"/>
      <c r="AQ100" s="199"/>
      <c r="AR100" s="200"/>
      <c r="AS100" s="269" t="s">
        <v>13</v>
      </c>
      <c r="AT100" s="221"/>
      <c r="AU100" s="269"/>
      <c r="AV100" s="269"/>
      <c r="AW100" s="270" t="n">
        <f aca="false">+K100+L100</f>
        <v>0</v>
      </c>
      <c r="AX100" s="270" t="str">
        <f aca="false">IF(AS100="&gt;50","CONSISTENCIA",IF(AS100="&lt;50","COMPACIDAD"," "))</f>
        <v>COMPACIDAD</v>
      </c>
      <c r="AY100" s="225" t="str">
        <f aca="false">IF(AS100="&gt;50",AZ100,IF(AS100="&lt;50",BA100," "))</f>
        <v> </v>
      </c>
      <c r="AZ100" s="224" t="str">
        <f aca="false">IF(AW100=" "," ",IF(CC100=""," ",IF(CC100&lt;2,"MUY BLANDA",IF(CC100=2,"MUY BLANDA A BLANDA",IF(CC100&lt;4,"BLANDA",IF(CC100=4,"BLANDA A MEDIA",IF(CC100&lt;8,"MEDIA",IF(CC100=8,"MEDIA A FIRME",IF(CC100&lt;15,"FIRME",IF(CC100=15,"FIRME A MUY FIRME",IF(CC100&lt;30,"MUY FIRME",IF(CC100=30,"MUY FIRME A DURA","DURA"))))))))))))</f>
        <v> </v>
      </c>
      <c r="BA100" s="225" t="str">
        <f aca="false">IF(AW100=" "," ",IF(DC100=""," ",IF(DC100&lt;4,"MUY SUELTA",IF(DC100=4,"MUY SUELTA A SUELTA",IF(DC100&lt;10,"SUELTA",IF(DC100=10,"SUELTA A MEDIA",IF(DC100&lt;30,"MEDIA",IF(DC100=30,"MEDIA A DENSO",IF(DC100&lt;50,"DENSO",IF(DC100=50,"DENSO MUY DENSO","MUY DENSO"))))))))))</f>
        <v> </v>
      </c>
      <c r="BB100" s="226" t="str">
        <f aca="false">IF(BR101=0,"",CQ101*0.0101972)</f>
        <v/>
      </c>
      <c r="BC100" s="227" t="n">
        <f aca="false">+BC99+0.1</f>
        <v>8.29999999999999</v>
      </c>
      <c r="BD100" s="227" t="str">
        <f aca="false">IF(BC100&lt;=$AN$10,BC100,"")</f>
        <v/>
      </c>
      <c r="BE100" s="228" t="n">
        <f aca="false">ISNUMBER(BD100)</f>
        <v>0</v>
      </c>
      <c r="BF100" s="229" t="str">
        <f aca="false">MID(M100,1,1)</f>
        <v/>
      </c>
      <c r="BG100" s="230" t="str">
        <f aca="false">IF(BF100="S","",IF(BF100="G","",MID(M100,2,1)))</f>
        <v/>
      </c>
      <c r="BH100" s="231" t="str">
        <f aca="false">CONCATENATE(BF100,BG100)</f>
        <v/>
      </c>
      <c r="BI100" s="6" t="str">
        <f aca="false">IF(BE100=FALSE(),"",IF(BH100="",BI99,BH100))</f>
        <v/>
      </c>
      <c r="BJ100" s="74" t="str">
        <f aca="false">IF(OR(BI100="S",BI100="G"),BI100,"X")</f>
        <v>X</v>
      </c>
      <c r="BK100" s="74" t="s">
        <v>260</v>
      </c>
      <c r="BL100" s="312" t="e">
        <f aca="false">INDEX(sim_0,MATCH($BJ$100,granular,0))</f>
        <v>#NAME?</v>
      </c>
      <c r="BM100" s="312"/>
      <c r="BN100" s="6"/>
      <c r="BO100" s="191" t="n">
        <f aca="false">BO99+0.1</f>
        <v>8.29999999999999</v>
      </c>
      <c r="BP100" s="233" t="e">
        <f aca="false">IF(AW100=0,NA(),IF(AS100=$AX$3,ROUND(DC100,0),NA()))</f>
        <v>#N/A</v>
      </c>
      <c r="BQ100" s="31" t="e">
        <f aca="false">IF(AW100=0,NA(),IF(AS100=$AX$4,ROUND(CC100,0),NA()))</f>
        <v>#N/A</v>
      </c>
      <c r="BR100" s="234" t="n">
        <f aca="false">+AW100</f>
        <v>0</v>
      </c>
      <c r="BS100" s="235" t="str">
        <f aca="false">IF(BR100=0,"", -0.00000000016128755327*CC100^6 + 0.00000006709386362421*CC100^5 - 0.0000106217678052217*CC100^4 + 0.00081068114193385*CC100^3 - 0.0314027378159951*CC100^2 + 0.649796593937842*CC100 + 13.7888866455022)</f>
        <v/>
      </c>
      <c r="BT100" s="235" t="str">
        <f aca="false">IF(BR100=0,"",-0.00000000014625939695*CC100^6 + 0.00000004971732060241*CC100^5 - 0.000006683744342031*CC100^4 + 0.0004563177378098*CC100^3 - 0.0171727530635803*CC100^2 + 0.444529932876435*CC100 + 15.6692518940565)</f>
        <v/>
      </c>
      <c r="BU100" s="236" t="str">
        <f aca="false">IF(BR100=0,"", -0.0000000008152265738*BR100^6 + 0.00000022764320256987*BR100^5 - 0.0000248205675927705*BR100^4 + 0.00133186623684865*BR100^3 - 0.0368442570441677*BR100^2 + 0.580111565569094*BR100 + 14.0417598296107)</f>
        <v/>
      </c>
      <c r="BV100" s="236" t="str">
        <f aca="false">IF(BR100=0,"", -0.00000000004321395721*BR100^6 + 0.00000002531844275498*BR100^5 - 0.00000369428022780862*BR100^4 + 0.00020283665900125*BR100^3 - 0.00462426256803268*BR100^2 + 0.139572935065453*BR100 + 15.4475338156923)</f>
        <v/>
      </c>
      <c r="BW100" s="236" t="str">
        <f aca="false">IF(BR100=0,"",-0.00000000033126390082*BR100^6 + 0.00000010463660614506*BR100^5 - 0.0000129629592998707*BR100^4 + 0.000803946335250767*BR100^3 - 0.0270257140395994*BR100^2 + 0.562590210721552*BR100+ 12.1254107606419)</f>
        <v/>
      </c>
      <c r="BX100" s="236" t="str">
        <f aca="false">IF(BR100=0,"",-0.00000000002593504955*BR100^6 + 0.00000002430495156704*BR100^5 - 0.00000386103271086364*BR100^4 + 0.000214416118986322*BR100^3 - 0.0047271462612021*BR100^2 + 0.156696175741135*BR100 + 15.4598891949502)</f>
        <v/>
      </c>
      <c r="BY100" s="234" t="str">
        <f aca="false">IF(BR100=0,"",$BS$2)</f>
        <v/>
      </c>
      <c r="BZ100" s="234" t="str">
        <f aca="false">IF(BR100=0,"",$BS$3)</f>
        <v/>
      </c>
      <c r="CA100" s="234" t="str">
        <f aca="false">IF(BR100=0,"",$BS$4)</f>
        <v/>
      </c>
      <c r="CB100" s="235" t="str">
        <f aca="false">IF(BR100=0,"",IF(AND(BO100&gt;=0,BO100&lt;4),0.75,IF(AND(BO100&gt;=4,BO100&lt;6),0.85,IF(AND(BO100&gt;=6,BO100&lt;=10),0.95,1))))</f>
        <v/>
      </c>
      <c r="CC100" s="234" t="str">
        <f aca="false">IF(BR100=0,"",BR100*BY100*BZ100*CA100*CB100/60)</f>
        <v/>
      </c>
      <c r="CD100" s="238" t="str">
        <f aca="false">IF(BR100=0,"",IF($S$12="NO","NO",IF($AD$12&lt;=BO100,"SI","NO")))</f>
        <v/>
      </c>
      <c r="CE100" s="235" t="n">
        <f aca="false">IF(BR100=0,0,AB100)</f>
        <v>0</v>
      </c>
      <c r="CF100" s="235" t="n">
        <f aca="false">IF(CE100&gt;0,BO100,0)</f>
        <v>0</v>
      </c>
      <c r="CG100" s="239" t="n">
        <f aca="false">IF(CF100=0,CF100+CG99,CF100)</f>
        <v>0</v>
      </c>
      <c r="CH100" s="239" t="n">
        <f aca="false">IF(CG100=CG99,CH99,ABS(CG100-CG99))</f>
        <v>0</v>
      </c>
      <c r="CI100" s="239" t="n">
        <f aca="false">+CE100*CH100</f>
        <v>0</v>
      </c>
      <c r="CJ100" s="239" t="n">
        <f aca="false">IF(CI100=0,CI100+CJ99,CI100)</f>
        <v>0</v>
      </c>
      <c r="CK100" s="239" t="n">
        <f aca="false">IF(CJ100=CJ99,CK99,ABS(CJ100+CK99))</f>
        <v>0</v>
      </c>
      <c r="CL100" s="241" t="n">
        <f aca="false">IF(CE100=0,0,CK100)</f>
        <v>0</v>
      </c>
      <c r="CM100" s="239" t="n">
        <f aca="false">IF(CE100=0,0,CH100*9.81)</f>
        <v>0</v>
      </c>
      <c r="CN100" s="239" t="n">
        <f aca="false">IF(CM100=0,CM100+CN99,CM100)</f>
        <v>0</v>
      </c>
      <c r="CO100" s="239" t="n">
        <f aca="false">IF(CN100=CN99,CO99,ABS(CN100+CO99))</f>
        <v>0</v>
      </c>
      <c r="CP100" s="241" t="n">
        <f aca="false">IF(CD100="NO",0,IF(CE100=0,0,CO100))</f>
        <v>0</v>
      </c>
      <c r="CQ100" s="244" t="str">
        <f aca="false">IF(BR100=0,"",CL100-CP100)</f>
        <v/>
      </c>
      <c r="CR100" s="244" t="str">
        <f aca="false">IF(BR100=0,"",CQ100/101.3)</f>
        <v/>
      </c>
      <c r="CS100" s="244" t="str">
        <f aca="false">IF(BR100=0,"",LOG(10/CR100))</f>
        <v/>
      </c>
      <c r="CT100" s="243" t="str">
        <f aca="false">IF(BR100=0,"",IF(SQRT(101.3/CQ100)&lt;=1.7,SQRT(101.3/CQ100),2.2/(1.2+(CQ100/101.3))))</f>
        <v/>
      </c>
      <c r="CU100" s="244" t="str">
        <f aca="false">IF(BR100=0,"",1.7/(0.7+CR100))</f>
        <v/>
      </c>
      <c r="CV100" s="244" t="str">
        <f aca="false">IF(BR100=0,"",IF(CR100&gt;=0.25,0.77*LOG(20/CR100),""))</f>
        <v/>
      </c>
      <c r="CW100" s="244" t="str">
        <f aca="false">IF(BR100=0,"",32.5/(10.2+20.3*CR100))</f>
        <v/>
      </c>
      <c r="CX100" s="244" t="str">
        <f aca="false">IF(BR100=0,"",1-1.25*LOG(CR100))</f>
        <v/>
      </c>
      <c r="CY100" s="244" t="str">
        <f aca="false">IF(BR100=0,"",IF(CR100&lt;1,1-1.41*LOG(CR100),1+0.92*LOG(CR100)))</f>
        <v/>
      </c>
      <c r="CZ100" s="244" t="str">
        <f aca="false">IF(BR100=0,"",2/(1+CR100))</f>
        <v/>
      </c>
      <c r="DA100" s="244" t="str">
        <f aca="false">IF(BR100=0,"",IF(CR100&lt;=0.75,4/(1+4*CR100),4/(3.25+CR100)))</f>
        <v/>
      </c>
      <c r="DB100" s="244" t="str">
        <f aca="false">IF(BR100=0,"",CT100)</f>
        <v/>
      </c>
      <c r="DC100" s="244" t="str">
        <f aca="false">IF(BR100=0,"",DB100*CC100)</f>
        <v/>
      </c>
      <c r="DD100" s="244"/>
      <c r="DE100" s="244" t="str">
        <f aca="false">IF(BR100=0,"",0.193*(CC100/(CQ100*0.001))^0.689)</f>
        <v/>
      </c>
      <c r="DF100" s="244" t="str">
        <f aca="false">IF(BR100=0,"",IF(AS100=$AX$4,(0.1348118*CC100 - 0.0383065)*98.0665,""))</f>
        <v/>
      </c>
      <c r="DG100" s="244" t="str">
        <f aca="false">IF(BR100=0,"",IF(AS100=$AX$4,DF100/2,""))</f>
        <v/>
      </c>
      <c r="DH100" s="244" t="str">
        <f aca="false">IF(BR100=0,"",IF(DC100&lt;=15,12*(DC100+6),40+12*(DC100-6)))</f>
        <v/>
      </c>
      <c r="DI100" s="244" t="str">
        <f aca="false">IF(BR100=0,"",IF(CD100="SI",5*(DC100+15),((3.3*(DC100+15))+(4*(DC100+12)))/2))</f>
        <v/>
      </c>
      <c r="DJ100" s="244" t="str">
        <f aca="false">IF(BR100=0,"",8*DC100)</f>
        <v/>
      </c>
      <c r="DK100" s="244" t="str">
        <f aca="false">IF(BR100=0,"",215+(10.6*DC100))</f>
        <v/>
      </c>
      <c r="DL100" s="244" t="str">
        <f aca="false">IF(BR100=0,"",10*(7.5+(0.5*DC100)))</f>
        <v/>
      </c>
      <c r="DM100" s="244" t="str">
        <f aca="false">IF(BR100=0,"",8*DC100)</f>
        <v/>
      </c>
      <c r="DN100" s="244" t="str">
        <f aca="false">IF(AW100=" "," ",IF(DC100=""," ",IF(DC100&lt;4,10*10.2,IF(DC100=4,12*10.2,IF(DC100&lt;10,17.5*10.5,IF(DC100=10,15*10.2,IF(DC100&lt;30,22.5*10.2,IF(DC100=30,35*10.2,IF(DC100&lt;50,40*10.2,IF(DC100=50,50*10.2,55*10.2))))))))))</f>
        <v> </v>
      </c>
      <c r="DO100" s="244" t="str">
        <f aca="false">IF(BR100=0,"",7*SQRT(DC100)*10.1972)</f>
        <v/>
      </c>
      <c r="DP100" s="244" t="str">
        <f aca="false">IF(BR100=0,"",IF(AS100=$AX$4,5*CC100,""))</f>
        <v/>
      </c>
      <c r="DQ100" s="244" t="str">
        <f aca="false">IF(AW100=" "," ",IF(DC100=""," ",IF(DC100&lt;2,4*10.2,IF(DC100=2,6*10.2,IF(DC100&lt;4,12*10.2,IF(DC100=4,20*10.2,IF(DC100&lt;8,30*10.2,IF(DC100=8,35*10.2,IF(DC100&lt;15,40*10.2,IF(DC100=15,42*10.2,IF(DC100&lt;30,45*10.2,IF(DC100=30,50*10.2,70*10.2))))))))))))</f>
        <v> </v>
      </c>
      <c r="DR100" s="244" t="str">
        <f aca="false">IF(BR100=0,"",IF(AS100=$AX$4,220*DP100*0.0101972,""))</f>
        <v/>
      </c>
      <c r="DS100" s="271" t="str">
        <f aca="false">IF(BR100=0,"",IF(AS100=$AX$7,(SUM(DH100:DO100)-MIN(DH100:DO100)-MAX(DH100:DO100))/6,(SUM(DO100:DR100)-MIN(DO100:DR100)-MAX(DO100:DR100))/2))</f>
        <v/>
      </c>
      <c r="DT100" s="244" t="str">
        <f aca="false">IF(AW100=" "," ",IF(DC100=""," ",IF(DC100&lt;4,0.2,IF(DC100=4,0.27,IF(DC100&lt;10,0.33,IF(DC100=10,0.35,IF(DC100&lt;30,0.36,IF(DC100=30,0.37,IF(DC100&lt;50,0.38,IF(DC100=50,0.4,0.45))))))))))</f>
        <v> </v>
      </c>
      <c r="DU100" s="272" t="str">
        <f aca="false">IF(AW100=" "," ",IF(CC100=""," ",IF(CC100&lt;2,0.2,IF(CC100=2,0.23,IF(CC100&lt;4,0.26,IF(CC100=4,0.29,IF(CC100&lt;8,0.32,IF(CC100=8,0.35,IF(CC100&lt;15,0.38,IF(CC100=15,0.41,IF(CC100&lt;30,0.44,IF(CC100=30,0.47,0.5))))))))))))</f>
        <v> </v>
      </c>
      <c r="DV100" s="244" t="str">
        <f aca="false">IF(BR100=0,"",IF(AS100=$AX$3,DT100,DU100))</f>
        <v/>
      </c>
      <c r="DW100" s="244" t="str">
        <f aca="false">IF(BR100=0,"",IF(DC100&gt;15,15+0.5*(DC100-15),DC100))</f>
        <v/>
      </c>
      <c r="DX100" s="244" t="str">
        <f aca="false">IF(BR100=0,"",IF($S$12="SI",IF(CD100="NO",IF($AD$12&gt;(BO100+1.5*$ED$15),1,0.5),0.5),1))</f>
        <v/>
      </c>
      <c r="DY100" s="244" t="str">
        <f aca="false">IF(BR100=0,"",IF($S$12="SI",IF(CD100="NO",IF($AD$12&gt;(BO100+1.5*$EE$15),1,0.5),0.5),1))</f>
        <v/>
      </c>
      <c r="DZ100" s="244" t="str">
        <f aca="false">IF(BR100=0,"",IF($S$12="SI",IF(CD100="NO",IF($AD$12&gt;(BO100+1.5*$EF$15),1,0.5),0.5),1))</f>
        <v/>
      </c>
      <c r="EA100" s="244" t="str">
        <f aca="false">IF(BR100=0,"",IF($S$12="SI",IF(CD100="NO",IF($AD$12&gt;(BO100+1.5*$ED$15),1,0.5),IF($AD$12=BO100,1,0.5)),1))</f>
        <v/>
      </c>
      <c r="EB100" s="244" t="str">
        <f aca="false">IF(BR100=0,"",IF($S$12="SI",IF(CD100="NO",IF($AD$12&gt;(BO100+1.5*$EE$15),1,0.5),IF($AD$12=BO100,1,0.5)),1))</f>
        <v/>
      </c>
      <c r="EC100" s="244" t="str">
        <f aca="false">IF(BR100=0,"",IF($S$12="SI",IF(CD100="NO",IF($AD$12&gt;(BO100+1.5*$EF$15),1,0.5),IF($AD$12=BO100,1,0.5)),1))</f>
        <v/>
      </c>
      <c r="ED100" s="244" t="str">
        <f aca="false">IF(BR100=0,"",(DW100*($ED$15/10)*(DX100+EA100*(BO100/$ED$15))*1)/3)</f>
        <v/>
      </c>
      <c r="EE100" s="244" t="str">
        <f aca="false">IF(BR100=0,"",(DW100*($EE$15/10)*(DY100+EB100*(BO100/$EE$15))*1)/3)</f>
        <v/>
      </c>
      <c r="EF100" s="244" t="str">
        <f aca="false">IF(BR100=0,"",(DW100*($EF$15/10)*(DZ100+EC100*(BO100/$EF$15))*1)/3)</f>
        <v/>
      </c>
      <c r="EG100" s="273" t="str">
        <f aca="false">IF(BR100=0,"",IF(CD100="SI",0.5,1))</f>
        <v/>
      </c>
      <c r="EH100" s="244" t="str">
        <f aca="false">IF(BR100=0,"",IF((1+0.33*(BO100/$ED$15))&lt;=1.33,(1+0.33*(BO100/$ED$15)),1.33))</f>
        <v/>
      </c>
      <c r="EI100" s="244" t="str">
        <f aca="false">IF(BR100=0,"",IF((1+0.33*(BO100/$EE$15))&lt;=1.33,(1+0.33*(BO100/$EE$15)),1.33))</f>
        <v/>
      </c>
      <c r="EJ100" s="244" t="str">
        <f aca="false">IF(BR100=0,"",IF((1+0.33*(BO100/$EF$15))&lt;=1.33,(1+0.33*(BO100/$EF$15)),1.33))</f>
        <v/>
      </c>
      <c r="EK100" s="244" t="str">
        <f aca="false">IF(BR100=0,"",IF($ED$15&lt;=1.2,((20*DC100*EG100*EH100)/3)*0.010197,((12.5*DC100*((($ED$15+0.3)^2)/$ED$15)*EG100*EH100)/3)*0.010197))</f>
        <v/>
      </c>
      <c r="EL100" s="244" t="str">
        <f aca="false">IF(BR100=0,"",IF($EE$15&lt;=1.2,((20*DC100*EG100*EI100)/3)*0.010197,((12.5*DC100*((($EE$15+0.3)^2)/$EE$15)*EG100*EI100)/3)*0.010197))</f>
        <v/>
      </c>
      <c r="EM100" s="244" t="str">
        <f aca="false">IF(BR100=0,"",IF($EF$15&lt;=1.2,((20*DC100*EG100*EJ100)/3)*0.010197,((12.5*DC100*((($EF$15+0.3)^2)/$EF$15)*EG100*EJ100)/3)*0.010197))</f>
        <v/>
      </c>
      <c r="EN100" s="248" t="str">
        <f aca="false">IF(BR100=0,"",SQRT(12*CC100)+25)</f>
        <v/>
      </c>
      <c r="EO100" s="248" t="str">
        <f aca="false">IF(BR100=0,"",28.5+0.25*CC100)</f>
        <v/>
      </c>
      <c r="EP100" s="248" t="str">
        <f aca="false">IF(BR100=0,"",SQRT(20*CC100)+15)</f>
        <v/>
      </c>
      <c r="EQ100" s="248" t="str">
        <f aca="false">IF(BR100=0,"",23.7+0.57*CC100-0.0006*CC100*CC100)</f>
        <v/>
      </c>
      <c r="ER100" s="248" t="str">
        <f aca="false">IF(BR100=0,"",15+SQRT(12.5*DC100))</f>
        <v/>
      </c>
      <c r="ES100" s="248" t="str">
        <f aca="false">IF(BR100=0,"",3.5*SQRT(CC100)+20)</f>
        <v/>
      </c>
      <c r="ET100" s="248" t="str">
        <f aca="false">IF(BR100=0,"",27.1+0.3*DC100-0.00054*DC100*DC100)</f>
        <v/>
      </c>
      <c r="EU100" s="248" t="str">
        <f aca="false">IF(BR100=0,"",SQRT(20*CC100)+20)</f>
        <v/>
      </c>
      <c r="EV100" s="248" t="str">
        <f aca="false">IF(BR100=0,"",12.79+SQRT(25.86*CC100))</f>
        <v/>
      </c>
      <c r="EW100" s="248" t="str">
        <f aca="false">IF(BR100=0,"",DEGREES(_xlfn.ACOT((CC100/(12.2+20.3*CR100))^0.34)))</f>
        <v/>
      </c>
      <c r="EX100" s="248" t="str">
        <f aca="false">IF(BR100=0,"",24+(5.77*LN(0.17*DC100)))</f>
        <v/>
      </c>
      <c r="EY100" s="248" t="str">
        <f aca="false">IF(BR100=0,"",(SUM(EN100:EX100)-MIN(EN100:EX100)-MAX(EN100:EX100))/9)</f>
        <v/>
      </c>
      <c r="EZ100" s="248" t="str">
        <f aca="false">IF(BR100=0,"", -0.0000000034*CC100^6 + 0.0000008305*CC100^5 - 0.0000741842*CC100^4 + 0.0030204278*CC100^3 - 0.0541594733*CC100^2 + 0.8083147848*CC100 - 0.6182191243)</f>
        <v/>
      </c>
      <c r="FA100" s="249" t="str">
        <f aca="false">IF(BR100=0,"",(0.134811827956989*CC100 - 0.0383064516129019)/2)</f>
        <v/>
      </c>
      <c r="FB100" s="249" t="str">
        <f aca="false">IF(BR100=0,"",CC100*0.065)</f>
        <v/>
      </c>
      <c r="FC100" s="249" t="str">
        <f aca="false">IF(BR100=0,"",(CC100*0.12*0.48)*SQRT((1+SIN(EZ100*((2*PI())/360))/(1-SIN(EZ100*((2*PI())/360))))))</f>
        <v/>
      </c>
      <c r="FD100" s="249" t="str">
        <f aca="false">IF(BR100=0,"",(CC100/8)/2)</f>
        <v/>
      </c>
      <c r="FE100" s="249" t="str">
        <f aca="false">IF(BR100=0,"",(SUM(FA100:FD100)-MIN(FA100:FD100)-MAX(FA100:FD100))/2)</f>
        <v/>
      </c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</row>
    <row r="101" customFormat="false" ht="9.75" hidden="false" customHeight="true" outlineLevel="0" collapsed="false">
      <c r="A101" s="197" t="n">
        <f aca="false">ROUND(A100+0.1,1)</f>
        <v>8.4</v>
      </c>
      <c r="B101" s="250" t="n">
        <f aca="false">+A101</f>
        <v>8.4</v>
      </c>
      <c r="C101" s="251"/>
      <c r="D101" s="251"/>
      <c r="E101" s="274"/>
      <c r="F101" s="253"/>
      <c r="G101" s="254"/>
      <c r="H101" s="284"/>
      <c r="I101" s="285"/>
      <c r="J101" s="257"/>
      <c r="K101" s="258"/>
      <c r="L101" s="259"/>
      <c r="M101" s="276"/>
      <c r="N101" s="277"/>
      <c r="O101" s="277"/>
      <c r="P101" s="277"/>
      <c r="Q101" s="293"/>
      <c r="R101" s="278"/>
      <c r="S101" s="278"/>
      <c r="T101" s="295"/>
      <c r="U101" s="295"/>
      <c r="V101" s="296"/>
      <c r="W101" s="296"/>
      <c r="X101" s="296"/>
      <c r="Y101" s="296"/>
      <c r="Z101" s="296"/>
      <c r="AA101" s="296"/>
      <c r="AB101" s="297"/>
      <c r="AC101" s="298"/>
      <c r="AD101" s="299"/>
      <c r="AE101" s="298"/>
      <c r="AF101" s="300"/>
      <c r="AG101" s="267"/>
      <c r="AH101" s="267"/>
      <c r="AI101" s="241"/>
      <c r="AJ101" s="241"/>
      <c r="AK101" s="266"/>
      <c r="AL101" s="266"/>
      <c r="AM101" s="268"/>
      <c r="AN101" s="250" t="n">
        <f aca="false">+AN99+0.2</f>
        <v>8.4</v>
      </c>
      <c r="AO101" s="251"/>
      <c r="AP101" s="251"/>
      <c r="AQ101" s="274"/>
      <c r="AR101" s="253"/>
      <c r="AS101" s="269" t="s">
        <v>13</v>
      </c>
      <c r="AT101" s="221"/>
      <c r="AU101" s="269"/>
      <c r="AV101" s="269"/>
      <c r="AW101" s="270" t="n">
        <f aca="false">+K101+L101</f>
        <v>0</v>
      </c>
      <c r="AX101" s="270" t="str">
        <f aca="false">IF(AS101="&gt;50","CONSISTENCIA",IF(AS101="&lt;50","COMPACIDAD"," "))</f>
        <v>COMPACIDAD</v>
      </c>
      <c r="AY101" s="225" t="str">
        <f aca="false">IF(AS101="&gt;50",AZ101,IF(AS101="&lt;50",BA101," "))</f>
        <v> </v>
      </c>
      <c r="AZ101" s="224" t="str">
        <f aca="false">IF(AW101=" "," ",IF(CC101=""," ",IF(CC101&lt;2,"MUY BLANDA",IF(CC101=2,"MUY BLANDA A BLANDA",IF(CC101&lt;4,"BLANDA",IF(CC101=4,"BLANDA A MEDIA",IF(CC101&lt;8,"MEDIA",IF(CC101=8,"MEDIA A FIRME",IF(CC101&lt;15,"FIRME",IF(CC101=15,"FIRME A MUY FIRME",IF(CC101&lt;30,"MUY FIRME",IF(CC101=30,"MUY FIRME A DURA","DURA"))))))))))))</f>
        <v> </v>
      </c>
      <c r="BA101" s="225" t="str">
        <f aca="false">IF(AW101=" "," ",IF(DC101=""," ",IF(DC101&lt;4,"MUY SUELTA",IF(DC101=4,"MUY SUELTA A SUELTA",IF(DC101&lt;10,"SUELTA",IF(DC101=10,"SUELTA A MEDIA",IF(DC101&lt;30,"MEDIA",IF(DC101=30,"MEDIA A DENSO",IF(DC101&lt;50,"DENSO",IF(DC101=50,"DENSO MUY DENSO","MUY DENSO"))))))))))</f>
        <v> </v>
      </c>
      <c r="BB101" s="226" t="str">
        <f aca="false">IF(BR102=0,"",CQ102*0.0101972)</f>
        <v/>
      </c>
      <c r="BC101" s="227" t="n">
        <f aca="false">+BC100+0.1</f>
        <v>8.39999999999999</v>
      </c>
      <c r="BD101" s="227" t="str">
        <f aca="false">IF(BC101&lt;=$AN$10,BC101,"")</f>
        <v/>
      </c>
      <c r="BE101" s="228" t="n">
        <f aca="false">ISNUMBER(BD101)</f>
        <v>0</v>
      </c>
      <c r="BF101" s="229" t="str">
        <f aca="false">MID(M101,1,1)</f>
        <v/>
      </c>
      <c r="BG101" s="230" t="str">
        <f aca="false">IF(BF101="S","",IF(BF101="G","",MID(M101,2,1)))</f>
        <v/>
      </c>
      <c r="BH101" s="231" t="str">
        <f aca="false">CONCATENATE(BF101,BG101)</f>
        <v/>
      </c>
      <c r="BI101" s="6" t="str">
        <f aca="false">IF(BE101=FALSE(),"",IF(BH101="",BI100,BH101))</f>
        <v/>
      </c>
      <c r="BJ101" s="74" t="str">
        <f aca="false">IF(OR(BI101="S",BI101="G"),BI101,"X")</f>
        <v>X</v>
      </c>
      <c r="BK101" s="74" t="s">
        <v>261</v>
      </c>
      <c r="BL101" s="312" t="e">
        <f aca="false">INDEX(sim_0,MATCH($BJ$101,granular,0))</f>
        <v>#NAME?</v>
      </c>
      <c r="BM101" s="312"/>
      <c r="BN101" s="6"/>
      <c r="BO101" s="191" t="n">
        <f aca="false">BO100+0.1</f>
        <v>8.39999999999999</v>
      </c>
      <c r="BP101" s="233" t="e">
        <f aca="false">IF(AW101=0,NA(),IF(AS101=$AX$3,ROUND(DC101,0),NA()))</f>
        <v>#N/A</v>
      </c>
      <c r="BQ101" s="31" t="e">
        <f aca="false">IF(AW101=0,NA(),IF(AS101=$AX$4,ROUND(CC101,0),NA()))</f>
        <v>#N/A</v>
      </c>
      <c r="BR101" s="234" t="n">
        <f aca="false">+AW101</f>
        <v>0</v>
      </c>
      <c r="BS101" s="235" t="str">
        <f aca="false">IF(BR101=0,"", -0.00000000016128755327*CC101^6 + 0.00000006709386362421*CC101^5 - 0.0000106217678052217*CC101^4 + 0.00081068114193385*CC101^3 - 0.0314027378159951*CC101^2 + 0.649796593937842*CC101 + 13.7888866455022)</f>
        <v/>
      </c>
      <c r="BT101" s="235" t="str">
        <f aca="false">IF(BR101=0,"",-0.00000000014625939695*CC101^6 + 0.00000004971732060241*CC101^5 - 0.000006683744342031*CC101^4 + 0.0004563177378098*CC101^3 - 0.0171727530635803*CC101^2 + 0.444529932876435*CC101 + 15.6692518940565)</f>
        <v/>
      </c>
      <c r="BU101" s="236" t="str">
        <f aca="false">IF(BR101=0,"", -0.0000000008152265738*BR101^6 + 0.00000022764320256987*BR101^5 - 0.0000248205675927705*BR101^4 + 0.00133186623684865*BR101^3 - 0.0368442570441677*BR101^2 + 0.580111565569094*BR101 + 14.0417598296107)</f>
        <v/>
      </c>
      <c r="BV101" s="236" t="str">
        <f aca="false">IF(BR101=0,"", -0.00000000004321395721*BR101^6 + 0.00000002531844275498*BR101^5 - 0.00000369428022780862*BR101^4 + 0.00020283665900125*BR101^3 - 0.00462426256803268*BR101^2 + 0.139572935065453*BR101 + 15.4475338156923)</f>
        <v/>
      </c>
      <c r="BW101" s="236" t="str">
        <f aca="false">IF(BR101=0,"",-0.00000000033126390082*BR101^6 + 0.00000010463660614506*BR101^5 - 0.0000129629592998707*BR101^4 + 0.000803946335250767*BR101^3 - 0.0270257140395994*BR101^2 + 0.562590210721552*BR101+ 12.1254107606419)</f>
        <v/>
      </c>
      <c r="BX101" s="236" t="str">
        <f aca="false">IF(BR101=0,"",-0.00000000002593504955*BR101^6 + 0.00000002430495156704*BR101^5 - 0.00000386103271086364*BR101^4 + 0.000214416118986322*BR101^3 - 0.0047271462612021*BR101^2 + 0.156696175741135*BR101 + 15.4598891949502)</f>
        <v/>
      </c>
      <c r="BY101" s="234" t="str">
        <f aca="false">IF(BR101=0,"",$BS$2)</f>
        <v/>
      </c>
      <c r="BZ101" s="234" t="str">
        <f aca="false">IF(BR101=0,"",$BS$3)</f>
        <v/>
      </c>
      <c r="CA101" s="234" t="str">
        <f aca="false">IF(BR101=0,"",$BS$4)</f>
        <v/>
      </c>
      <c r="CB101" s="235" t="str">
        <f aca="false">IF(BR101=0,"",IF(AND(BO101&gt;=0,BO101&lt;4),0.75,IF(AND(BO101&gt;=4,BO101&lt;6),0.85,IF(AND(BO101&gt;=6,BO101&lt;=10),0.95,1))))</f>
        <v/>
      </c>
      <c r="CC101" s="234" t="str">
        <f aca="false">IF(BR101=0,"",BR101*BY101*BZ101*CA101*CB101/60)</f>
        <v/>
      </c>
      <c r="CD101" s="238" t="str">
        <f aca="false">IF(BR101=0,"",IF($S$12="NO","NO",IF($AD$12&lt;=BO101,"SI","NO")))</f>
        <v/>
      </c>
      <c r="CE101" s="235" t="n">
        <f aca="false">IF(BR101=0,0,AB101)</f>
        <v>0</v>
      </c>
      <c r="CF101" s="235" t="n">
        <f aca="false">IF(CE101&gt;0,BO101,0)</f>
        <v>0</v>
      </c>
      <c r="CG101" s="239" t="n">
        <f aca="false">IF(CF101=0,CF101+CG100,CF101)</f>
        <v>0</v>
      </c>
      <c r="CH101" s="239" t="n">
        <f aca="false">IF(CG101=CG100,CH100,ABS(CG101-CG100))</f>
        <v>0</v>
      </c>
      <c r="CI101" s="239" t="n">
        <f aca="false">+CE101*CH101</f>
        <v>0</v>
      </c>
      <c r="CJ101" s="239" t="n">
        <f aca="false">IF(CI101=0,CI101+CJ100,CI101)</f>
        <v>0</v>
      </c>
      <c r="CK101" s="239" t="n">
        <f aca="false">IF(CJ101=CJ100,CK100,ABS(CJ101+CK100))</f>
        <v>0</v>
      </c>
      <c r="CL101" s="241" t="n">
        <f aca="false">IF(CE101=0,0,CK101)</f>
        <v>0</v>
      </c>
      <c r="CM101" s="239" t="n">
        <f aca="false">IF(CE101=0,0,CH101*9.81)</f>
        <v>0</v>
      </c>
      <c r="CN101" s="239" t="n">
        <f aca="false">IF(CM101=0,CM101+CN100,CM101)</f>
        <v>0</v>
      </c>
      <c r="CO101" s="239" t="n">
        <f aca="false">IF(CN101=CN100,CO100,ABS(CN101+CO100))</f>
        <v>0</v>
      </c>
      <c r="CP101" s="241" t="n">
        <f aca="false">IF(CD101="NO",0,IF(CE101=0,0,CO101))</f>
        <v>0</v>
      </c>
      <c r="CQ101" s="244" t="str">
        <f aca="false">IF(BR101=0,"",CL101-CP101)</f>
        <v/>
      </c>
      <c r="CR101" s="244" t="str">
        <f aca="false">IF(BR101=0,"",CQ101/101.3)</f>
        <v/>
      </c>
      <c r="CS101" s="244" t="str">
        <f aca="false">IF(BR101=0,"",LOG(10/CR101))</f>
        <v/>
      </c>
      <c r="CT101" s="243" t="str">
        <f aca="false">IF(BR101=0,"",IF(SQRT(101.3/CQ101)&lt;=1.7,SQRT(101.3/CQ101),2.2/(1.2+(CQ101/101.3))))</f>
        <v/>
      </c>
      <c r="CU101" s="244" t="str">
        <f aca="false">IF(BR101=0,"",1.7/(0.7+CR101))</f>
        <v/>
      </c>
      <c r="CV101" s="244" t="str">
        <f aca="false">IF(BR101=0,"",IF(CR101&gt;=0.25,0.77*LOG(20/CR101),""))</f>
        <v/>
      </c>
      <c r="CW101" s="244" t="str">
        <f aca="false">IF(BR101=0,"",32.5/(10.2+20.3*CR101))</f>
        <v/>
      </c>
      <c r="CX101" s="244" t="str">
        <f aca="false">IF(BR101=0,"",1-1.25*LOG(CR101))</f>
        <v/>
      </c>
      <c r="CY101" s="244" t="str">
        <f aca="false">IF(BR101=0,"",IF(CR101&lt;1,1-1.41*LOG(CR101),1+0.92*LOG(CR101)))</f>
        <v/>
      </c>
      <c r="CZ101" s="244" t="str">
        <f aca="false">IF(BR101=0,"",2/(1+CR101))</f>
        <v/>
      </c>
      <c r="DA101" s="244" t="str">
        <f aca="false">IF(BR101=0,"",IF(CR101&lt;=0.75,4/(1+4*CR101),4/(3.25+CR101)))</f>
        <v/>
      </c>
      <c r="DB101" s="244" t="str">
        <f aca="false">IF(BR101=0,"",CT101)</f>
        <v/>
      </c>
      <c r="DC101" s="244" t="str">
        <f aca="false">IF(BR101=0,"",DB101*CC101)</f>
        <v/>
      </c>
      <c r="DD101" s="244"/>
      <c r="DE101" s="244" t="str">
        <f aca="false">IF(BR101=0,"",0.193*(CC101/(CQ101*0.001))^0.689)</f>
        <v/>
      </c>
      <c r="DF101" s="244" t="str">
        <f aca="false">IF(BR101=0,"",IF(AS101=$AX$4,(0.1348118*CC101 - 0.0383065)*98.0665,""))</f>
        <v/>
      </c>
      <c r="DG101" s="244" t="str">
        <f aca="false">IF(BR101=0,"",IF(AS101=$AX$4,DF101/2,""))</f>
        <v/>
      </c>
      <c r="DH101" s="244" t="str">
        <f aca="false">IF(BR101=0,"",IF(DC101&lt;=15,12*(DC101+6),40+12*(DC101-6)))</f>
        <v/>
      </c>
      <c r="DI101" s="244" t="str">
        <f aca="false">IF(BR101=0,"",IF(CD101="SI",5*(DC101+15),((3.3*(DC101+15))+(4*(DC101+12)))/2))</f>
        <v/>
      </c>
      <c r="DJ101" s="244" t="str">
        <f aca="false">IF(BR101=0,"",8*DC101)</f>
        <v/>
      </c>
      <c r="DK101" s="244" t="str">
        <f aca="false">IF(BR101=0,"",215+(10.6*DC101))</f>
        <v/>
      </c>
      <c r="DL101" s="244" t="str">
        <f aca="false">IF(BR101=0,"",10*(7.5+(0.5*DC101)))</f>
        <v/>
      </c>
      <c r="DM101" s="244" t="str">
        <f aca="false">IF(BR101=0,"",8*DC101)</f>
        <v/>
      </c>
      <c r="DN101" s="244" t="str">
        <f aca="false">IF(AW101=" "," ",IF(DC101=""," ",IF(DC101&lt;4,10*10.2,IF(DC101=4,12*10.2,IF(DC101&lt;10,17.5*10.5,IF(DC101=10,15*10.2,IF(DC101&lt;30,22.5*10.2,IF(DC101=30,35*10.2,IF(DC101&lt;50,40*10.2,IF(DC101=50,50*10.2,55*10.2))))))))))</f>
        <v> </v>
      </c>
      <c r="DO101" s="244" t="str">
        <f aca="false">IF(BR101=0,"",7*SQRT(DC101)*10.1972)</f>
        <v/>
      </c>
      <c r="DP101" s="244" t="str">
        <f aca="false">IF(BR101=0,"",IF(AS101=$AX$4,5*CC101,""))</f>
        <v/>
      </c>
      <c r="DQ101" s="244" t="str">
        <f aca="false">IF(AW101=" "," ",IF(DC101=""," ",IF(DC101&lt;2,4*10.2,IF(DC101=2,6*10.2,IF(DC101&lt;4,12*10.2,IF(DC101=4,20*10.2,IF(DC101&lt;8,30*10.2,IF(DC101=8,35*10.2,IF(DC101&lt;15,40*10.2,IF(DC101=15,42*10.2,IF(DC101&lt;30,45*10.2,IF(DC101=30,50*10.2,70*10.2))))))))))))</f>
        <v> </v>
      </c>
      <c r="DR101" s="244" t="str">
        <f aca="false">IF(BR101=0,"",IF(AS101=$AX$4,220*DP101*0.0101972,""))</f>
        <v/>
      </c>
      <c r="DS101" s="271" t="str">
        <f aca="false">IF(BR101=0,"",IF(AS101=$AX$7,(SUM(DH101:DO101)-MIN(DH101:DO101)-MAX(DH101:DO101))/6,(SUM(DO101:DR101)-MIN(DO101:DR101)-MAX(DO101:DR101))/2))</f>
        <v/>
      </c>
      <c r="DT101" s="244" t="str">
        <f aca="false">IF(AW101=" "," ",IF(DC101=""," ",IF(DC101&lt;4,0.2,IF(DC101=4,0.27,IF(DC101&lt;10,0.33,IF(DC101=10,0.35,IF(DC101&lt;30,0.36,IF(DC101=30,0.37,IF(DC101&lt;50,0.38,IF(DC101=50,0.4,0.45))))))))))</f>
        <v> </v>
      </c>
      <c r="DU101" s="272" t="str">
        <f aca="false">IF(AW101=" "," ",IF(CC101=""," ",IF(CC101&lt;2,0.2,IF(CC101=2,0.23,IF(CC101&lt;4,0.26,IF(CC101=4,0.29,IF(CC101&lt;8,0.32,IF(CC101=8,0.35,IF(CC101&lt;15,0.38,IF(CC101=15,0.41,IF(CC101&lt;30,0.44,IF(CC101=30,0.47,0.5))))))))))))</f>
        <v> </v>
      </c>
      <c r="DV101" s="244" t="str">
        <f aca="false">IF(BR101=0,"",IF(AS101=$AX$3,DT101,DU101))</f>
        <v/>
      </c>
      <c r="DW101" s="244" t="str">
        <f aca="false">IF(BR101=0,"",IF(DC101&gt;15,15+0.5*(DC101-15),DC101))</f>
        <v/>
      </c>
      <c r="DX101" s="244" t="str">
        <f aca="false">IF(BR101=0,"",IF($S$12="SI",IF(CD101="NO",IF($AD$12&gt;(BO101+1.5*$ED$15),1,0.5),0.5),1))</f>
        <v/>
      </c>
      <c r="DY101" s="244" t="str">
        <f aca="false">IF(BR101=0,"",IF($S$12="SI",IF(CD101="NO",IF($AD$12&gt;(BO101+1.5*$EE$15),1,0.5),0.5),1))</f>
        <v/>
      </c>
      <c r="DZ101" s="244" t="str">
        <f aca="false">IF(BR101=0,"",IF($S$12="SI",IF(CD101="NO",IF($AD$12&gt;(BO101+1.5*$EF$15),1,0.5),0.5),1))</f>
        <v/>
      </c>
      <c r="EA101" s="244" t="str">
        <f aca="false">IF(BR101=0,"",IF($S$12="SI",IF(CD101="NO",IF($AD$12&gt;(BO101+1.5*$ED$15),1,0.5),IF($AD$12=BO101,1,0.5)),1))</f>
        <v/>
      </c>
      <c r="EB101" s="244" t="str">
        <f aca="false">IF(BR101=0,"",IF($S$12="SI",IF(CD101="NO",IF($AD$12&gt;(BO101+1.5*$EE$15),1,0.5),IF($AD$12=BO101,1,0.5)),1))</f>
        <v/>
      </c>
      <c r="EC101" s="244" t="str">
        <f aca="false">IF(BR101=0,"",IF($S$12="SI",IF(CD101="NO",IF($AD$12&gt;(BO101+1.5*$EF$15),1,0.5),IF($AD$12=BO101,1,0.5)),1))</f>
        <v/>
      </c>
      <c r="ED101" s="244" t="str">
        <f aca="false">IF(BR101=0,"",(DW101*($ED$15/10)*(DX101+EA101*(BO101/$ED$15))*1)/3)</f>
        <v/>
      </c>
      <c r="EE101" s="244" t="str">
        <f aca="false">IF(BR101=0,"",(DW101*($EE$15/10)*(DY101+EB101*(BO101/$EE$15))*1)/3)</f>
        <v/>
      </c>
      <c r="EF101" s="244" t="str">
        <f aca="false">IF(BR101=0,"",(DW101*($EF$15/10)*(DZ101+EC101*(BO101/$EF$15))*1)/3)</f>
        <v/>
      </c>
      <c r="EG101" s="273" t="str">
        <f aca="false">IF(BR101=0,"",IF(CD101="SI",0.5,1))</f>
        <v/>
      </c>
      <c r="EH101" s="244" t="str">
        <f aca="false">IF(BR101=0,"",IF((1+0.33*(BO101/$ED$15))&lt;=1.33,(1+0.33*(BO101/$ED$15)),1.33))</f>
        <v/>
      </c>
      <c r="EI101" s="244" t="str">
        <f aca="false">IF(BR101=0,"",IF((1+0.33*(BO101/$EE$15))&lt;=1.33,(1+0.33*(BO101/$EE$15)),1.33))</f>
        <v/>
      </c>
      <c r="EJ101" s="244" t="str">
        <f aca="false">IF(BR101=0,"",IF((1+0.33*(BO101/$EF$15))&lt;=1.33,(1+0.33*(BO101/$EF$15)),1.33))</f>
        <v/>
      </c>
      <c r="EK101" s="244" t="str">
        <f aca="false">IF(BR101=0,"",IF($ED$15&lt;=1.2,((20*DC101*EG101*EH101)/3)*0.010197,((12.5*DC101*((($ED$15+0.3)^2)/$ED$15)*EG101*EH101)/3)*0.010197))</f>
        <v/>
      </c>
      <c r="EL101" s="244" t="str">
        <f aca="false">IF(BR101=0,"",IF($EE$15&lt;=1.2,((20*DC101*EG101*EI101)/3)*0.010197,((12.5*DC101*((($EE$15+0.3)^2)/$EE$15)*EG101*EI101)/3)*0.010197))</f>
        <v/>
      </c>
      <c r="EM101" s="244" t="str">
        <f aca="false">IF(BR101=0,"",IF($EF$15&lt;=1.2,((20*DC101*EG101*EJ101)/3)*0.010197,((12.5*DC101*((($EF$15+0.3)^2)/$EF$15)*EG101*EJ101)/3)*0.010197))</f>
        <v/>
      </c>
      <c r="EN101" s="248" t="str">
        <f aca="false">IF(BR101=0,"",SQRT(12*CC101)+25)</f>
        <v/>
      </c>
      <c r="EO101" s="248" t="str">
        <f aca="false">IF(BR101=0,"",28.5+0.25*CC101)</f>
        <v/>
      </c>
      <c r="EP101" s="248" t="str">
        <f aca="false">IF(BR101=0,"",SQRT(20*CC101)+15)</f>
        <v/>
      </c>
      <c r="EQ101" s="248" t="str">
        <f aca="false">IF(BR101=0,"",23.7+0.57*CC101-0.0006*CC101*CC101)</f>
        <v/>
      </c>
      <c r="ER101" s="248" t="str">
        <f aca="false">IF(BR101=0,"",15+SQRT(12.5*DC101))</f>
        <v/>
      </c>
      <c r="ES101" s="248" t="str">
        <f aca="false">IF(BR101=0,"",3.5*SQRT(CC101)+20)</f>
        <v/>
      </c>
      <c r="ET101" s="248" t="str">
        <f aca="false">IF(BR101=0,"",27.1+0.3*DC101-0.00054*DC101*DC101)</f>
        <v/>
      </c>
      <c r="EU101" s="248" t="str">
        <f aca="false">IF(BR101=0,"",SQRT(20*CC101)+20)</f>
        <v/>
      </c>
      <c r="EV101" s="248" t="str">
        <f aca="false">IF(BR101=0,"",12.79+SQRT(25.86*CC101))</f>
        <v/>
      </c>
      <c r="EW101" s="248" t="str">
        <f aca="false">IF(BR101=0,"",DEGREES(_xlfn.ACOT((CC101/(12.2+20.3*CR101))^0.34)))</f>
        <v/>
      </c>
      <c r="EX101" s="248" t="str">
        <f aca="false">IF(BR101=0,"",24+(5.77*LN(0.17*DC101)))</f>
        <v/>
      </c>
      <c r="EY101" s="248" t="str">
        <f aca="false">IF(BR101=0,"",(SUM(EN101:EX101)-MIN(EN101:EX101)-MAX(EN101:EX101))/9)</f>
        <v/>
      </c>
      <c r="EZ101" s="248" t="str">
        <f aca="false">IF(BR101=0,"", -0.0000000034*CC101^6 + 0.0000008305*CC101^5 - 0.0000741842*CC101^4 + 0.0030204278*CC101^3 - 0.0541594733*CC101^2 + 0.8083147848*CC101 - 0.6182191243)</f>
        <v/>
      </c>
      <c r="FA101" s="249" t="str">
        <f aca="false">IF(BR101=0,"",(0.134811827956989*CC101 - 0.0383064516129019)/2)</f>
        <v/>
      </c>
      <c r="FB101" s="249" t="str">
        <f aca="false">IF(BR101=0,"",CC101*0.065)</f>
        <v/>
      </c>
      <c r="FC101" s="249" t="str">
        <f aca="false">IF(BR101=0,"",(CC101*0.12*0.48)*SQRT((1+SIN(EZ101*((2*PI())/360))/(1-SIN(EZ101*((2*PI())/360))))))</f>
        <v/>
      </c>
      <c r="FD101" s="249" t="str">
        <f aca="false">IF(BR101=0,"",(CC101/8)/2)</f>
        <v/>
      </c>
      <c r="FE101" s="249" t="str">
        <f aca="false">IF(BR101=0,"",(SUM(FA101:FD101)-MIN(FA101:FD101)-MAX(FA101:FD101))/2)</f>
        <v/>
      </c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</row>
    <row r="102" customFormat="false" ht="9.75" hidden="false" customHeight="true" outlineLevel="0" collapsed="false">
      <c r="A102" s="197" t="n">
        <f aca="false">ROUND(A101+0.1,1)</f>
        <v>8.5</v>
      </c>
      <c r="B102" s="250"/>
      <c r="C102" s="251"/>
      <c r="D102" s="251"/>
      <c r="E102" s="199"/>
      <c r="F102" s="200"/>
      <c r="G102" s="254"/>
      <c r="H102" s="284"/>
      <c r="I102" s="285"/>
      <c r="J102" s="257"/>
      <c r="K102" s="258"/>
      <c r="L102" s="259"/>
      <c r="M102" s="276"/>
      <c r="N102" s="277"/>
      <c r="O102" s="277"/>
      <c r="P102" s="277"/>
      <c r="Q102" s="293"/>
      <c r="R102" s="278"/>
      <c r="S102" s="278"/>
      <c r="T102" s="295"/>
      <c r="U102" s="295"/>
      <c r="V102" s="296"/>
      <c r="W102" s="296"/>
      <c r="X102" s="296"/>
      <c r="Y102" s="296"/>
      <c r="Z102" s="296"/>
      <c r="AA102" s="296"/>
      <c r="AB102" s="297"/>
      <c r="AC102" s="298"/>
      <c r="AD102" s="299"/>
      <c r="AE102" s="298"/>
      <c r="AF102" s="300"/>
      <c r="AG102" s="267"/>
      <c r="AH102" s="267"/>
      <c r="AI102" s="241"/>
      <c r="AJ102" s="241"/>
      <c r="AK102" s="266"/>
      <c r="AL102" s="266"/>
      <c r="AM102" s="268"/>
      <c r="AN102" s="250"/>
      <c r="AO102" s="251"/>
      <c r="AP102" s="251"/>
      <c r="AQ102" s="199"/>
      <c r="AR102" s="200"/>
      <c r="AS102" s="269" t="s">
        <v>13</v>
      </c>
      <c r="AT102" s="221" t="s">
        <v>45</v>
      </c>
      <c r="AU102" s="269"/>
      <c r="AV102" s="269"/>
      <c r="AW102" s="270" t="n">
        <f aca="false">+K102+L102</f>
        <v>0</v>
      </c>
      <c r="AX102" s="270" t="str">
        <f aca="false">IF(AS102="&gt;50","CONSISTENCIA",IF(AS102="&lt;50","COMPACIDAD"," "))</f>
        <v>COMPACIDAD</v>
      </c>
      <c r="AY102" s="225" t="str">
        <f aca="false">IF(AS102="&gt;50",AZ102,IF(AS102="&lt;50",BA102," "))</f>
        <v> </v>
      </c>
      <c r="AZ102" s="224" t="str">
        <f aca="false">IF(AW102=" "," ",IF(CC102=""," ",IF(CC102&lt;2,"MUY BLANDA",IF(CC102=2,"MUY BLANDA A BLANDA",IF(CC102&lt;4,"BLANDA",IF(CC102=4,"BLANDA A MEDIA",IF(CC102&lt;8,"MEDIA",IF(CC102=8,"MEDIA A FIRME",IF(CC102&lt;15,"FIRME",IF(CC102=15,"FIRME A MUY FIRME",IF(CC102&lt;30,"MUY FIRME",IF(CC102=30,"MUY FIRME A DURA","DURA"))))))))))))</f>
        <v> </v>
      </c>
      <c r="BA102" s="225" t="str">
        <f aca="false">IF(AW102=" "," ",IF(DC102=""," ",IF(DC102&lt;4,"MUY SUELTA",IF(DC102=4,"MUY SUELTA A SUELTA",IF(DC102&lt;10,"SUELTA",IF(DC102=10,"SUELTA A MEDIA",IF(DC102&lt;30,"MEDIA",IF(DC102=30,"MEDIA A DENSO",IF(DC102&lt;50,"DENSO",IF(DC102=50,"DENSO MUY DENSO","MUY DENSO"))))))))))</f>
        <v> </v>
      </c>
      <c r="BB102" s="226" t="str">
        <f aca="false">IF(BR103=0,"",CQ103*0.0101972)</f>
        <v/>
      </c>
      <c r="BC102" s="227" t="n">
        <f aca="false">+BC101+0.1</f>
        <v>8.49999999999999</v>
      </c>
      <c r="BD102" s="227" t="str">
        <f aca="false">IF(BC102&lt;=$AN$10,BC102,"")</f>
        <v/>
      </c>
      <c r="BE102" s="228" t="n">
        <f aca="false">ISNUMBER(BD102)</f>
        <v>0</v>
      </c>
      <c r="BF102" s="229" t="str">
        <f aca="false">MID(M102,1,1)</f>
        <v/>
      </c>
      <c r="BG102" s="230" t="str">
        <f aca="false">IF(BF102="S","",IF(BF102="G","",MID(M102,2,1)))</f>
        <v/>
      </c>
      <c r="BH102" s="231" t="str">
        <f aca="false">CONCATENATE(BF102,BG102)</f>
        <v/>
      </c>
      <c r="BI102" s="6" t="str">
        <f aca="false">IF(BE102=FALSE(),"",IF(BH102="",BI101,BH102))</f>
        <v/>
      </c>
      <c r="BJ102" s="74" t="str">
        <f aca="false">IF(OR(BI102="S",BI102="G"),BI102,"X")</f>
        <v>X</v>
      </c>
      <c r="BK102" s="74" t="s">
        <v>262</v>
      </c>
      <c r="BL102" s="312" t="e">
        <f aca="false">INDEX(sim_0,MATCH($BJ$102,granular,0))</f>
        <v>#NAME?</v>
      </c>
      <c r="BM102" s="312"/>
      <c r="BN102" s="6"/>
      <c r="BO102" s="191" t="n">
        <f aca="false">BO101+0.1</f>
        <v>8.49999999999999</v>
      </c>
      <c r="BP102" s="233" t="e">
        <f aca="false">IF(AW102=0,NA(),IF(AS102=$AX$3,ROUND(DC102,0),NA()))</f>
        <v>#N/A</v>
      </c>
      <c r="BQ102" s="31" t="e">
        <f aca="false">IF(AW102=0,NA(),IF(AS102=$AX$4,ROUND(CC102,0),NA()))</f>
        <v>#N/A</v>
      </c>
      <c r="BR102" s="234" t="n">
        <f aca="false">+AW102</f>
        <v>0</v>
      </c>
      <c r="BS102" s="235" t="str">
        <f aca="false">IF(BR102=0,"", -0.00000000016128755327*CC102^6 + 0.00000006709386362421*CC102^5 - 0.0000106217678052217*CC102^4 + 0.00081068114193385*CC102^3 - 0.0314027378159951*CC102^2 + 0.649796593937842*CC102 + 13.7888866455022)</f>
        <v/>
      </c>
      <c r="BT102" s="235" t="str">
        <f aca="false">IF(BR102=0,"",-0.00000000014625939695*CC102^6 + 0.00000004971732060241*CC102^5 - 0.000006683744342031*CC102^4 + 0.0004563177378098*CC102^3 - 0.0171727530635803*CC102^2 + 0.444529932876435*CC102 + 15.6692518940565)</f>
        <v/>
      </c>
      <c r="BU102" s="236" t="str">
        <f aca="false">IF(BR102=0,"", -0.0000000008152265738*BR102^6 + 0.00000022764320256987*BR102^5 - 0.0000248205675927705*BR102^4 + 0.00133186623684865*BR102^3 - 0.0368442570441677*BR102^2 + 0.580111565569094*BR102 + 14.0417598296107)</f>
        <v/>
      </c>
      <c r="BV102" s="236" t="str">
        <f aca="false">IF(BR102=0,"", -0.00000000004321395721*BR102^6 + 0.00000002531844275498*BR102^5 - 0.00000369428022780862*BR102^4 + 0.00020283665900125*BR102^3 - 0.00462426256803268*BR102^2 + 0.139572935065453*BR102 + 15.4475338156923)</f>
        <v/>
      </c>
      <c r="BW102" s="236" t="str">
        <f aca="false">IF(BR102=0,"",-0.00000000033126390082*BR102^6 + 0.00000010463660614506*BR102^5 - 0.0000129629592998707*BR102^4 + 0.000803946335250767*BR102^3 - 0.0270257140395994*BR102^2 + 0.562590210721552*BR102+ 12.1254107606419)</f>
        <v/>
      </c>
      <c r="BX102" s="236" t="str">
        <f aca="false">IF(BR102=0,"",-0.00000000002593504955*BR102^6 + 0.00000002430495156704*BR102^5 - 0.00000386103271086364*BR102^4 + 0.000214416118986322*BR102^3 - 0.0047271462612021*BR102^2 + 0.156696175741135*BR102 + 15.4598891949502)</f>
        <v/>
      </c>
      <c r="BY102" s="234" t="str">
        <f aca="false">IF(BR102=0,"",$BS$2)</f>
        <v/>
      </c>
      <c r="BZ102" s="234" t="str">
        <f aca="false">IF(BR102=0,"",$BS$3)</f>
        <v/>
      </c>
      <c r="CA102" s="234" t="str">
        <f aca="false">IF(BR102=0,"",$BS$4)</f>
        <v/>
      </c>
      <c r="CB102" s="235" t="str">
        <f aca="false">IF(BR102=0,"",IF(AND(BO102&gt;=0,BO102&lt;4),0.75,IF(AND(BO102&gt;=4,BO102&lt;6),0.85,IF(AND(BO102&gt;=6,BO102&lt;=10),0.95,1))))</f>
        <v/>
      </c>
      <c r="CC102" s="234" t="str">
        <f aca="false">IF(BR102=0,"",BR102*BY102*BZ102*CA102*CB102/60)</f>
        <v/>
      </c>
      <c r="CD102" s="238" t="str">
        <f aca="false">IF(BR102=0,"",IF($S$12="NO","NO",IF($AD$12&lt;=BO102,"SI","NO")))</f>
        <v/>
      </c>
      <c r="CE102" s="235" t="n">
        <f aca="false">IF(BR102=0,0,AB102)</f>
        <v>0</v>
      </c>
      <c r="CF102" s="235" t="n">
        <f aca="false">IF(CE102&gt;0,BO102,0)</f>
        <v>0</v>
      </c>
      <c r="CG102" s="239" t="n">
        <f aca="false">IF(CF102=0,CF102+CG101,CF102)</f>
        <v>0</v>
      </c>
      <c r="CH102" s="239" t="n">
        <f aca="false">IF(CG102=CG101,CH101,ABS(CG102-CG101))</f>
        <v>0</v>
      </c>
      <c r="CI102" s="239" t="n">
        <f aca="false">+CE102*CH102</f>
        <v>0</v>
      </c>
      <c r="CJ102" s="239" t="n">
        <f aca="false">IF(CI102=0,CI102+CJ101,CI102)</f>
        <v>0</v>
      </c>
      <c r="CK102" s="239" t="n">
        <f aca="false">IF(CJ102=CJ101,CK101,ABS(CJ102+CK101))</f>
        <v>0</v>
      </c>
      <c r="CL102" s="241" t="n">
        <f aca="false">IF(CE102=0,0,CK102)</f>
        <v>0</v>
      </c>
      <c r="CM102" s="239" t="n">
        <f aca="false">IF(CE102=0,0,CH102*9.81)</f>
        <v>0</v>
      </c>
      <c r="CN102" s="239" t="n">
        <f aca="false">IF(CM102=0,CM102+CN101,CM102)</f>
        <v>0</v>
      </c>
      <c r="CO102" s="239" t="n">
        <f aca="false">IF(CN102=CN101,CO101,ABS(CN102+CO101))</f>
        <v>0</v>
      </c>
      <c r="CP102" s="241" t="n">
        <f aca="false">IF(CD102="NO",0,IF(CE102=0,0,CO102))</f>
        <v>0</v>
      </c>
      <c r="CQ102" s="244" t="str">
        <f aca="false">IF(BR102=0,"",CL102-CP102)</f>
        <v/>
      </c>
      <c r="CR102" s="244" t="str">
        <f aca="false">IF(BR102=0,"",CQ102/101.3)</f>
        <v/>
      </c>
      <c r="CS102" s="244" t="str">
        <f aca="false">IF(BR102=0,"",LOG(10/CR102))</f>
        <v/>
      </c>
      <c r="CT102" s="243" t="str">
        <f aca="false">IF(BR102=0,"",IF(SQRT(101.3/CQ102)&lt;=1.7,SQRT(101.3/CQ102),2.2/(1.2+(CQ102/101.3))))</f>
        <v/>
      </c>
      <c r="CU102" s="244" t="str">
        <f aca="false">IF(BR102=0,"",1.7/(0.7+CR102))</f>
        <v/>
      </c>
      <c r="CV102" s="244" t="str">
        <f aca="false">IF(BR102=0,"",IF(CR102&gt;=0.25,0.77*LOG(20/CR102),""))</f>
        <v/>
      </c>
      <c r="CW102" s="244" t="str">
        <f aca="false">IF(BR102=0,"",32.5/(10.2+20.3*CR102))</f>
        <v/>
      </c>
      <c r="CX102" s="244" t="str">
        <f aca="false">IF(BR102=0,"",1-1.25*LOG(CR102))</f>
        <v/>
      </c>
      <c r="CY102" s="244" t="str">
        <f aca="false">IF(BR102=0,"",IF(CR102&lt;1,1-1.41*LOG(CR102),1+0.92*LOG(CR102)))</f>
        <v/>
      </c>
      <c r="CZ102" s="244" t="str">
        <f aca="false">IF(BR102=0,"",2/(1+CR102))</f>
        <v/>
      </c>
      <c r="DA102" s="244" t="str">
        <f aca="false">IF(BR102=0,"",IF(CR102&lt;=0.75,4/(1+4*CR102),4/(3.25+CR102)))</f>
        <v/>
      </c>
      <c r="DB102" s="244" t="str">
        <f aca="false">IF(BR102=0,"",CT102)</f>
        <v/>
      </c>
      <c r="DC102" s="244" t="str">
        <f aca="false">IF(BR102=0,"",DB102*CC102)</f>
        <v/>
      </c>
      <c r="DD102" s="244"/>
      <c r="DE102" s="244" t="str">
        <f aca="false">IF(BR102=0,"",0.193*(CC102/(CQ102*0.001))^0.689)</f>
        <v/>
      </c>
      <c r="DF102" s="244" t="str">
        <f aca="false">IF(BR102=0,"",IF(AS102=$AX$4,(0.1348118*CC102 - 0.0383065)*98.0665,""))</f>
        <v/>
      </c>
      <c r="DG102" s="244" t="str">
        <f aca="false">IF(BR102=0,"",IF(AS102=$AX$4,DF102/2,""))</f>
        <v/>
      </c>
      <c r="DH102" s="244" t="str">
        <f aca="false">IF(BR102=0,"",IF(DC102&lt;=15,12*(DC102+6),40+12*(DC102-6)))</f>
        <v/>
      </c>
      <c r="DI102" s="244" t="str">
        <f aca="false">IF(BR102=0,"",IF(CD102="SI",5*(DC102+15),((3.3*(DC102+15))+(4*(DC102+12)))/2))</f>
        <v/>
      </c>
      <c r="DJ102" s="244" t="str">
        <f aca="false">IF(BR102=0,"",8*DC102)</f>
        <v/>
      </c>
      <c r="DK102" s="244" t="str">
        <f aca="false">IF(BR102=0,"",215+(10.6*DC102))</f>
        <v/>
      </c>
      <c r="DL102" s="244" t="str">
        <f aca="false">IF(BR102=0,"",10*(7.5+(0.5*DC102)))</f>
        <v/>
      </c>
      <c r="DM102" s="244" t="str">
        <f aca="false">IF(BR102=0,"",8*DC102)</f>
        <v/>
      </c>
      <c r="DN102" s="244" t="str">
        <f aca="false">IF(AW102=" "," ",IF(DC102=""," ",IF(DC102&lt;4,10*10.2,IF(DC102=4,12*10.2,IF(DC102&lt;10,17.5*10.5,IF(DC102=10,15*10.2,IF(DC102&lt;30,22.5*10.2,IF(DC102=30,35*10.2,IF(DC102&lt;50,40*10.2,IF(DC102=50,50*10.2,55*10.2))))))))))</f>
        <v> </v>
      </c>
      <c r="DO102" s="244" t="str">
        <f aca="false">IF(BR102=0,"",7*SQRT(DC102)*10.1972)</f>
        <v/>
      </c>
      <c r="DP102" s="244" t="str">
        <f aca="false">IF(BR102=0,"",IF(AS102=$AX$4,5*CC102,""))</f>
        <v/>
      </c>
      <c r="DQ102" s="244" t="str">
        <f aca="false">IF(AW102=" "," ",IF(DC102=""," ",IF(DC102&lt;2,4*10.2,IF(DC102=2,6*10.2,IF(DC102&lt;4,12*10.2,IF(DC102=4,20*10.2,IF(DC102&lt;8,30*10.2,IF(DC102=8,35*10.2,IF(DC102&lt;15,40*10.2,IF(DC102=15,42*10.2,IF(DC102&lt;30,45*10.2,IF(DC102=30,50*10.2,70*10.2))))))))))))</f>
        <v> </v>
      </c>
      <c r="DR102" s="244" t="str">
        <f aca="false">IF(BR102=0,"",IF(AS102=$AX$4,220*DP102*0.0101972,""))</f>
        <v/>
      </c>
      <c r="DS102" s="271" t="str">
        <f aca="false">IF(BR102=0,"",IF(AS102=$AX$7,(SUM(DH102:DO102)-MIN(DH102:DO102)-MAX(DH102:DO102))/6,(SUM(DO102:DR102)-MIN(DO102:DR102)-MAX(DO102:DR102))/2))</f>
        <v/>
      </c>
      <c r="DT102" s="244" t="str">
        <f aca="false">IF(AW102=" "," ",IF(DC102=""," ",IF(DC102&lt;4,0.2,IF(DC102=4,0.27,IF(DC102&lt;10,0.33,IF(DC102=10,0.35,IF(DC102&lt;30,0.36,IF(DC102=30,0.37,IF(DC102&lt;50,0.38,IF(DC102=50,0.4,0.45))))))))))</f>
        <v> </v>
      </c>
      <c r="DU102" s="272" t="str">
        <f aca="false">IF(AW102=" "," ",IF(CC102=""," ",IF(CC102&lt;2,0.2,IF(CC102=2,0.23,IF(CC102&lt;4,0.26,IF(CC102=4,0.29,IF(CC102&lt;8,0.32,IF(CC102=8,0.35,IF(CC102&lt;15,0.38,IF(CC102=15,0.41,IF(CC102&lt;30,0.44,IF(CC102=30,0.47,0.5))))))))))))</f>
        <v> </v>
      </c>
      <c r="DV102" s="244" t="str">
        <f aca="false">IF(BR102=0,"",IF(AS102=$AX$3,DT102,DU102))</f>
        <v/>
      </c>
      <c r="DW102" s="244" t="str">
        <f aca="false">IF(BR102=0,"",IF(DC102&gt;15,15+0.5*(DC102-15),DC102))</f>
        <v/>
      </c>
      <c r="DX102" s="244" t="str">
        <f aca="false">IF(BR102=0,"",IF($S$12="SI",IF(CD102="NO",IF($AD$12&gt;(BO102+1.5*$ED$15),1,0.5),0.5),1))</f>
        <v/>
      </c>
      <c r="DY102" s="244" t="str">
        <f aca="false">IF(BR102=0,"",IF($S$12="SI",IF(CD102="NO",IF($AD$12&gt;(BO102+1.5*$EE$15),1,0.5),0.5),1))</f>
        <v/>
      </c>
      <c r="DZ102" s="244" t="str">
        <f aca="false">IF(BR102=0,"",IF($S$12="SI",IF(CD102="NO",IF($AD$12&gt;(BO102+1.5*$EF$15),1,0.5),0.5),1))</f>
        <v/>
      </c>
      <c r="EA102" s="244" t="str">
        <f aca="false">IF(BR102=0,"",IF($S$12="SI",IF(CD102="NO",IF($AD$12&gt;(BO102+1.5*$ED$15),1,0.5),IF($AD$12=BO102,1,0.5)),1))</f>
        <v/>
      </c>
      <c r="EB102" s="244" t="str">
        <f aca="false">IF(BR102=0,"",IF($S$12="SI",IF(CD102="NO",IF($AD$12&gt;(BO102+1.5*$EE$15),1,0.5),IF($AD$12=BO102,1,0.5)),1))</f>
        <v/>
      </c>
      <c r="EC102" s="244" t="str">
        <f aca="false">IF(BR102=0,"",IF($S$12="SI",IF(CD102="NO",IF($AD$12&gt;(BO102+1.5*$EF$15),1,0.5),IF($AD$12=BO102,1,0.5)),1))</f>
        <v/>
      </c>
      <c r="ED102" s="244" t="str">
        <f aca="false">IF(BR102=0,"",(DW102*($ED$15/10)*(DX102+EA102*(BO102/$ED$15))*1)/3)</f>
        <v/>
      </c>
      <c r="EE102" s="244" t="str">
        <f aca="false">IF(BR102=0,"",(DW102*($EE$15/10)*(DY102+EB102*(BO102/$EE$15))*1)/3)</f>
        <v/>
      </c>
      <c r="EF102" s="244" t="str">
        <f aca="false">IF(BR102=0,"",(DW102*($EF$15/10)*(DZ102+EC102*(BO102/$EF$15))*1)/3)</f>
        <v/>
      </c>
      <c r="EG102" s="273" t="str">
        <f aca="false">IF(BR102=0,"",IF(CD102="SI",0.5,1))</f>
        <v/>
      </c>
      <c r="EH102" s="244" t="str">
        <f aca="false">IF(BR102=0,"",IF((1+0.33*(BO102/$ED$15))&lt;=1.33,(1+0.33*(BO102/$ED$15)),1.33))</f>
        <v/>
      </c>
      <c r="EI102" s="244" t="str">
        <f aca="false">IF(BR102=0,"",IF((1+0.33*(BO102/$EE$15))&lt;=1.33,(1+0.33*(BO102/$EE$15)),1.33))</f>
        <v/>
      </c>
      <c r="EJ102" s="244" t="str">
        <f aca="false">IF(BR102=0,"",IF((1+0.33*(BO102/$EF$15))&lt;=1.33,(1+0.33*(BO102/$EF$15)),1.33))</f>
        <v/>
      </c>
      <c r="EK102" s="244" t="str">
        <f aca="false">IF(BR102=0,"",IF($ED$15&lt;=1.2,((20*DC102*EG102*EH102)/3)*0.010197,((12.5*DC102*((($ED$15+0.3)^2)/$ED$15)*EG102*EH102)/3)*0.010197))</f>
        <v/>
      </c>
      <c r="EL102" s="244" t="str">
        <f aca="false">IF(BR102=0,"",IF($EE$15&lt;=1.2,((20*DC102*EG102*EI102)/3)*0.010197,((12.5*DC102*((($EE$15+0.3)^2)/$EE$15)*EG102*EI102)/3)*0.010197))</f>
        <v/>
      </c>
      <c r="EM102" s="244" t="str">
        <f aca="false">IF(BR102=0,"",IF($EF$15&lt;=1.2,((20*DC102*EG102*EJ102)/3)*0.010197,((12.5*DC102*((($EF$15+0.3)^2)/$EF$15)*EG102*EJ102)/3)*0.010197))</f>
        <v/>
      </c>
      <c r="EN102" s="248" t="str">
        <f aca="false">IF(BR102=0,"",SQRT(12*CC102)+25)</f>
        <v/>
      </c>
      <c r="EO102" s="248" t="str">
        <f aca="false">IF(BR102=0,"",28.5+0.25*CC102)</f>
        <v/>
      </c>
      <c r="EP102" s="248" t="str">
        <f aca="false">IF(BR102=0,"",SQRT(20*CC102)+15)</f>
        <v/>
      </c>
      <c r="EQ102" s="248" t="str">
        <f aca="false">IF(BR102=0,"",23.7+0.57*CC102-0.0006*CC102*CC102)</f>
        <v/>
      </c>
      <c r="ER102" s="248" t="str">
        <f aca="false">IF(BR102=0,"",15+SQRT(12.5*DC102))</f>
        <v/>
      </c>
      <c r="ES102" s="248" t="str">
        <f aca="false">IF(BR102=0,"",3.5*SQRT(CC102)+20)</f>
        <v/>
      </c>
      <c r="ET102" s="248" t="str">
        <f aca="false">IF(BR102=0,"",27.1+0.3*DC102-0.00054*DC102*DC102)</f>
        <v/>
      </c>
      <c r="EU102" s="248" t="str">
        <f aca="false">IF(BR102=0,"",SQRT(20*CC102)+20)</f>
        <v/>
      </c>
      <c r="EV102" s="248" t="str">
        <f aca="false">IF(BR102=0,"",12.79+SQRT(25.86*CC102))</f>
        <v/>
      </c>
      <c r="EW102" s="248" t="str">
        <f aca="false">IF(BR102=0,"",DEGREES(_xlfn.ACOT((CC102/(12.2+20.3*CR102))^0.34)))</f>
        <v/>
      </c>
      <c r="EX102" s="248" t="str">
        <f aca="false">IF(BR102=0,"",24+(5.77*LN(0.17*DC102)))</f>
        <v/>
      </c>
      <c r="EY102" s="248" t="str">
        <f aca="false">IF(BR102=0,"",(SUM(EN102:EX102)-MIN(EN102:EX102)-MAX(EN102:EX102))/9)</f>
        <v/>
      </c>
      <c r="EZ102" s="248" t="str">
        <f aca="false">IF(BR102=0,"", -0.0000000034*CC102^6 + 0.0000008305*CC102^5 - 0.0000741842*CC102^4 + 0.0030204278*CC102^3 - 0.0541594733*CC102^2 + 0.8083147848*CC102 - 0.6182191243)</f>
        <v/>
      </c>
      <c r="FA102" s="249" t="str">
        <f aca="false">IF(BR102=0,"",(0.134811827956989*CC102 - 0.0383064516129019)/2)</f>
        <v/>
      </c>
      <c r="FB102" s="249" t="str">
        <f aca="false">IF(BR102=0,"",CC102*0.065)</f>
        <v/>
      </c>
      <c r="FC102" s="249" t="str">
        <f aca="false">IF(BR102=0,"",(CC102*0.12*0.48)*SQRT((1+SIN(EZ102*((2*PI())/360))/(1-SIN(EZ102*((2*PI())/360))))))</f>
        <v/>
      </c>
      <c r="FD102" s="249" t="str">
        <f aca="false">IF(BR102=0,"",(CC102/8)/2)</f>
        <v/>
      </c>
      <c r="FE102" s="249" t="str">
        <f aca="false">IF(BR102=0,"",(SUM(FA102:FD102)-MIN(FA102:FD102)-MAX(FA102:FD102))/2)</f>
        <v/>
      </c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</row>
    <row r="103" customFormat="false" ht="9.75" hidden="false" customHeight="true" outlineLevel="0" collapsed="false">
      <c r="A103" s="197" t="n">
        <f aca="false">ROUND(A102+0.1,1)</f>
        <v>8.6</v>
      </c>
      <c r="B103" s="250" t="n">
        <f aca="false">+A103</f>
        <v>8.6</v>
      </c>
      <c r="C103" s="251"/>
      <c r="D103" s="275"/>
      <c r="E103" s="252"/>
      <c r="F103" s="253"/>
      <c r="G103" s="254"/>
      <c r="H103" s="284"/>
      <c r="I103" s="285"/>
      <c r="J103" s="257"/>
      <c r="K103" s="258"/>
      <c r="L103" s="259"/>
      <c r="M103" s="313"/>
      <c r="N103" s="277"/>
      <c r="O103" s="277"/>
      <c r="P103" s="277"/>
      <c r="Q103" s="293"/>
      <c r="R103" s="314"/>
      <c r="S103" s="315"/>
      <c r="T103" s="295"/>
      <c r="U103" s="295"/>
      <c r="V103" s="296"/>
      <c r="W103" s="296"/>
      <c r="X103" s="296"/>
      <c r="Y103" s="296"/>
      <c r="Z103" s="296"/>
      <c r="AA103" s="296"/>
      <c r="AB103" s="297"/>
      <c r="AC103" s="298"/>
      <c r="AD103" s="299"/>
      <c r="AE103" s="298"/>
      <c r="AF103" s="300"/>
      <c r="AG103" s="267"/>
      <c r="AH103" s="267"/>
      <c r="AI103" s="241"/>
      <c r="AJ103" s="241"/>
      <c r="AK103" s="266"/>
      <c r="AL103" s="266"/>
      <c r="AM103" s="268"/>
      <c r="AN103" s="250" t="n">
        <f aca="false">+AN101+0.2</f>
        <v>8.6</v>
      </c>
      <c r="AO103" s="251"/>
      <c r="AP103" s="275"/>
      <c r="AQ103" s="252"/>
      <c r="AR103" s="253"/>
      <c r="AS103" s="269" t="s">
        <v>13</v>
      </c>
      <c r="AT103" s="221"/>
      <c r="AU103" s="269"/>
      <c r="AV103" s="269"/>
      <c r="AW103" s="270" t="n">
        <f aca="false">+K103+L103</f>
        <v>0</v>
      </c>
      <c r="AX103" s="270" t="str">
        <f aca="false">IF(AS103="&gt;50","CONSISTENCIA",IF(AS103="&lt;50","COMPACIDAD"," "))</f>
        <v>COMPACIDAD</v>
      </c>
      <c r="AY103" s="225" t="str">
        <f aca="false">IF(AS103="&gt;50",AZ103,IF(AS103="&lt;50",BA103," "))</f>
        <v> </v>
      </c>
      <c r="AZ103" s="224" t="str">
        <f aca="false">IF(AW103=" "," ",IF(CC103=""," ",IF(CC103&lt;2,"MUY BLANDA",IF(CC103=2,"MUY BLANDA A BLANDA",IF(CC103&lt;4,"BLANDA",IF(CC103=4,"BLANDA A MEDIA",IF(CC103&lt;8,"MEDIA",IF(CC103=8,"MEDIA A FIRME",IF(CC103&lt;15,"FIRME",IF(CC103=15,"FIRME A MUY FIRME",IF(CC103&lt;30,"MUY FIRME",IF(CC103=30,"MUY FIRME A DURA","DURA"))))))))))))</f>
        <v> </v>
      </c>
      <c r="BA103" s="225" t="str">
        <f aca="false">IF(AW103=" "," ",IF(DC103=""," ",IF(DC103&lt;4,"MUY SUELTA",IF(DC103=4,"MUY SUELTA A SUELTA",IF(DC103&lt;10,"SUELTA",IF(DC103=10,"SUELTA A MEDIA",IF(DC103&lt;30,"MEDIA",IF(DC103=30,"MEDIA A DENSO",IF(DC103&lt;50,"DENSO",IF(DC103=50,"DENSO MUY DENSO","MUY DENSO"))))))))))</f>
        <v> </v>
      </c>
      <c r="BB103" s="226" t="str">
        <f aca="false">IF(BR104=0,"",CQ104*0.0101972)</f>
        <v/>
      </c>
      <c r="BC103" s="227" t="n">
        <f aca="false">+BC102+0.1</f>
        <v>8.59999999999999</v>
      </c>
      <c r="BD103" s="227" t="str">
        <f aca="false">IF(BC103&lt;=$AN$10,BC103,"")</f>
        <v/>
      </c>
      <c r="BE103" s="228" t="n">
        <f aca="false">ISNUMBER(BD103)</f>
        <v>0</v>
      </c>
      <c r="BF103" s="229" t="str">
        <f aca="false">MID(M103,1,1)</f>
        <v/>
      </c>
      <c r="BG103" s="230" t="str">
        <f aca="false">IF(BF103="S","",IF(BF103="G","",MID(M103,2,1)))</f>
        <v/>
      </c>
      <c r="BH103" s="231" t="str">
        <f aca="false">CONCATENATE(BF103,BG103)</f>
        <v/>
      </c>
      <c r="BI103" s="6" t="str">
        <f aca="false">IF(BE103=FALSE(),"",IF(BH103="",BI102,BH103))</f>
        <v/>
      </c>
      <c r="BJ103" s="74" t="str">
        <f aca="false">IF(OR(BI103="S",BI103="G"),BI103,"X")</f>
        <v>X</v>
      </c>
      <c r="BK103" s="74" t="s">
        <v>263</v>
      </c>
      <c r="BL103" s="312" t="e">
        <f aca="false">INDEX(sim_0,MATCH($BJ$103,granular,0))</f>
        <v>#NAME?</v>
      </c>
      <c r="BM103" s="312"/>
      <c r="BN103" s="6"/>
      <c r="BO103" s="191" t="n">
        <f aca="false">BO102+0.1</f>
        <v>8.59999999999999</v>
      </c>
      <c r="BP103" s="233" t="e">
        <f aca="false">IF(AW103=0,NA(),IF(AS103=$AX$3,ROUND(DC103,0),NA()))</f>
        <v>#N/A</v>
      </c>
      <c r="BQ103" s="31" t="e">
        <f aca="false">IF(AW103=0,NA(),IF(AS103=$AX$4,ROUND(CC103,0),NA()))</f>
        <v>#N/A</v>
      </c>
      <c r="BR103" s="234" t="n">
        <f aca="false">+AW103</f>
        <v>0</v>
      </c>
      <c r="BS103" s="235" t="str">
        <f aca="false">IF(BR103=0,"", -0.00000000016128755327*CC103^6 + 0.00000006709386362421*CC103^5 - 0.0000106217678052217*CC103^4 + 0.00081068114193385*CC103^3 - 0.0314027378159951*CC103^2 + 0.649796593937842*CC103 + 13.7888866455022)</f>
        <v/>
      </c>
      <c r="BT103" s="235" t="str">
        <f aca="false">IF(BR103=0,"",-0.00000000014625939695*CC103^6 + 0.00000004971732060241*CC103^5 - 0.000006683744342031*CC103^4 + 0.0004563177378098*CC103^3 - 0.0171727530635803*CC103^2 + 0.444529932876435*CC103 + 15.6692518940565)</f>
        <v/>
      </c>
      <c r="BU103" s="236" t="str">
        <f aca="false">IF(BR103=0,"", -0.0000000008152265738*BR103^6 + 0.00000022764320256987*BR103^5 - 0.0000248205675927705*BR103^4 + 0.00133186623684865*BR103^3 - 0.0368442570441677*BR103^2 + 0.580111565569094*BR103 + 14.0417598296107)</f>
        <v/>
      </c>
      <c r="BV103" s="236" t="str">
        <f aca="false">IF(BR103=0,"", -0.00000000004321395721*BR103^6 + 0.00000002531844275498*BR103^5 - 0.00000369428022780862*BR103^4 + 0.00020283665900125*BR103^3 - 0.00462426256803268*BR103^2 + 0.139572935065453*BR103 + 15.4475338156923)</f>
        <v/>
      </c>
      <c r="BW103" s="236" t="str">
        <f aca="false">IF(BR103=0,"",-0.00000000033126390082*BR103^6 + 0.00000010463660614506*BR103^5 - 0.0000129629592998707*BR103^4 + 0.000803946335250767*BR103^3 - 0.0270257140395994*BR103^2 + 0.562590210721552*BR103+ 12.1254107606419)</f>
        <v/>
      </c>
      <c r="BX103" s="236" t="str">
        <f aca="false">IF(BR103=0,"",-0.00000000002593504955*BR103^6 + 0.00000002430495156704*BR103^5 - 0.00000386103271086364*BR103^4 + 0.000214416118986322*BR103^3 - 0.0047271462612021*BR103^2 + 0.156696175741135*BR103 + 15.4598891949502)</f>
        <v/>
      </c>
      <c r="BY103" s="234" t="str">
        <f aca="false">IF(BR103=0,"",$BS$2)</f>
        <v/>
      </c>
      <c r="BZ103" s="234" t="str">
        <f aca="false">IF(BR103=0,"",$BS$3)</f>
        <v/>
      </c>
      <c r="CA103" s="234" t="str">
        <f aca="false">IF(BR103=0,"",$BS$4)</f>
        <v/>
      </c>
      <c r="CB103" s="235" t="str">
        <f aca="false">IF(BR103=0,"",IF(AND(BO103&gt;=0,BO103&lt;4),0.75,IF(AND(BO103&gt;=4,BO103&lt;6),0.85,IF(AND(BO103&gt;=6,BO103&lt;=10),0.95,1))))</f>
        <v/>
      </c>
      <c r="CC103" s="234" t="str">
        <f aca="false">IF(BR103=0,"",BR103*BY103*BZ103*CA103*CB103/60)</f>
        <v/>
      </c>
      <c r="CD103" s="238" t="str">
        <f aca="false">IF(BR103=0,"",IF($S$12="NO","NO",IF($AD$12&lt;=BO103,"SI","NO")))</f>
        <v/>
      </c>
      <c r="CE103" s="235" t="n">
        <f aca="false">IF(BR103=0,0,AB103)</f>
        <v>0</v>
      </c>
      <c r="CF103" s="235" t="n">
        <f aca="false">IF(CE103&gt;0,BO103,0)</f>
        <v>0</v>
      </c>
      <c r="CG103" s="239" t="n">
        <f aca="false">IF(CF103=0,CF103+CG102,CF103)</f>
        <v>0</v>
      </c>
      <c r="CH103" s="239" t="n">
        <f aca="false">IF(CG103=CG102,CH102,ABS(CG103-CG102))</f>
        <v>0</v>
      </c>
      <c r="CI103" s="239" t="n">
        <f aca="false">+CE103*CH103</f>
        <v>0</v>
      </c>
      <c r="CJ103" s="239" t="n">
        <f aca="false">IF(CI103=0,CI103+CJ102,CI103)</f>
        <v>0</v>
      </c>
      <c r="CK103" s="239" t="n">
        <f aca="false">IF(CJ103=CJ102,CK102,ABS(CJ103+CK102))</f>
        <v>0</v>
      </c>
      <c r="CL103" s="241" t="n">
        <f aca="false">IF(CE103=0,0,CK103)</f>
        <v>0</v>
      </c>
      <c r="CM103" s="239" t="n">
        <f aca="false">IF(CE103=0,0,CH103*9.81)</f>
        <v>0</v>
      </c>
      <c r="CN103" s="239" t="n">
        <f aca="false">IF(CM103=0,CM103+CN102,CM103)</f>
        <v>0</v>
      </c>
      <c r="CO103" s="239" t="n">
        <f aca="false">IF(CN103=CN102,CO102,ABS(CN103+CO102))</f>
        <v>0</v>
      </c>
      <c r="CP103" s="241" t="n">
        <f aca="false">IF(CD103="NO",0,IF(CE103=0,0,CO103))</f>
        <v>0</v>
      </c>
      <c r="CQ103" s="244" t="str">
        <f aca="false">IF(BR103=0,"",CL103-CP103)</f>
        <v/>
      </c>
      <c r="CR103" s="244" t="str">
        <f aca="false">IF(BR103=0,"",CQ103/101.3)</f>
        <v/>
      </c>
      <c r="CS103" s="244" t="str">
        <f aca="false">IF(BR103=0,"",LOG(10/CR103))</f>
        <v/>
      </c>
      <c r="CT103" s="243" t="str">
        <f aca="false">IF(BR103=0,"",IF(SQRT(101.3/CQ103)&lt;=1.7,SQRT(101.3/CQ103),2.2/(1.2+(CQ103/101.3))))</f>
        <v/>
      </c>
      <c r="CU103" s="244" t="str">
        <f aca="false">IF(BR103=0,"",1.7/(0.7+CR103))</f>
        <v/>
      </c>
      <c r="CV103" s="244" t="str">
        <f aca="false">IF(BR103=0,"",IF(CR103&gt;=0.25,0.77*LOG(20/CR103),""))</f>
        <v/>
      </c>
      <c r="CW103" s="244" t="str">
        <f aca="false">IF(BR103=0,"",32.5/(10.2+20.3*CR103))</f>
        <v/>
      </c>
      <c r="CX103" s="244" t="str">
        <f aca="false">IF(BR103=0,"",1-1.25*LOG(CR103))</f>
        <v/>
      </c>
      <c r="CY103" s="244" t="str">
        <f aca="false">IF(BR103=0,"",IF(CR103&lt;1,1-1.41*LOG(CR103),1+0.92*LOG(CR103)))</f>
        <v/>
      </c>
      <c r="CZ103" s="244" t="str">
        <f aca="false">IF(BR103=0,"",2/(1+CR103))</f>
        <v/>
      </c>
      <c r="DA103" s="244" t="str">
        <f aca="false">IF(BR103=0,"",IF(CR103&lt;=0.75,4/(1+4*CR103),4/(3.25+CR103)))</f>
        <v/>
      </c>
      <c r="DB103" s="244" t="str">
        <f aca="false">IF(BR103=0,"",CT103)</f>
        <v/>
      </c>
      <c r="DC103" s="244" t="str">
        <f aca="false">IF(BR103=0,"",DB103*CC103)</f>
        <v/>
      </c>
      <c r="DD103" s="244"/>
      <c r="DE103" s="244" t="str">
        <f aca="false">IF(BR103=0,"",0.193*(CC103/(CQ103*0.001))^0.689)</f>
        <v/>
      </c>
      <c r="DF103" s="244" t="str">
        <f aca="false">IF(BR103=0,"",IF(AS103=$AX$4,(0.1348118*CC103 - 0.0383065)*98.0665,""))</f>
        <v/>
      </c>
      <c r="DG103" s="244" t="str">
        <f aca="false">IF(BR103=0,"",IF(AS103=$AX$4,DF103/2,""))</f>
        <v/>
      </c>
      <c r="DH103" s="244" t="str">
        <f aca="false">IF(BR103=0,"",IF(DC103&lt;=15,12*(DC103+6),40+12*(DC103-6)))</f>
        <v/>
      </c>
      <c r="DI103" s="244" t="str">
        <f aca="false">IF(BR103=0,"",IF(CD103="SI",5*(DC103+15),((3.3*(DC103+15))+(4*(DC103+12)))/2))</f>
        <v/>
      </c>
      <c r="DJ103" s="244" t="str">
        <f aca="false">IF(BR103=0,"",8*DC103)</f>
        <v/>
      </c>
      <c r="DK103" s="244" t="str">
        <f aca="false">IF(BR103=0,"",215+(10.6*DC103))</f>
        <v/>
      </c>
      <c r="DL103" s="244" t="str">
        <f aca="false">IF(BR103=0,"",10*(7.5+(0.5*DC103)))</f>
        <v/>
      </c>
      <c r="DM103" s="244" t="str">
        <f aca="false">IF(BR103=0,"",8*DC103)</f>
        <v/>
      </c>
      <c r="DN103" s="244" t="str">
        <f aca="false">IF(AW103=" "," ",IF(DC103=""," ",IF(DC103&lt;4,10*10.2,IF(DC103=4,12*10.2,IF(DC103&lt;10,17.5*10.5,IF(DC103=10,15*10.2,IF(DC103&lt;30,22.5*10.2,IF(DC103=30,35*10.2,IF(DC103&lt;50,40*10.2,IF(DC103=50,50*10.2,55*10.2))))))))))</f>
        <v> </v>
      </c>
      <c r="DO103" s="244" t="str">
        <f aca="false">IF(BR103=0,"",7*SQRT(DC103)*10.1972)</f>
        <v/>
      </c>
      <c r="DP103" s="244" t="str">
        <f aca="false">IF(BR103=0,"",IF(AS103=$AX$4,5*CC103,""))</f>
        <v/>
      </c>
      <c r="DQ103" s="244" t="str">
        <f aca="false">IF(AW103=" "," ",IF(DC103=""," ",IF(DC103&lt;2,4*10.2,IF(DC103=2,6*10.2,IF(DC103&lt;4,12*10.2,IF(DC103=4,20*10.2,IF(DC103&lt;8,30*10.2,IF(DC103=8,35*10.2,IF(DC103&lt;15,40*10.2,IF(DC103=15,42*10.2,IF(DC103&lt;30,45*10.2,IF(DC103=30,50*10.2,70*10.2))))))))))))</f>
        <v> </v>
      </c>
      <c r="DR103" s="244" t="str">
        <f aca="false">IF(BR103=0,"",IF(AS103=$AX$4,220*DP103*0.0101972,""))</f>
        <v/>
      </c>
      <c r="DS103" s="271" t="str">
        <f aca="false">IF(BR103=0,"",IF(AS103=$AX$7,(SUM(DH103:DO103)-MIN(DH103:DO103)-MAX(DH103:DO103))/6,(SUM(DO103:DR103)-MIN(DO103:DR103)-MAX(DO103:DR103))/2))</f>
        <v/>
      </c>
      <c r="DT103" s="244" t="str">
        <f aca="false">IF(AW103=" "," ",IF(DC103=""," ",IF(DC103&lt;4,0.2,IF(DC103=4,0.27,IF(DC103&lt;10,0.33,IF(DC103=10,0.35,IF(DC103&lt;30,0.36,IF(DC103=30,0.37,IF(DC103&lt;50,0.38,IF(DC103=50,0.4,0.45))))))))))</f>
        <v> </v>
      </c>
      <c r="DU103" s="272" t="str">
        <f aca="false">IF(AW103=" "," ",IF(CC103=""," ",IF(CC103&lt;2,0.2,IF(CC103=2,0.23,IF(CC103&lt;4,0.26,IF(CC103=4,0.29,IF(CC103&lt;8,0.32,IF(CC103=8,0.35,IF(CC103&lt;15,0.38,IF(CC103=15,0.41,IF(CC103&lt;30,0.44,IF(CC103=30,0.47,0.5))))))))))))</f>
        <v> </v>
      </c>
      <c r="DV103" s="244" t="str">
        <f aca="false">IF(BR103=0,"",IF(AS103=$AX$3,DT103,DU103))</f>
        <v/>
      </c>
      <c r="DW103" s="244" t="str">
        <f aca="false">IF(BR103=0,"",IF(DC103&gt;15,15+0.5*(DC103-15),DC103))</f>
        <v/>
      </c>
      <c r="DX103" s="244" t="str">
        <f aca="false">IF(BR103=0,"",IF($S$12="SI",IF(CD103="NO",IF($AD$12&gt;(BO103+1.5*$ED$15),1,0.5),0.5),1))</f>
        <v/>
      </c>
      <c r="DY103" s="244" t="str">
        <f aca="false">IF(BR103=0,"",IF($S$12="SI",IF(CD103="NO",IF($AD$12&gt;(BO103+1.5*$EE$15),1,0.5),0.5),1))</f>
        <v/>
      </c>
      <c r="DZ103" s="244" t="str">
        <f aca="false">IF(BR103=0,"",IF($S$12="SI",IF(CD103="NO",IF($AD$12&gt;(BO103+1.5*$EF$15),1,0.5),0.5),1))</f>
        <v/>
      </c>
      <c r="EA103" s="244" t="str">
        <f aca="false">IF(BR103=0,"",IF($S$12="SI",IF(CD103="NO",IF($AD$12&gt;(BO103+1.5*$ED$15),1,0.5),IF($AD$12=BO103,1,0.5)),1))</f>
        <v/>
      </c>
      <c r="EB103" s="244" t="str">
        <f aca="false">IF(BR103=0,"",IF($S$12="SI",IF(CD103="NO",IF($AD$12&gt;(BO103+1.5*$EE$15),1,0.5),IF($AD$12=BO103,1,0.5)),1))</f>
        <v/>
      </c>
      <c r="EC103" s="244" t="str">
        <f aca="false">IF(BR103=0,"",IF($S$12="SI",IF(CD103="NO",IF($AD$12&gt;(BO103+1.5*$EF$15),1,0.5),IF($AD$12=BO103,1,0.5)),1))</f>
        <v/>
      </c>
      <c r="ED103" s="244" t="str">
        <f aca="false">IF(BR103=0,"",(DW103*($ED$15/10)*(DX103+EA103*(BO103/$ED$15))*1)/3)</f>
        <v/>
      </c>
      <c r="EE103" s="244" t="str">
        <f aca="false">IF(BR103=0,"",(DW103*($EE$15/10)*(DY103+EB103*(BO103/$EE$15))*1)/3)</f>
        <v/>
      </c>
      <c r="EF103" s="244" t="str">
        <f aca="false">IF(BR103=0,"",(DW103*($EF$15/10)*(DZ103+EC103*(BO103/$EF$15))*1)/3)</f>
        <v/>
      </c>
      <c r="EG103" s="273" t="str">
        <f aca="false">IF(BR103=0,"",IF(CD103="SI",0.5,1))</f>
        <v/>
      </c>
      <c r="EH103" s="244" t="str">
        <f aca="false">IF(BR103=0,"",IF((1+0.33*(BO103/$ED$15))&lt;=1.33,(1+0.33*(BO103/$ED$15)),1.33))</f>
        <v/>
      </c>
      <c r="EI103" s="244" t="str">
        <f aca="false">IF(BR103=0,"",IF((1+0.33*(BO103/$EE$15))&lt;=1.33,(1+0.33*(BO103/$EE$15)),1.33))</f>
        <v/>
      </c>
      <c r="EJ103" s="244" t="str">
        <f aca="false">IF(BR103=0,"",IF((1+0.33*(BO103/$EF$15))&lt;=1.33,(1+0.33*(BO103/$EF$15)),1.33))</f>
        <v/>
      </c>
      <c r="EK103" s="244" t="str">
        <f aca="false">IF(BR103=0,"",IF($ED$15&lt;=1.2,((20*DC103*EG103*EH103)/3)*0.010197,((12.5*DC103*((($ED$15+0.3)^2)/$ED$15)*EG103*EH103)/3)*0.010197))</f>
        <v/>
      </c>
      <c r="EL103" s="244" t="str">
        <f aca="false">IF(BR103=0,"",IF($EE$15&lt;=1.2,((20*DC103*EG103*EI103)/3)*0.010197,((12.5*DC103*((($EE$15+0.3)^2)/$EE$15)*EG103*EI103)/3)*0.010197))</f>
        <v/>
      </c>
      <c r="EM103" s="244" t="str">
        <f aca="false">IF(BR103=0,"",IF($EF$15&lt;=1.2,((20*DC103*EG103*EJ103)/3)*0.010197,((12.5*DC103*((($EF$15+0.3)^2)/$EF$15)*EG103*EJ103)/3)*0.010197))</f>
        <v/>
      </c>
      <c r="EN103" s="248" t="str">
        <f aca="false">IF(BR103=0,"",SQRT(12*CC103)+25)</f>
        <v/>
      </c>
      <c r="EO103" s="248" t="str">
        <f aca="false">IF(BR103=0,"",28.5+0.25*CC103)</f>
        <v/>
      </c>
      <c r="EP103" s="248" t="str">
        <f aca="false">IF(BR103=0,"",SQRT(20*CC103)+15)</f>
        <v/>
      </c>
      <c r="EQ103" s="248" t="str">
        <f aca="false">IF(BR103=0,"",23.7+0.57*CC103-0.0006*CC103*CC103)</f>
        <v/>
      </c>
      <c r="ER103" s="248" t="str">
        <f aca="false">IF(BR103=0,"",15+SQRT(12.5*DC103))</f>
        <v/>
      </c>
      <c r="ES103" s="248" t="str">
        <f aca="false">IF(BR103=0,"",3.5*SQRT(CC103)+20)</f>
        <v/>
      </c>
      <c r="ET103" s="248" t="str">
        <f aca="false">IF(BR103=0,"",27.1+0.3*DC103-0.00054*DC103*DC103)</f>
        <v/>
      </c>
      <c r="EU103" s="248" t="str">
        <f aca="false">IF(BR103=0,"",SQRT(20*CC103)+20)</f>
        <v/>
      </c>
      <c r="EV103" s="248" t="str">
        <f aca="false">IF(BR103=0,"",12.79+SQRT(25.86*CC103))</f>
        <v/>
      </c>
      <c r="EW103" s="248" t="str">
        <f aca="false">IF(BR103=0,"",DEGREES(_xlfn.ACOT((CC103/(12.2+20.3*CR103))^0.34)))</f>
        <v/>
      </c>
      <c r="EX103" s="248" t="str">
        <f aca="false">IF(BR103=0,"",24+(5.77*LN(0.17*DC103)))</f>
        <v/>
      </c>
      <c r="EY103" s="248" t="str">
        <f aca="false">IF(BR103=0,"",(SUM(EN103:EX103)-MIN(EN103:EX103)-MAX(EN103:EX103))/9)</f>
        <v/>
      </c>
      <c r="EZ103" s="248" t="str">
        <f aca="false">IF(BR103=0,"", -0.0000000034*CC103^6 + 0.0000008305*CC103^5 - 0.0000741842*CC103^4 + 0.0030204278*CC103^3 - 0.0541594733*CC103^2 + 0.8083147848*CC103 - 0.6182191243)</f>
        <v/>
      </c>
      <c r="FA103" s="249" t="str">
        <f aca="false">IF(BR103=0,"",(0.134811827956989*CC103 - 0.0383064516129019)/2)</f>
        <v/>
      </c>
      <c r="FB103" s="249" t="str">
        <f aca="false">IF(BR103=0,"",CC103*0.065)</f>
        <v/>
      </c>
      <c r="FC103" s="249" t="str">
        <f aca="false">IF(BR103=0,"",(CC103*0.12*0.48)*SQRT((1+SIN(EZ103*((2*PI())/360))/(1-SIN(EZ103*((2*PI())/360))))))</f>
        <v/>
      </c>
      <c r="FD103" s="249" t="str">
        <f aca="false">IF(BR103=0,"",(CC103/8)/2)</f>
        <v/>
      </c>
      <c r="FE103" s="249" t="str">
        <f aca="false">IF(BR103=0,"",(SUM(FA103:FD103)-MIN(FA103:FD103)-MAX(FA103:FD103))/2)</f>
        <v/>
      </c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</row>
    <row r="104" customFormat="false" ht="9.75" hidden="false" customHeight="true" outlineLevel="0" collapsed="false">
      <c r="A104" s="197" t="n">
        <f aca="false">ROUND(A103+0.1,1)</f>
        <v>8.7</v>
      </c>
      <c r="B104" s="250"/>
      <c r="C104" s="251"/>
      <c r="D104" s="251"/>
      <c r="E104" s="199"/>
      <c r="F104" s="200"/>
      <c r="G104" s="254"/>
      <c r="H104" s="284"/>
      <c r="I104" s="285"/>
      <c r="J104" s="257"/>
      <c r="K104" s="258"/>
      <c r="L104" s="259"/>
      <c r="M104" s="313"/>
      <c r="N104" s="277"/>
      <c r="O104" s="277"/>
      <c r="P104" s="277"/>
      <c r="Q104" s="293"/>
      <c r="R104" s="314"/>
      <c r="S104" s="315"/>
      <c r="T104" s="295"/>
      <c r="U104" s="295"/>
      <c r="V104" s="296"/>
      <c r="W104" s="296"/>
      <c r="X104" s="296"/>
      <c r="Y104" s="296"/>
      <c r="Z104" s="296"/>
      <c r="AA104" s="296"/>
      <c r="AB104" s="297"/>
      <c r="AC104" s="298"/>
      <c r="AD104" s="299"/>
      <c r="AE104" s="298"/>
      <c r="AF104" s="300"/>
      <c r="AG104" s="267"/>
      <c r="AH104" s="267"/>
      <c r="AI104" s="241"/>
      <c r="AJ104" s="241"/>
      <c r="AK104" s="266"/>
      <c r="AL104" s="266"/>
      <c r="AM104" s="268"/>
      <c r="AN104" s="250"/>
      <c r="AO104" s="251"/>
      <c r="AP104" s="251"/>
      <c r="AQ104" s="199"/>
      <c r="AR104" s="200"/>
      <c r="AS104" s="269" t="s">
        <v>13</v>
      </c>
      <c r="AT104" s="221"/>
      <c r="AU104" s="269"/>
      <c r="AV104" s="269"/>
      <c r="AW104" s="270" t="n">
        <f aca="false">+K104+L104</f>
        <v>0</v>
      </c>
      <c r="AX104" s="270" t="str">
        <f aca="false">IF(AS104="&gt;50","CONSISTENCIA",IF(AS104="&lt;50","COMPACIDAD"," "))</f>
        <v>COMPACIDAD</v>
      </c>
      <c r="AY104" s="225" t="str">
        <f aca="false">IF(AS104="&gt;50",AZ104,IF(AS104="&lt;50",BA104," "))</f>
        <v> </v>
      </c>
      <c r="AZ104" s="224" t="str">
        <f aca="false">IF(AW104=" "," ",IF(CC104=""," ",IF(CC104&lt;2,"MUY BLANDA",IF(CC104=2,"MUY BLANDA A BLANDA",IF(CC104&lt;4,"BLANDA",IF(CC104=4,"BLANDA A MEDIA",IF(CC104&lt;8,"MEDIA",IF(CC104=8,"MEDIA A FIRME",IF(CC104&lt;15,"FIRME",IF(CC104=15,"FIRME A MUY FIRME",IF(CC104&lt;30,"MUY FIRME",IF(CC104=30,"MUY FIRME A DURA","DURA"))))))))))))</f>
        <v> </v>
      </c>
      <c r="BA104" s="225" t="str">
        <f aca="false">IF(AW104=" "," ",IF(DC104=""," ",IF(DC104&lt;4,"MUY SUELTA",IF(DC104=4,"MUY SUELTA A SUELTA",IF(DC104&lt;10,"SUELTA",IF(DC104=10,"SUELTA A MEDIA",IF(DC104&lt;30,"MEDIA",IF(DC104=30,"MEDIA A DENSO",IF(DC104&lt;50,"DENSO",IF(DC104=50,"DENSO MUY DENSO","MUY DENSO"))))))))))</f>
        <v> </v>
      </c>
      <c r="BB104" s="226" t="str">
        <f aca="false">IF(BR105=0,"",CQ105*0.0101972)</f>
        <v/>
      </c>
      <c r="BC104" s="227" t="n">
        <f aca="false">+BC103+0.1</f>
        <v>8.69999999999999</v>
      </c>
      <c r="BD104" s="227" t="str">
        <f aca="false">IF(BC104&lt;=$AN$10,BC104,"")</f>
        <v/>
      </c>
      <c r="BE104" s="228" t="n">
        <f aca="false">ISNUMBER(BD104)</f>
        <v>0</v>
      </c>
      <c r="BF104" s="229" t="str">
        <f aca="false">MID(M104,1,1)</f>
        <v/>
      </c>
      <c r="BG104" s="230" t="str">
        <f aca="false">IF(BF104="S","",IF(BF104="G","",MID(M104,2,1)))</f>
        <v/>
      </c>
      <c r="BH104" s="231" t="str">
        <f aca="false">CONCATENATE(BF104,BG104)</f>
        <v/>
      </c>
      <c r="BI104" s="6" t="str">
        <f aca="false">IF(BE104=FALSE(),"",IF(BH104="",BI103,BH104))</f>
        <v/>
      </c>
      <c r="BJ104" s="74" t="str">
        <f aca="false">IF(OR(BI104="S",BI104="G"),BI104,"X")</f>
        <v>X</v>
      </c>
      <c r="BK104" s="74" t="s">
        <v>264</v>
      </c>
      <c r="BL104" s="312" t="e">
        <f aca="false">INDEX(sim_0,MATCH($BJ$104,granular,0))</f>
        <v>#NAME?</v>
      </c>
      <c r="BM104" s="312"/>
      <c r="BN104" s="6"/>
      <c r="BO104" s="191" t="n">
        <f aca="false">BO103+0.1</f>
        <v>8.69999999999999</v>
      </c>
      <c r="BP104" s="233" t="e">
        <f aca="false">IF(AW104=0,NA(),IF(AS104=$AX$3,ROUND(DC104,0),NA()))</f>
        <v>#N/A</v>
      </c>
      <c r="BQ104" s="31" t="e">
        <f aca="false">IF(AW104=0,NA(),IF(AS104=$AX$4,ROUND(CC104,0),NA()))</f>
        <v>#N/A</v>
      </c>
      <c r="BR104" s="234" t="n">
        <f aca="false">+AW104</f>
        <v>0</v>
      </c>
      <c r="BS104" s="235" t="str">
        <f aca="false">IF(BR104=0,"", -0.00000000016128755327*CC104^6 + 0.00000006709386362421*CC104^5 - 0.0000106217678052217*CC104^4 + 0.00081068114193385*CC104^3 - 0.0314027378159951*CC104^2 + 0.649796593937842*CC104 + 13.7888866455022)</f>
        <v/>
      </c>
      <c r="BT104" s="235" t="str">
        <f aca="false">IF(BR104=0,"",-0.00000000014625939695*CC104^6 + 0.00000004971732060241*CC104^5 - 0.000006683744342031*CC104^4 + 0.0004563177378098*CC104^3 - 0.0171727530635803*CC104^2 + 0.444529932876435*CC104 + 15.6692518940565)</f>
        <v/>
      </c>
      <c r="BU104" s="236" t="str">
        <f aca="false">IF(BR104=0,"", -0.0000000008152265738*BR104^6 + 0.00000022764320256987*BR104^5 - 0.0000248205675927705*BR104^4 + 0.00133186623684865*BR104^3 - 0.0368442570441677*BR104^2 + 0.580111565569094*BR104 + 14.0417598296107)</f>
        <v/>
      </c>
      <c r="BV104" s="236" t="str">
        <f aca="false">IF(BR104=0,"", -0.00000000004321395721*BR104^6 + 0.00000002531844275498*BR104^5 - 0.00000369428022780862*BR104^4 + 0.00020283665900125*BR104^3 - 0.00462426256803268*BR104^2 + 0.139572935065453*BR104 + 15.4475338156923)</f>
        <v/>
      </c>
      <c r="BW104" s="236" t="str">
        <f aca="false">IF(BR104=0,"",-0.00000000033126390082*BR104^6 + 0.00000010463660614506*BR104^5 - 0.0000129629592998707*BR104^4 + 0.000803946335250767*BR104^3 - 0.0270257140395994*BR104^2 + 0.562590210721552*BR104+ 12.1254107606419)</f>
        <v/>
      </c>
      <c r="BX104" s="236" t="str">
        <f aca="false">IF(BR104=0,"",-0.00000000002593504955*BR104^6 + 0.00000002430495156704*BR104^5 - 0.00000386103271086364*BR104^4 + 0.000214416118986322*BR104^3 - 0.0047271462612021*BR104^2 + 0.156696175741135*BR104 + 15.4598891949502)</f>
        <v/>
      </c>
      <c r="BY104" s="234" t="str">
        <f aca="false">IF(BR104=0,"",$BS$2)</f>
        <v/>
      </c>
      <c r="BZ104" s="234" t="str">
        <f aca="false">IF(BR104=0,"",$BS$3)</f>
        <v/>
      </c>
      <c r="CA104" s="234" t="str">
        <f aca="false">IF(BR104=0,"",$BS$4)</f>
        <v/>
      </c>
      <c r="CB104" s="235" t="str">
        <f aca="false">IF(BR104=0,"",IF(AND(BO104&gt;=0,BO104&lt;4),0.75,IF(AND(BO104&gt;=4,BO104&lt;6),0.85,IF(AND(BO104&gt;=6,BO104&lt;=10),0.95,1))))</f>
        <v/>
      </c>
      <c r="CC104" s="234" t="str">
        <f aca="false">IF(BR104=0,"",BR104*BY104*BZ104*CA104*CB104/60)</f>
        <v/>
      </c>
      <c r="CD104" s="238" t="str">
        <f aca="false">IF(BR104=0,"",IF($S$12="NO","NO",IF($AD$12&lt;=BO104,"SI","NO")))</f>
        <v/>
      </c>
      <c r="CE104" s="235" t="n">
        <f aca="false">IF(BR104=0,0,AB104)</f>
        <v>0</v>
      </c>
      <c r="CF104" s="235" t="n">
        <f aca="false">IF(CE104&gt;0,BO104,0)</f>
        <v>0</v>
      </c>
      <c r="CG104" s="239" t="n">
        <f aca="false">IF(CF104=0,CF104+CG103,CF104)</f>
        <v>0</v>
      </c>
      <c r="CH104" s="239" t="n">
        <f aca="false">IF(CG104=CG103,CH103,ABS(CG104-CG103))</f>
        <v>0</v>
      </c>
      <c r="CI104" s="239" t="n">
        <f aca="false">+CE104*CH104</f>
        <v>0</v>
      </c>
      <c r="CJ104" s="239" t="n">
        <f aca="false">IF(CI104=0,CI104+CJ103,CI104)</f>
        <v>0</v>
      </c>
      <c r="CK104" s="239" t="n">
        <f aca="false">IF(CJ104=CJ103,CK103,ABS(CJ104+CK103))</f>
        <v>0</v>
      </c>
      <c r="CL104" s="241" t="n">
        <f aca="false">IF(CE104=0,0,CK104)</f>
        <v>0</v>
      </c>
      <c r="CM104" s="239" t="n">
        <f aca="false">IF(CE104=0,0,CH104*9.81)</f>
        <v>0</v>
      </c>
      <c r="CN104" s="239" t="n">
        <f aca="false">IF(CM104=0,CM104+CN103,CM104)</f>
        <v>0</v>
      </c>
      <c r="CO104" s="239" t="n">
        <f aca="false">IF(CN104=CN103,CO103,ABS(CN104+CO103))</f>
        <v>0</v>
      </c>
      <c r="CP104" s="241" t="n">
        <f aca="false">IF(CD104="NO",0,IF(CE104=0,0,CO104))</f>
        <v>0</v>
      </c>
      <c r="CQ104" s="244" t="str">
        <f aca="false">IF(BR104=0,"",CL104-CP104)</f>
        <v/>
      </c>
      <c r="CR104" s="244" t="str">
        <f aca="false">IF(BR104=0,"",CQ104/101.3)</f>
        <v/>
      </c>
      <c r="CS104" s="244" t="str">
        <f aca="false">IF(BR104=0,"",LOG(10/CR104))</f>
        <v/>
      </c>
      <c r="CT104" s="243" t="str">
        <f aca="false">IF(BR104=0,"",IF(SQRT(101.3/CQ104)&lt;=1.7,SQRT(101.3/CQ104),2.2/(1.2+(CQ104/101.3))))</f>
        <v/>
      </c>
      <c r="CU104" s="244" t="str">
        <f aca="false">IF(BR104=0,"",1.7/(0.7+CR104))</f>
        <v/>
      </c>
      <c r="CV104" s="244" t="str">
        <f aca="false">IF(BR104=0,"",IF(CR104&gt;=0.25,0.77*LOG(20/CR104),""))</f>
        <v/>
      </c>
      <c r="CW104" s="244" t="str">
        <f aca="false">IF(BR104=0,"",32.5/(10.2+20.3*CR104))</f>
        <v/>
      </c>
      <c r="CX104" s="244" t="str">
        <f aca="false">IF(BR104=0,"",1-1.25*LOG(CR104))</f>
        <v/>
      </c>
      <c r="CY104" s="244" t="str">
        <f aca="false">IF(BR104=0,"",IF(CR104&lt;1,1-1.41*LOG(CR104),1+0.92*LOG(CR104)))</f>
        <v/>
      </c>
      <c r="CZ104" s="244" t="str">
        <f aca="false">IF(BR104=0,"",2/(1+CR104))</f>
        <v/>
      </c>
      <c r="DA104" s="244" t="str">
        <f aca="false">IF(BR104=0,"",IF(CR104&lt;=0.75,4/(1+4*CR104),4/(3.25+CR104)))</f>
        <v/>
      </c>
      <c r="DB104" s="244" t="str">
        <f aca="false">IF(BR104=0,"",CT104)</f>
        <v/>
      </c>
      <c r="DC104" s="244" t="str">
        <f aca="false">IF(BR104=0,"",DB104*CC104)</f>
        <v/>
      </c>
      <c r="DD104" s="244"/>
      <c r="DE104" s="244" t="str">
        <f aca="false">IF(BR104=0,"",0.193*(CC104/(CQ104*0.001))^0.689)</f>
        <v/>
      </c>
      <c r="DF104" s="244" t="str">
        <f aca="false">IF(BR104=0,"",IF(AS104=$AX$4,(0.1348118*CC104 - 0.0383065)*98.0665,""))</f>
        <v/>
      </c>
      <c r="DG104" s="244" t="str">
        <f aca="false">IF(BR104=0,"",IF(AS104=$AX$4,DF104/2,""))</f>
        <v/>
      </c>
      <c r="DH104" s="244" t="str">
        <f aca="false">IF(BR104=0,"",IF(DC104&lt;=15,12*(DC104+6),40+12*(DC104-6)))</f>
        <v/>
      </c>
      <c r="DI104" s="244" t="str">
        <f aca="false">IF(BR104=0,"",IF(CD104="SI",5*(DC104+15),((3.3*(DC104+15))+(4*(DC104+12)))/2))</f>
        <v/>
      </c>
      <c r="DJ104" s="244" t="str">
        <f aca="false">IF(BR104=0,"",8*DC104)</f>
        <v/>
      </c>
      <c r="DK104" s="244" t="str">
        <f aca="false">IF(BR104=0,"",215+(10.6*DC104))</f>
        <v/>
      </c>
      <c r="DL104" s="244" t="str">
        <f aca="false">IF(BR104=0,"",10*(7.5+(0.5*DC104)))</f>
        <v/>
      </c>
      <c r="DM104" s="244" t="str">
        <f aca="false">IF(BR104=0,"",8*DC104)</f>
        <v/>
      </c>
      <c r="DN104" s="244" t="str">
        <f aca="false">IF(AW104=" "," ",IF(DC104=""," ",IF(DC104&lt;4,10*10.2,IF(DC104=4,12*10.2,IF(DC104&lt;10,17.5*10.5,IF(DC104=10,15*10.2,IF(DC104&lt;30,22.5*10.2,IF(DC104=30,35*10.2,IF(DC104&lt;50,40*10.2,IF(DC104=50,50*10.2,55*10.2))))))))))</f>
        <v> </v>
      </c>
      <c r="DO104" s="244" t="str">
        <f aca="false">IF(BR104=0,"",7*SQRT(DC104)*10.1972)</f>
        <v/>
      </c>
      <c r="DP104" s="244" t="str">
        <f aca="false">IF(BR104=0,"",IF(AS104=$AX$4,5*CC104,""))</f>
        <v/>
      </c>
      <c r="DQ104" s="244" t="str">
        <f aca="false">IF(AW104=" "," ",IF(DC104=""," ",IF(DC104&lt;2,4*10.2,IF(DC104=2,6*10.2,IF(DC104&lt;4,12*10.2,IF(DC104=4,20*10.2,IF(DC104&lt;8,30*10.2,IF(DC104=8,35*10.2,IF(DC104&lt;15,40*10.2,IF(DC104=15,42*10.2,IF(DC104&lt;30,45*10.2,IF(DC104=30,50*10.2,70*10.2))))))))))))</f>
        <v> </v>
      </c>
      <c r="DR104" s="244" t="str">
        <f aca="false">IF(BR104=0,"",IF(AS104=$AX$4,220*DP104*0.0101972,""))</f>
        <v/>
      </c>
      <c r="DS104" s="271" t="str">
        <f aca="false">IF(BR104=0,"",IF(AS104=$AX$7,(SUM(DH104:DO104)-MIN(DH104:DO104)-MAX(DH104:DO104))/6,(SUM(DO104:DR104)-MIN(DO104:DR104)-MAX(DO104:DR104))/2))</f>
        <v/>
      </c>
      <c r="DT104" s="244" t="str">
        <f aca="false">IF(AW104=" "," ",IF(DC104=""," ",IF(DC104&lt;4,0.2,IF(DC104=4,0.27,IF(DC104&lt;10,0.33,IF(DC104=10,0.35,IF(DC104&lt;30,0.36,IF(DC104=30,0.37,IF(DC104&lt;50,0.38,IF(DC104=50,0.4,0.45))))))))))</f>
        <v> </v>
      </c>
      <c r="DU104" s="272" t="str">
        <f aca="false">IF(AW104=" "," ",IF(CC104=""," ",IF(CC104&lt;2,0.2,IF(CC104=2,0.23,IF(CC104&lt;4,0.26,IF(CC104=4,0.29,IF(CC104&lt;8,0.32,IF(CC104=8,0.35,IF(CC104&lt;15,0.38,IF(CC104=15,0.41,IF(CC104&lt;30,0.44,IF(CC104=30,0.47,0.5))))))))))))</f>
        <v> </v>
      </c>
      <c r="DV104" s="244" t="str">
        <f aca="false">IF(BR104=0,"",IF(AS104=$AX$3,DT104,DU104))</f>
        <v/>
      </c>
      <c r="DW104" s="244" t="str">
        <f aca="false">IF(BR104=0,"",IF(DC104&gt;15,15+0.5*(DC104-15),DC104))</f>
        <v/>
      </c>
      <c r="DX104" s="244" t="str">
        <f aca="false">IF(BR104=0,"",IF($S$12="SI",IF(CD104="NO",IF($AD$12&gt;(BO104+1.5*$ED$15),1,0.5),0.5),1))</f>
        <v/>
      </c>
      <c r="DY104" s="244" t="str">
        <f aca="false">IF(BR104=0,"",IF($S$12="SI",IF(CD104="NO",IF($AD$12&gt;(BO104+1.5*$EE$15),1,0.5),0.5),1))</f>
        <v/>
      </c>
      <c r="DZ104" s="244" t="str">
        <f aca="false">IF(BR104=0,"",IF($S$12="SI",IF(CD104="NO",IF($AD$12&gt;(BO104+1.5*$EF$15),1,0.5),0.5),1))</f>
        <v/>
      </c>
      <c r="EA104" s="244" t="str">
        <f aca="false">IF(BR104=0,"",IF($S$12="SI",IF(CD104="NO",IF($AD$12&gt;(BO104+1.5*$ED$15),1,0.5),IF($AD$12=BO104,1,0.5)),1))</f>
        <v/>
      </c>
      <c r="EB104" s="244" t="str">
        <f aca="false">IF(BR104=0,"",IF($S$12="SI",IF(CD104="NO",IF($AD$12&gt;(BO104+1.5*$EE$15),1,0.5),IF($AD$12=BO104,1,0.5)),1))</f>
        <v/>
      </c>
      <c r="EC104" s="244" t="str">
        <f aca="false">IF(BR104=0,"",IF($S$12="SI",IF(CD104="NO",IF($AD$12&gt;(BO104+1.5*$EF$15),1,0.5),IF($AD$12=BO104,1,0.5)),1))</f>
        <v/>
      </c>
      <c r="ED104" s="244" t="str">
        <f aca="false">IF(BR104=0,"",(DW104*($ED$15/10)*(DX104+EA104*(BO104/$ED$15))*1)/3)</f>
        <v/>
      </c>
      <c r="EE104" s="244" t="str">
        <f aca="false">IF(BR104=0,"",(DW104*($EE$15/10)*(DY104+EB104*(BO104/$EE$15))*1)/3)</f>
        <v/>
      </c>
      <c r="EF104" s="244" t="str">
        <f aca="false">IF(BR104=0,"",(DW104*($EF$15/10)*(DZ104+EC104*(BO104/$EF$15))*1)/3)</f>
        <v/>
      </c>
      <c r="EG104" s="273" t="str">
        <f aca="false">IF(BR104=0,"",IF(CD104="SI",0.5,1))</f>
        <v/>
      </c>
      <c r="EH104" s="244" t="str">
        <f aca="false">IF(BR104=0,"",IF((1+0.33*(BO104/$ED$15))&lt;=1.33,(1+0.33*(BO104/$ED$15)),1.33))</f>
        <v/>
      </c>
      <c r="EI104" s="244" t="str">
        <f aca="false">IF(BR104=0,"",IF((1+0.33*(BO104/$EE$15))&lt;=1.33,(1+0.33*(BO104/$EE$15)),1.33))</f>
        <v/>
      </c>
      <c r="EJ104" s="244" t="str">
        <f aca="false">IF(BR104=0,"",IF((1+0.33*(BO104/$EF$15))&lt;=1.33,(1+0.33*(BO104/$EF$15)),1.33))</f>
        <v/>
      </c>
      <c r="EK104" s="244" t="str">
        <f aca="false">IF(BR104=0,"",IF($ED$15&lt;=1.2,((20*DC104*EG104*EH104)/3)*0.010197,((12.5*DC104*((($ED$15+0.3)^2)/$ED$15)*EG104*EH104)/3)*0.010197))</f>
        <v/>
      </c>
      <c r="EL104" s="244" t="str">
        <f aca="false">IF(BR104=0,"",IF($EE$15&lt;=1.2,((20*DC104*EG104*EI104)/3)*0.010197,((12.5*DC104*((($EE$15+0.3)^2)/$EE$15)*EG104*EI104)/3)*0.010197))</f>
        <v/>
      </c>
      <c r="EM104" s="244" t="str">
        <f aca="false">IF(BR104=0,"",IF($EF$15&lt;=1.2,((20*DC104*EG104*EJ104)/3)*0.010197,((12.5*DC104*((($EF$15+0.3)^2)/$EF$15)*EG104*EJ104)/3)*0.010197))</f>
        <v/>
      </c>
      <c r="EN104" s="248" t="str">
        <f aca="false">IF(BR104=0,"",SQRT(12*CC104)+25)</f>
        <v/>
      </c>
      <c r="EO104" s="248" t="str">
        <f aca="false">IF(BR104=0,"",28.5+0.25*CC104)</f>
        <v/>
      </c>
      <c r="EP104" s="248" t="str">
        <f aca="false">IF(BR104=0,"",SQRT(20*CC104)+15)</f>
        <v/>
      </c>
      <c r="EQ104" s="248" t="str">
        <f aca="false">IF(BR104=0,"",23.7+0.57*CC104-0.0006*CC104*CC104)</f>
        <v/>
      </c>
      <c r="ER104" s="248" t="str">
        <f aca="false">IF(BR104=0,"",15+SQRT(12.5*DC104))</f>
        <v/>
      </c>
      <c r="ES104" s="248" t="str">
        <f aca="false">IF(BR104=0,"",3.5*SQRT(CC104)+20)</f>
        <v/>
      </c>
      <c r="ET104" s="248" t="str">
        <f aca="false">IF(BR104=0,"",27.1+0.3*DC104-0.00054*DC104*DC104)</f>
        <v/>
      </c>
      <c r="EU104" s="248" t="str">
        <f aca="false">IF(BR104=0,"",SQRT(20*CC104)+20)</f>
        <v/>
      </c>
      <c r="EV104" s="248" t="str">
        <f aca="false">IF(BR104=0,"",12.79+SQRT(25.86*CC104))</f>
        <v/>
      </c>
      <c r="EW104" s="248" t="str">
        <f aca="false">IF(BR104=0,"",DEGREES(_xlfn.ACOT((CC104/(12.2+20.3*CR104))^0.34)))</f>
        <v/>
      </c>
      <c r="EX104" s="248" t="str">
        <f aca="false">IF(BR104=0,"",24+(5.77*LN(0.17*DC104)))</f>
        <v/>
      </c>
      <c r="EY104" s="248" t="str">
        <f aca="false">IF(BR104=0,"",(SUM(EN104:EX104)-MIN(EN104:EX104)-MAX(EN104:EX104))/9)</f>
        <v/>
      </c>
      <c r="EZ104" s="248" t="str">
        <f aca="false">IF(BR104=0,"", -0.0000000034*CC104^6 + 0.0000008305*CC104^5 - 0.0000741842*CC104^4 + 0.0030204278*CC104^3 - 0.0541594733*CC104^2 + 0.8083147848*CC104 - 0.6182191243)</f>
        <v/>
      </c>
      <c r="FA104" s="249" t="str">
        <f aca="false">IF(BR104=0,"",(0.134811827956989*CC104 - 0.0383064516129019)/2)</f>
        <v/>
      </c>
      <c r="FB104" s="249" t="str">
        <f aca="false">IF(BR104=0,"",CC104*0.065)</f>
        <v/>
      </c>
      <c r="FC104" s="249" t="str">
        <f aca="false">IF(BR104=0,"",(CC104*0.12*0.48)*SQRT((1+SIN(EZ104*((2*PI())/360))/(1-SIN(EZ104*((2*PI())/360))))))</f>
        <v/>
      </c>
      <c r="FD104" s="249" t="str">
        <f aca="false">IF(BR104=0,"",(CC104/8)/2)</f>
        <v/>
      </c>
      <c r="FE104" s="249" t="str">
        <f aca="false">IF(BR104=0,"",(SUM(FA104:FD104)-MIN(FA104:FD104)-MAX(FA104:FD104))/2)</f>
        <v/>
      </c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</row>
    <row r="105" customFormat="false" ht="9.75" hidden="false" customHeight="true" outlineLevel="0" collapsed="false">
      <c r="A105" s="197" t="n">
        <f aca="false">ROUND(A104+0.1,1)</f>
        <v>8.8</v>
      </c>
      <c r="B105" s="250" t="n">
        <f aca="false">+A105</f>
        <v>8.8</v>
      </c>
      <c r="C105" s="251"/>
      <c r="D105" s="251"/>
      <c r="E105" s="274"/>
      <c r="F105" s="253"/>
      <c r="G105" s="254"/>
      <c r="H105" s="284"/>
      <c r="I105" s="285"/>
      <c r="J105" s="257"/>
      <c r="K105" s="258"/>
      <c r="L105" s="259"/>
      <c r="M105" s="313"/>
      <c r="N105" s="277"/>
      <c r="O105" s="277"/>
      <c r="P105" s="277"/>
      <c r="Q105" s="293"/>
      <c r="R105" s="314"/>
      <c r="S105" s="315"/>
      <c r="T105" s="295"/>
      <c r="U105" s="295"/>
      <c r="V105" s="296"/>
      <c r="W105" s="296"/>
      <c r="X105" s="296"/>
      <c r="Y105" s="296"/>
      <c r="Z105" s="296"/>
      <c r="AA105" s="296"/>
      <c r="AB105" s="297"/>
      <c r="AC105" s="298"/>
      <c r="AD105" s="299"/>
      <c r="AE105" s="298"/>
      <c r="AF105" s="300"/>
      <c r="AG105" s="267"/>
      <c r="AH105" s="267"/>
      <c r="AI105" s="241"/>
      <c r="AJ105" s="241"/>
      <c r="AK105" s="266"/>
      <c r="AL105" s="266"/>
      <c r="AM105" s="268"/>
      <c r="AN105" s="250" t="n">
        <f aca="false">+AN103+0.2</f>
        <v>8.8</v>
      </c>
      <c r="AO105" s="251"/>
      <c r="AP105" s="251"/>
      <c r="AQ105" s="274"/>
      <c r="AR105" s="253"/>
      <c r="AS105" s="269" t="s">
        <v>13</v>
      </c>
      <c r="AT105" s="221"/>
      <c r="AU105" s="269"/>
      <c r="AV105" s="269"/>
      <c r="AW105" s="270" t="n">
        <f aca="false">+K105+L105</f>
        <v>0</v>
      </c>
      <c r="AX105" s="270" t="str">
        <f aca="false">IF(AS105="&gt;50","CONSISTENCIA",IF(AS105="&lt;50","COMPACIDAD"," "))</f>
        <v>COMPACIDAD</v>
      </c>
      <c r="AY105" s="225" t="str">
        <f aca="false">IF(AS105="&gt;50",AZ105,IF(AS105="&lt;50",BA105," "))</f>
        <v> </v>
      </c>
      <c r="AZ105" s="224" t="str">
        <f aca="false">IF(AW105=" "," ",IF(CC105=""," ",IF(CC105&lt;2,"MUY BLANDA",IF(CC105=2,"MUY BLANDA A BLANDA",IF(CC105&lt;4,"BLANDA",IF(CC105=4,"BLANDA A MEDIA",IF(CC105&lt;8,"MEDIA",IF(CC105=8,"MEDIA A FIRME",IF(CC105&lt;15,"FIRME",IF(CC105=15,"FIRME A MUY FIRME",IF(CC105&lt;30,"MUY FIRME",IF(CC105=30,"MUY FIRME A DURA","DURA"))))))))))))</f>
        <v> </v>
      </c>
      <c r="BA105" s="225" t="str">
        <f aca="false">IF(AW105=" "," ",IF(DC105=""," ",IF(DC105&lt;4,"MUY SUELTA",IF(DC105=4,"MUY SUELTA A SUELTA",IF(DC105&lt;10,"SUELTA",IF(DC105=10,"SUELTA A MEDIA",IF(DC105&lt;30,"MEDIA",IF(DC105=30,"MEDIA A DENSO",IF(DC105&lt;50,"DENSO",IF(DC105=50,"DENSO MUY DENSO","MUY DENSO"))))))))))</f>
        <v> </v>
      </c>
      <c r="BB105" s="226" t="str">
        <f aca="false">IF(BR106=0,"",CQ106*0.0101972)</f>
        <v/>
      </c>
      <c r="BC105" s="227" t="n">
        <f aca="false">+BC104+0.1</f>
        <v>8.79999999999999</v>
      </c>
      <c r="BD105" s="227" t="str">
        <f aca="false">IF(BC105&lt;=$AN$10,BC105,"")</f>
        <v/>
      </c>
      <c r="BE105" s="228" t="n">
        <f aca="false">ISNUMBER(BD105)</f>
        <v>0</v>
      </c>
      <c r="BF105" s="229" t="str">
        <f aca="false">MID(M105,1,1)</f>
        <v/>
      </c>
      <c r="BG105" s="230" t="str">
        <f aca="false">IF(BF105="S","",IF(BF105="G","",MID(M105,2,1)))</f>
        <v/>
      </c>
      <c r="BH105" s="231" t="str">
        <f aca="false">CONCATENATE(BF105,BG105)</f>
        <v/>
      </c>
      <c r="BI105" s="6" t="str">
        <f aca="false">IF(BE105=FALSE(),"",IF(BH105="",BI104,BH105))</f>
        <v/>
      </c>
      <c r="BJ105" s="74" t="str">
        <f aca="false">IF(OR(BI105="S",BI105="G"),BI105,"X")</f>
        <v>X</v>
      </c>
      <c r="BK105" s="74" t="s">
        <v>265</v>
      </c>
      <c r="BL105" s="312" t="e">
        <f aca="false">INDEX(sim_0,MATCH($BJ$105,granular,0))</f>
        <v>#NAME?</v>
      </c>
      <c r="BM105" s="312"/>
      <c r="BN105" s="6"/>
      <c r="BO105" s="191" t="n">
        <f aca="false">BO104+0.1</f>
        <v>8.79999999999999</v>
      </c>
      <c r="BP105" s="233" t="e">
        <f aca="false">IF(AW105=0,NA(),IF(AS105=$AX$3,ROUND(DC105,0),NA()))</f>
        <v>#N/A</v>
      </c>
      <c r="BQ105" s="31" t="e">
        <f aca="false">IF(AW105=0,NA(),IF(AS105=$AX$4,ROUND(CC105,0),NA()))</f>
        <v>#N/A</v>
      </c>
      <c r="BR105" s="234" t="n">
        <f aca="false">+AW105</f>
        <v>0</v>
      </c>
      <c r="BS105" s="235" t="str">
        <f aca="false">IF(BR105=0,"", -0.00000000016128755327*CC105^6 + 0.00000006709386362421*CC105^5 - 0.0000106217678052217*CC105^4 + 0.00081068114193385*CC105^3 - 0.0314027378159951*CC105^2 + 0.649796593937842*CC105 + 13.7888866455022)</f>
        <v/>
      </c>
      <c r="BT105" s="235" t="str">
        <f aca="false">IF(BR105=0,"",-0.00000000014625939695*CC105^6 + 0.00000004971732060241*CC105^5 - 0.000006683744342031*CC105^4 + 0.0004563177378098*CC105^3 - 0.0171727530635803*CC105^2 + 0.444529932876435*CC105 + 15.6692518940565)</f>
        <v/>
      </c>
      <c r="BU105" s="236" t="str">
        <f aca="false">IF(BR105=0,"", -0.0000000008152265738*BR105^6 + 0.00000022764320256987*BR105^5 - 0.0000248205675927705*BR105^4 + 0.00133186623684865*BR105^3 - 0.0368442570441677*BR105^2 + 0.580111565569094*BR105 + 14.0417598296107)</f>
        <v/>
      </c>
      <c r="BV105" s="236" t="str">
        <f aca="false">IF(BR105=0,"", -0.00000000004321395721*BR105^6 + 0.00000002531844275498*BR105^5 - 0.00000369428022780862*BR105^4 + 0.00020283665900125*BR105^3 - 0.00462426256803268*BR105^2 + 0.139572935065453*BR105 + 15.4475338156923)</f>
        <v/>
      </c>
      <c r="BW105" s="236" t="str">
        <f aca="false">IF(BR105=0,"",-0.00000000033126390082*BR105^6 + 0.00000010463660614506*BR105^5 - 0.0000129629592998707*BR105^4 + 0.000803946335250767*BR105^3 - 0.0270257140395994*BR105^2 + 0.562590210721552*BR105+ 12.1254107606419)</f>
        <v/>
      </c>
      <c r="BX105" s="236" t="str">
        <f aca="false">IF(BR105=0,"",-0.00000000002593504955*BR105^6 + 0.00000002430495156704*BR105^5 - 0.00000386103271086364*BR105^4 + 0.000214416118986322*BR105^3 - 0.0047271462612021*BR105^2 + 0.156696175741135*BR105 + 15.4598891949502)</f>
        <v/>
      </c>
      <c r="BY105" s="234" t="str">
        <f aca="false">IF(BR105=0,"",$BS$2)</f>
        <v/>
      </c>
      <c r="BZ105" s="234" t="str">
        <f aca="false">IF(BR105=0,"",$BS$3)</f>
        <v/>
      </c>
      <c r="CA105" s="234" t="str">
        <f aca="false">IF(BR105=0,"",$BS$4)</f>
        <v/>
      </c>
      <c r="CB105" s="235" t="str">
        <f aca="false">IF(BR105=0,"",IF(AND(BO105&gt;=0,BO105&lt;4),0.75,IF(AND(BO105&gt;=4,BO105&lt;6),0.85,IF(AND(BO105&gt;=6,BO105&lt;=10),0.95,1))))</f>
        <v/>
      </c>
      <c r="CC105" s="234" t="str">
        <f aca="false">IF(BR105=0,"",BR105*BY105*BZ105*CA105*CB105/60)</f>
        <v/>
      </c>
      <c r="CD105" s="238" t="str">
        <f aca="false">IF(BR105=0,"",IF($S$12="NO","NO",IF($AD$12&lt;=BO105,"SI","NO")))</f>
        <v/>
      </c>
      <c r="CE105" s="235" t="n">
        <f aca="false">IF(BR105=0,0,AB105)</f>
        <v>0</v>
      </c>
      <c r="CF105" s="235" t="n">
        <f aca="false">IF(CE105&gt;0,BO105,0)</f>
        <v>0</v>
      </c>
      <c r="CG105" s="239" t="n">
        <f aca="false">IF(CF105=0,CF105+CG104,CF105)</f>
        <v>0</v>
      </c>
      <c r="CH105" s="239" t="n">
        <f aca="false">IF(CG105=CG104,CH104,ABS(CG105-CG104))</f>
        <v>0</v>
      </c>
      <c r="CI105" s="239" t="n">
        <f aca="false">+CE105*CH105</f>
        <v>0</v>
      </c>
      <c r="CJ105" s="239" t="n">
        <f aca="false">IF(CI105=0,CI105+CJ104,CI105)</f>
        <v>0</v>
      </c>
      <c r="CK105" s="239" t="n">
        <f aca="false">IF(CJ105=CJ104,CK104,ABS(CJ105+CK104))</f>
        <v>0</v>
      </c>
      <c r="CL105" s="241" t="n">
        <f aca="false">IF(CE105=0,0,CK105)</f>
        <v>0</v>
      </c>
      <c r="CM105" s="239" t="n">
        <f aca="false">IF(CE105=0,0,CH105*9.81)</f>
        <v>0</v>
      </c>
      <c r="CN105" s="239" t="n">
        <f aca="false">IF(CM105=0,CM105+CN104,CM105)</f>
        <v>0</v>
      </c>
      <c r="CO105" s="239" t="n">
        <f aca="false">IF(CN105=CN104,CO104,ABS(CN105+CO104))</f>
        <v>0</v>
      </c>
      <c r="CP105" s="241" t="n">
        <f aca="false">IF(CD105="NO",0,IF(CE105=0,0,CO105))</f>
        <v>0</v>
      </c>
      <c r="CQ105" s="244" t="str">
        <f aca="false">IF(BR105=0,"",CL105-CP105)</f>
        <v/>
      </c>
      <c r="CR105" s="244" t="str">
        <f aca="false">IF(BR105=0,"",CQ105/101.3)</f>
        <v/>
      </c>
      <c r="CS105" s="244" t="str">
        <f aca="false">IF(BR105=0,"",LOG(10/CR105))</f>
        <v/>
      </c>
      <c r="CT105" s="243" t="str">
        <f aca="false">IF(BR105=0,"",IF(SQRT(101.3/CQ105)&lt;=1.7,SQRT(101.3/CQ105),2.2/(1.2+(CQ105/101.3))))</f>
        <v/>
      </c>
      <c r="CU105" s="244" t="str">
        <f aca="false">IF(BR105=0,"",1.7/(0.7+CR105))</f>
        <v/>
      </c>
      <c r="CV105" s="244" t="str">
        <f aca="false">IF(BR105=0,"",IF(CR105&gt;=0.25,0.77*LOG(20/CR105),""))</f>
        <v/>
      </c>
      <c r="CW105" s="244" t="str">
        <f aca="false">IF(BR105=0,"",32.5/(10.2+20.3*CR105))</f>
        <v/>
      </c>
      <c r="CX105" s="244" t="str">
        <f aca="false">IF(BR105=0,"",1-1.25*LOG(CR105))</f>
        <v/>
      </c>
      <c r="CY105" s="244" t="str">
        <f aca="false">IF(BR105=0,"",IF(CR105&lt;1,1-1.41*LOG(CR105),1+0.92*LOG(CR105)))</f>
        <v/>
      </c>
      <c r="CZ105" s="244" t="str">
        <f aca="false">IF(BR105=0,"",2/(1+CR105))</f>
        <v/>
      </c>
      <c r="DA105" s="244" t="str">
        <f aca="false">IF(BR105=0,"",IF(CR105&lt;=0.75,4/(1+4*CR105),4/(3.25+CR105)))</f>
        <v/>
      </c>
      <c r="DB105" s="244" t="str">
        <f aca="false">IF(BR105=0,"",CT105)</f>
        <v/>
      </c>
      <c r="DC105" s="244" t="str">
        <f aca="false">IF(BR105=0,"",DB105*CC105)</f>
        <v/>
      </c>
      <c r="DD105" s="244"/>
      <c r="DE105" s="244" t="str">
        <f aca="false">IF(BR105=0,"",0.193*(CC105/(CQ105*0.001))^0.689)</f>
        <v/>
      </c>
      <c r="DF105" s="244" t="str">
        <f aca="false">IF(BR105=0,"",IF(AS105=$AX$4,(0.1348118*CC105 - 0.0383065)*98.0665,""))</f>
        <v/>
      </c>
      <c r="DG105" s="244" t="str">
        <f aca="false">IF(BR105=0,"",IF(AS105=$AX$4,DF105/2,""))</f>
        <v/>
      </c>
      <c r="DH105" s="244" t="str">
        <f aca="false">IF(BR105=0,"",IF(DC105&lt;=15,12*(DC105+6),40+12*(DC105-6)))</f>
        <v/>
      </c>
      <c r="DI105" s="244" t="str">
        <f aca="false">IF(BR105=0,"",IF(CD105="SI",5*(DC105+15),((3.3*(DC105+15))+(4*(DC105+12)))/2))</f>
        <v/>
      </c>
      <c r="DJ105" s="244" t="str">
        <f aca="false">IF(BR105=0,"",8*DC105)</f>
        <v/>
      </c>
      <c r="DK105" s="244" t="str">
        <f aca="false">IF(BR105=0,"",215+(10.6*DC105))</f>
        <v/>
      </c>
      <c r="DL105" s="244" t="str">
        <f aca="false">IF(BR105=0,"",10*(7.5+(0.5*DC105)))</f>
        <v/>
      </c>
      <c r="DM105" s="244" t="str">
        <f aca="false">IF(BR105=0,"",8*DC105)</f>
        <v/>
      </c>
      <c r="DN105" s="244" t="str">
        <f aca="false">IF(AW105=" "," ",IF(DC105=""," ",IF(DC105&lt;4,10*10.2,IF(DC105=4,12*10.2,IF(DC105&lt;10,17.5*10.5,IF(DC105=10,15*10.2,IF(DC105&lt;30,22.5*10.2,IF(DC105=30,35*10.2,IF(DC105&lt;50,40*10.2,IF(DC105=50,50*10.2,55*10.2))))))))))</f>
        <v> </v>
      </c>
      <c r="DO105" s="244" t="str">
        <f aca="false">IF(BR105=0,"",7*SQRT(DC105)*10.1972)</f>
        <v/>
      </c>
      <c r="DP105" s="244" t="str">
        <f aca="false">IF(BR105=0,"",IF(AS105=$AX$4,5*CC105,""))</f>
        <v/>
      </c>
      <c r="DQ105" s="244" t="str">
        <f aca="false">IF(AW105=" "," ",IF(DC105=""," ",IF(DC105&lt;2,4*10.2,IF(DC105=2,6*10.2,IF(DC105&lt;4,12*10.2,IF(DC105=4,20*10.2,IF(DC105&lt;8,30*10.2,IF(DC105=8,35*10.2,IF(DC105&lt;15,40*10.2,IF(DC105=15,42*10.2,IF(DC105&lt;30,45*10.2,IF(DC105=30,50*10.2,70*10.2))))))))))))</f>
        <v> </v>
      </c>
      <c r="DR105" s="244" t="str">
        <f aca="false">IF(BR105=0,"",IF(AS105=$AX$4,220*DP105*0.0101972,""))</f>
        <v/>
      </c>
      <c r="DS105" s="271" t="str">
        <f aca="false">IF(BR105=0,"",IF(AS105=$AX$7,(SUM(DH105:DO105)-MIN(DH105:DO105)-MAX(DH105:DO105))/6,(SUM(DO105:DR105)-MIN(DO105:DR105)-MAX(DO105:DR105))/2))</f>
        <v/>
      </c>
      <c r="DT105" s="244" t="str">
        <f aca="false">IF(AW105=" "," ",IF(DC105=""," ",IF(DC105&lt;4,0.2,IF(DC105=4,0.27,IF(DC105&lt;10,0.33,IF(DC105=10,0.35,IF(DC105&lt;30,0.36,IF(DC105=30,0.37,IF(DC105&lt;50,0.38,IF(DC105=50,0.4,0.45))))))))))</f>
        <v> </v>
      </c>
      <c r="DU105" s="272" t="str">
        <f aca="false">IF(AW105=" "," ",IF(CC105=""," ",IF(CC105&lt;2,0.2,IF(CC105=2,0.23,IF(CC105&lt;4,0.26,IF(CC105=4,0.29,IF(CC105&lt;8,0.32,IF(CC105=8,0.35,IF(CC105&lt;15,0.38,IF(CC105=15,0.41,IF(CC105&lt;30,0.44,IF(CC105=30,0.47,0.5))))))))))))</f>
        <v> </v>
      </c>
      <c r="DV105" s="244" t="str">
        <f aca="false">IF(BR105=0,"",IF(AS105=$AX$3,DT105,DU105))</f>
        <v/>
      </c>
      <c r="DW105" s="244" t="str">
        <f aca="false">IF(BR105=0,"",IF(DC105&gt;15,15+0.5*(DC105-15),DC105))</f>
        <v/>
      </c>
      <c r="DX105" s="244" t="str">
        <f aca="false">IF(BR105=0,"",IF($S$12="SI",IF(CD105="NO",IF($AD$12&gt;(BO105+1.5*$ED$15),1,0.5),0.5),1))</f>
        <v/>
      </c>
      <c r="DY105" s="244" t="str">
        <f aca="false">IF(BR105=0,"",IF($S$12="SI",IF(CD105="NO",IF($AD$12&gt;(BO105+1.5*$EE$15),1,0.5),0.5),1))</f>
        <v/>
      </c>
      <c r="DZ105" s="244" t="str">
        <f aca="false">IF(BR105=0,"",IF($S$12="SI",IF(CD105="NO",IF($AD$12&gt;(BO105+1.5*$EF$15),1,0.5),0.5),1))</f>
        <v/>
      </c>
      <c r="EA105" s="244" t="str">
        <f aca="false">IF(BR105=0,"",IF($S$12="SI",IF(CD105="NO",IF($AD$12&gt;(BO105+1.5*$ED$15),1,0.5),IF($AD$12=BO105,1,0.5)),1))</f>
        <v/>
      </c>
      <c r="EB105" s="244" t="str">
        <f aca="false">IF(BR105=0,"",IF($S$12="SI",IF(CD105="NO",IF($AD$12&gt;(BO105+1.5*$EE$15),1,0.5),IF($AD$12=BO105,1,0.5)),1))</f>
        <v/>
      </c>
      <c r="EC105" s="244" t="str">
        <f aca="false">IF(BR105=0,"",IF($S$12="SI",IF(CD105="NO",IF($AD$12&gt;(BO105+1.5*$EF$15),1,0.5),IF($AD$12=BO105,1,0.5)),1))</f>
        <v/>
      </c>
      <c r="ED105" s="244" t="str">
        <f aca="false">IF(BR105=0,"",(DW105*($ED$15/10)*(DX105+EA105*(BO105/$ED$15))*1)/3)</f>
        <v/>
      </c>
      <c r="EE105" s="244" t="str">
        <f aca="false">IF(BR105=0,"",(DW105*($EE$15/10)*(DY105+EB105*(BO105/$EE$15))*1)/3)</f>
        <v/>
      </c>
      <c r="EF105" s="244" t="str">
        <f aca="false">IF(BR105=0,"",(DW105*($EF$15/10)*(DZ105+EC105*(BO105/$EF$15))*1)/3)</f>
        <v/>
      </c>
      <c r="EG105" s="273" t="str">
        <f aca="false">IF(BR105=0,"",IF(CD105="SI",0.5,1))</f>
        <v/>
      </c>
      <c r="EH105" s="244" t="str">
        <f aca="false">IF(BR105=0,"",IF((1+0.33*(BO105/$ED$15))&lt;=1.33,(1+0.33*(BO105/$ED$15)),1.33))</f>
        <v/>
      </c>
      <c r="EI105" s="244" t="str">
        <f aca="false">IF(BR105=0,"",IF((1+0.33*(BO105/$EE$15))&lt;=1.33,(1+0.33*(BO105/$EE$15)),1.33))</f>
        <v/>
      </c>
      <c r="EJ105" s="244" t="str">
        <f aca="false">IF(BR105=0,"",IF((1+0.33*(BO105/$EF$15))&lt;=1.33,(1+0.33*(BO105/$EF$15)),1.33))</f>
        <v/>
      </c>
      <c r="EK105" s="244" t="str">
        <f aca="false">IF(BR105=0,"",IF($ED$15&lt;=1.2,((20*DC105*EG105*EH105)/3)*0.010197,((12.5*DC105*((($ED$15+0.3)^2)/$ED$15)*EG105*EH105)/3)*0.010197))</f>
        <v/>
      </c>
      <c r="EL105" s="244" t="str">
        <f aca="false">IF(BR105=0,"",IF($EE$15&lt;=1.2,((20*DC105*EG105*EI105)/3)*0.010197,((12.5*DC105*((($EE$15+0.3)^2)/$EE$15)*EG105*EI105)/3)*0.010197))</f>
        <v/>
      </c>
      <c r="EM105" s="244" t="str">
        <f aca="false">IF(BR105=0,"",IF($EF$15&lt;=1.2,((20*DC105*EG105*EJ105)/3)*0.010197,((12.5*DC105*((($EF$15+0.3)^2)/$EF$15)*EG105*EJ105)/3)*0.010197))</f>
        <v/>
      </c>
      <c r="EN105" s="248" t="str">
        <f aca="false">IF(BR105=0,"",SQRT(12*CC105)+25)</f>
        <v/>
      </c>
      <c r="EO105" s="248" t="str">
        <f aca="false">IF(BR105=0,"",28.5+0.25*CC105)</f>
        <v/>
      </c>
      <c r="EP105" s="248" t="str">
        <f aca="false">IF(BR105=0,"",SQRT(20*CC105)+15)</f>
        <v/>
      </c>
      <c r="EQ105" s="248" t="str">
        <f aca="false">IF(BR105=0,"",23.7+0.57*CC105-0.0006*CC105*CC105)</f>
        <v/>
      </c>
      <c r="ER105" s="248" t="str">
        <f aca="false">IF(BR105=0,"",15+SQRT(12.5*DC105))</f>
        <v/>
      </c>
      <c r="ES105" s="248" t="str">
        <f aca="false">IF(BR105=0,"",3.5*SQRT(CC105)+20)</f>
        <v/>
      </c>
      <c r="ET105" s="248" t="str">
        <f aca="false">IF(BR105=0,"",27.1+0.3*DC105-0.00054*DC105*DC105)</f>
        <v/>
      </c>
      <c r="EU105" s="248" t="str">
        <f aca="false">IF(BR105=0,"",SQRT(20*CC105)+20)</f>
        <v/>
      </c>
      <c r="EV105" s="248" t="str">
        <f aca="false">IF(BR105=0,"",12.79+SQRT(25.86*CC105))</f>
        <v/>
      </c>
      <c r="EW105" s="248" t="str">
        <f aca="false">IF(BR105=0,"",DEGREES(_xlfn.ACOT((CC105/(12.2+20.3*CR105))^0.34)))</f>
        <v/>
      </c>
      <c r="EX105" s="248" t="str">
        <f aca="false">IF(BR105=0,"",24+(5.77*LN(0.17*DC105)))</f>
        <v/>
      </c>
      <c r="EY105" s="248" t="str">
        <f aca="false">IF(BR105=0,"",(SUM(EN105:EX105)-MIN(EN105:EX105)-MAX(EN105:EX105))/9)</f>
        <v/>
      </c>
      <c r="EZ105" s="248" t="str">
        <f aca="false">IF(BR105=0,"", -0.0000000034*CC105^6 + 0.0000008305*CC105^5 - 0.0000741842*CC105^4 + 0.0030204278*CC105^3 - 0.0541594733*CC105^2 + 0.8083147848*CC105 - 0.6182191243)</f>
        <v/>
      </c>
      <c r="FA105" s="249" t="str">
        <f aca="false">IF(BR105=0,"",(0.134811827956989*CC105 - 0.0383064516129019)/2)</f>
        <v/>
      </c>
      <c r="FB105" s="249" t="str">
        <f aca="false">IF(BR105=0,"",CC105*0.065)</f>
        <v/>
      </c>
      <c r="FC105" s="249" t="str">
        <f aca="false">IF(BR105=0,"",(CC105*0.12*0.48)*SQRT((1+SIN(EZ105*((2*PI())/360))/(1-SIN(EZ105*((2*PI())/360))))))</f>
        <v/>
      </c>
      <c r="FD105" s="249" t="str">
        <f aca="false">IF(BR105=0,"",(CC105/8)/2)</f>
        <v/>
      </c>
      <c r="FE105" s="249" t="str">
        <f aca="false">IF(BR105=0,"",(SUM(FA105:FD105)-MIN(FA105:FD105)-MAX(FA105:FD105))/2)</f>
        <v/>
      </c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</row>
    <row r="106" customFormat="false" ht="9.75" hidden="false" customHeight="true" outlineLevel="0" collapsed="false">
      <c r="A106" s="197" t="n">
        <f aca="false">ROUND(A105+0.1,1)</f>
        <v>8.9</v>
      </c>
      <c r="B106" s="250"/>
      <c r="C106" s="251"/>
      <c r="D106" s="251"/>
      <c r="E106" s="199"/>
      <c r="F106" s="200"/>
      <c r="G106" s="254"/>
      <c r="H106" s="284"/>
      <c r="I106" s="285"/>
      <c r="J106" s="257"/>
      <c r="K106" s="258"/>
      <c r="L106" s="259"/>
      <c r="M106" s="313"/>
      <c r="N106" s="277"/>
      <c r="O106" s="277"/>
      <c r="P106" s="277"/>
      <c r="Q106" s="293"/>
      <c r="R106" s="314"/>
      <c r="S106" s="315"/>
      <c r="T106" s="295"/>
      <c r="U106" s="295"/>
      <c r="V106" s="296"/>
      <c r="W106" s="296"/>
      <c r="X106" s="296"/>
      <c r="Y106" s="296"/>
      <c r="Z106" s="296"/>
      <c r="AA106" s="296"/>
      <c r="AB106" s="297"/>
      <c r="AC106" s="298"/>
      <c r="AD106" s="299"/>
      <c r="AE106" s="298"/>
      <c r="AF106" s="300"/>
      <c r="AG106" s="267"/>
      <c r="AH106" s="267"/>
      <c r="AI106" s="241"/>
      <c r="AJ106" s="241"/>
      <c r="AK106" s="266"/>
      <c r="AL106" s="266"/>
      <c r="AM106" s="268"/>
      <c r="AN106" s="250"/>
      <c r="AO106" s="251"/>
      <c r="AP106" s="251"/>
      <c r="AQ106" s="199"/>
      <c r="AR106" s="200"/>
      <c r="AS106" s="269" t="s">
        <v>13</v>
      </c>
      <c r="AT106" s="221"/>
      <c r="AU106" s="269"/>
      <c r="AV106" s="269"/>
      <c r="AW106" s="270" t="n">
        <f aca="false">+K106+L106</f>
        <v>0</v>
      </c>
      <c r="AX106" s="270" t="str">
        <f aca="false">IF(AS106="&gt;50","CONSISTENCIA",IF(AS106="&lt;50","COMPACIDAD"," "))</f>
        <v>COMPACIDAD</v>
      </c>
      <c r="AY106" s="225" t="str">
        <f aca="false">IF(AS106="&gt;50",AZ106,IF(AS106="&lt;50",BA106," "))</f>
        <v> </v>
      </c>
      <c r="AZ106" s="224" t="str">
        <f aca="false">IF(AW106=" "," ",IF(CC106=""," ",IF(CC106&lt;2,"MUY BLANDA",IF(CC106=2,"MUY BLANDA A BLANDA",IF(CC106&lt;4,"BLANDA",IF(CC106=4,"BLANDA A MEDIA",IF(CC106&lt;8,"MEDIA",IF(CC106=8,"MEDIA A FIRME",IF(CC106&lt;15,"FIRME",IF(CC106=15,"FIRME A MUY FIRME",IF(CC106&lt;30,"MUY FIRME",IF(CC106=30,"MUY FIRME A DURA","DURA"))))))))))))</f>
        <v> </v>
      </c>
      <c r="BA106" s="225" t="str">
        <f aca="false">IF(AW106=" "," ",IF(DC106=""," ",IF(DC106&lt;4,"MUY SUELTA",IF(DC106=4,"MUY SUELTA A SUELTA",IF(DC106&lt;10,"SUELTA",IF(DC106=10,"SUELTA A MEDIA",IF(DC106&lt;30,"MEDIA",IF(DC106=30,"MEDIA A DENSO",IF(DC106&lt;50,"DENSO",IF(DC106=50,"DENSO MUY DENSO","MUY DENSO"))))))))))</f>
        <v> </v>
      </c>
      <c r="BB106" s="290" t="str">
        <f aca="false">IF(BR107=0,"",CQ107*0.0101972)</f>
        <v/>
      </c>
      <c r="BC106" s="227" t="n">
        <f aca="false">+BC105+0.1</f>
        <v>8.89999999999998</v>
      </c>
      <c r="BD106" s="227" t="str">
        <f aca="false">IF(BC106&lt;=$AN$10,BC106,"")</f>
        <v/>
      </c>
      <c r="BE106" s="228" t="n">
        <f aca="false">ISNUMBER(BD106)</f>
        <v>0</v>
      </c>
      <c r="BF106" s="229" t="str">
        <f aca="false">MID(M106,1,1)</f>
        <v/>
      </c>
      <c r="BG106" s="230" t="str">
        <f aca="false">IF(BF106="S","",IF(BF106="G","",MID(M106,2,1)))</f>
        <v/>
      </c>
      <c r="BH106" s="231" t="str">
        <f aca="false">CONCATENATE(BF106,BG106)</f>
        <v/>
      </c>
      <c r="BI106" s="6" t="str">
        <f aca="false">IF(BE106=FALSE(),"",IF(BH106="",BI105,BH106))</f>
        <v/>
      </c>
      <c r="BJ106" s="74" t="str">
        <f aca="false">IF(OR(BI106="S",BI106="G"),BI106,"X")</f>
        <v>X</v>
      </c>
      <c r="BK106" s="74" t="s">
        <v>266</v>
      </c>
      <c r="BL106" s="312" t="e">
        <f aca="false">INDEX(sim_0,MATCH($BJ$106,granular,0))</f>
        <v>#NAME?</v>
      </c>
      <c r="BM106" s="312"/>
      <c r="BN106" s="6"/>
      <c r="BO106" s="191" t="n">
        <f aca="false">BO105+0.1</f>
        <v>8.89999999999998</v>
      </c>
      <c r="BP106" s="233" t="e">
        <f aca="false">IF(AW106=0,NA(),IF(AS106=$AX$3,ROUND(DC106,0),NA()))</f>
        <v>#N/A</v>
      </c>
      <c r="BQ106" s="31" t="e">
        <f aca="false">IF(AW106=0,NA(),IF(AS106=$AX$4,ROUND(CC106,0),NA()))</f>
        <v>#N/A</v>
      </c>
      <c r="BR106" s="234" t="n">
        <f aca="false">+AW106</f>
        <v>0</v>
      </c>
      <c r="BS106" s="235" t="str">
        <f aca="false">IF(BR106=0,"", -0.00000000016128755327*CC106^6 + 0.00000006709386362421*CC106^5 - 0.0000106217678052217*CC106^4 + 0.00081068114193385*CC106^3 - 0.0314027378159951*CC106^2 + 0.649796593937842*CC106 + 13.7888866455022)</f>
        <v/>
      </c>
      <c r="BT106" s="235" t="str">
        <f aca="false">IF(BR106=0,"",-0.00000000014625939695*CC106^6 + 0.00000004971732060241*CC106^5 - 0.000006683744342031*CC106^4 + 0.0004563177378098*CC106^3 - 0.0171727530635803*CC106^2 + 0.444529932876435*CC106 + 15.6692518940565)</f>
        <v/>
      </c>
      <c r="BU106" s="236" t="str">
        <f aca="false">IF(BR106=0,"", -0.0000000008152265738*BR106^6 + 0.00000022764320256987*BR106^5 - 0.0000248205675927705*BR106^4 + 0.00133186623684865*BR106^3 - 0.0368442570441677*BR106^2 + 0.580111565569094*BR106 + 14.0417598296107)</f>
        <v/>
      </c>
      <c r="BV106" s="236" t="str">
        <f aca="false">IF(BR106=0,"", -0.00000000004321395721*BR106^6 + 0.00000002531844275498*BR106^5 - 0.00000369428022780862*BR106^4 + 0.00020283665900125*BR106^3 - 0.00462426256803268*BR106^2 + 0.139572935065453*BR106 + 15.4475338156923)</f>
        <v/>
      </c>
      <c r="BW106" s="236" t="str">
        <f aca="false">IF(BR106=0,"",-0.00000000033126390082*BR106^6 + 0.00000010463660614506*BR106^5 - 0.0000129629592998707*BR106^4 + 0.000803946335250767*BR106^3 - 0.0270257140395994*BR106^2 + 0.562590210721552*BR106+ 12.1254107606419)</f>
        <v/>
      </c>
      <c r="BX106" s="236" t="str">
        <f aca="false">IF(BR106=0,"",-0.00000000002593504955*BR106^6 + 0.00000002430495156704*BR106^5 - 0.00000386103271086364*BR106^4 + 0.000214416118986322*BR106^3 - 0.0047271462612021*BR106^2 + 0.156696175741135*BR106 + 15.4598891949502)</f>
        <v/>
      </c>
      <c r="BY106" s="234" t="str">
        <f aca="false">IF(BR106=0,"",$BS$2)</f>
        <v/>
      </c>
      <c r="BZ106" s="234" t="str">
        <f aca="false">IF(BR106=0,"",$BS$3)</f>
        <v/>
      </c>
      <c r="CA106" s="234" t="str">
        <f aca="false">IF(BR106=0,"",$BS$4)</f>
        <v/>
      </c>
      <c r="CB106" s="235" t="str">
        <f aca="false">IF(BR106=0,"",IF(AND(BO106&gt;=0,BO106&lt;4),0.75,IF(AND(BO106&gt;=4,BO106&lt;6),0.85,IF(AND(BO106&gt;=6,BO106&lt;=10),0.95,1))))</f>
        <v/>
      </c>
      <c r="CC106" s="234" t="str">
        <f aca="false">IF(BR106=0,"",BR106*BY106*BZ106*CA106*CB106/60)</f>
        <v/>
      </c>
      <c r="CD106" s="238" t="str">
        <f aca="false">IF(BR106=0,"",IF($S$12="NO","NO",IF($AD$12&lt;=BO106,"SI","NO")))</f>
        <v/>
      </c>
      <c r="CE106" s="235" t="n">
        <f aca="false">IF(BR106=0,0,AB106)</f>
        <v>0</v>
      </c>
      <c r="CF106" s="235" t="n">
        <f aca="false">IF(CE106&gt;0,BO106,0)</f>
        <v>0</v>
      </c>
      <c r="CG106" s="239" t="n">
        <f aca="false">IF(CF106=0,CF106+CG105,CF106)</f>
        <v>0</v>
      </c>
      <c r="CH106" s="239" t="n">
        <f aca="false">IF(CG106=CG105,CH105,ABS(CG106-CG105))</f>
        <v>0</v>
      </c>
      <c r="CI106" s="239" t="n">
        <f aca="false">+CE106*CH106</f>
        <v>0</v>
      </c>
      <c r="CJ106" s="239" t="n">
        <f aca="false">IF(CI106=0,CI106+CJ105,CI106)</f>
        <v>0</v>
      </c>
      <c r="CK106" s="239" t="n">
        <f aca="false">IF(CJ106=CJ105,CK105,ABS(CJ106+CK105))</f>
        <v>0</v>
      </c>
      <c r="CL106" s="241" t="n">
        <f aca="false">IF(CE106=0,0,CK106)</f>
        <v>0</v>
      </c>
      <c r="CM106" s="239" t="n">
        <f aca="false">IF(CE106=0,0,CH106*9.81)</f>
        <v>0</v>
      </c>
      <c r="CN106" s="239" t="n">
        <f aca="false">IF(CM106=0,CM106+CN105,CM106)</f>
        <v>0</v>
      </c>
      <c r="CO106" s="239" t="n">
        <f aca="false">IF(CN106=CN105,CO105,ABS(CN106+CO105))</f>
        <v>0</v>
      </c>
      <c r="CP106" s="241" t="n">
        <f aca="false">IF(CD106="NO",0,IF(CE106=0,0,CO106))</f>
        <v>0</v>
      </c>
      <c r="CQ106" s="244" t="str">
        <f aca="false">IF(BR106=0,"",CL106-CP106)</f>
        <v/>
      </c>
      <c r="CR106" s="244" t="str">
        <f aca="false">IF(BR106=0,"",CQ106/101.3)</f>
        <v/>
      </c>
      <c r="CS106" s="244" t="str">
        <f aca="false">IF(BR106=0,"",LOG(10/CR106))</f>
        <v/>
      </c>
      <c r="CT106" s="243" t="str">
        <f aca="false">IF(BR106=0,"",IF(SQRT(101.3/CQ106)&lt;=1.7,SQRT(101.3/CQ106),2.2/(1.2+(CQ106/101.3))))</f>
        <v/>
      </c>
      <c r="CU106" s="244" t="str">
        <f aca="false">IF(BR106=0,"",1.7/(0.7+CR106))</f>
        <v/>
      </c>
      <c r="CV106" s="244" t="str">
        <f aca="false">IF(BR106=0,"",IF(CR106&gt;=0.25,0.77*LOG(20/CR106),""))</f>
        <v/>
      </c>
      <c r="CW106" s="244" t="str">
        <f aca="false">IF(BR106=0,"",32.5/(10.2+20.3*CR106))</f>
        <v/>
      </c>
      <c r="CX106" s="244" t="str">
        <f aca="false">IF(BR106=0,"",1-1.25*LOG(CR106))</f>
        <v/>
      </c>
      <c r="CY106" s="244" t="str">
        <f aca="false">IF(BR106=0,"",IF(CR106&lt;1,1-1.41*LOG(CR106),1+0.92*LOG(CR106)))</f>
        <v/>
      </c>
      <c r="CZ106" s="244" t="str">
        <f aca="false">IF(BR106=0,"",2/(1+CR106))</f>
        <v/>
      </c>
      <c r="DA106" s="244" t="str">
        <f aca="false">IF(BR106=0,"",IF(CR106&lt;=0.75,4/(1+4*CR106),4/(3.25+CR106)))</f>
        <v/>
      </c>
      <c r="DB106" s="244" t="str">
        <f aca="false">IF(BR106=0,"",CT106)</f>
        <v/>
      </c>
      <c r="DC106" s="244" t="str">
        <f aca="false">IF(BR106=0,"",DB106*CC106)</f>
        <v/>
      </c>
      <c r="DD106" s="244"/>
      <c r="DE106" s="244" t="str">
        <f aca="false">IF(BR106=0,"",0.193*(CC106/(CQ106*0.001))^0.689)</f>
        <v/>
      </c>
      <c r="DF106" s="244" t="str">
        <f aca="false">IF(BR106=0,"",IF(AS106=$AX$4,(0.1348118*CC106 - 0.0383065)*98.0665,""))</f>
        <v/>
      </c>
      <c r="DG106" s="244" t="str">
        <f aca="false">IF(BR106=0,"",IF(AS106=$AX$4,DF106/2,""))</f>
        <v/>
      </c>
      <c r="DH106" s="244" t="str">
        <f aca="false">IF(BR106=0,"",IF(DC106&lt;=15,12*(DC106+6),40+12*(DC106-6)))</f>
        <v/>
      </c>
      <c r="DI106" s="244" t="str">
        <f aca="false">IF(BR106=0,"",IF(CD106="SI",5*(DC106+15),((3.3*(DC106+15))+(4*(DC106+12)))/2))</f>
        <v/>
      </c>
      <c r="DJ106" s="244" t="str">
        <f aca="false">IF(BR106=0,"",8*DC106)</f>
        <v/>
      </c>
      <c r="DK106" s="244" t="str">
        <f aca="false">IF(BR106=0,"",215+(10.6*DC106))</f>
        <v/>
      </c>
      <c r="DL106" s="244" t="str">
        <f aca="false">IF(BR106=0,"",10*(7.5+(0.5*DC106)))</f>
        <v/>
      </c>
      <c r="DM106" s="244" t="str">
        <f aca="false">IF(BR106=0,"",8*DC106)</f>
        <v/>
      </c>
      <c r="DN106" s="244" t="str">
        <f aca="false">IF(AW106=" "," ",IF(DC106=""," ",IF(DC106&lt;4,10*10.2,IF(DC106=4,12*10.2,IF(DC106&lt;10,17.5*10.5,IF(DC106=10,15*10.2,IF(DC106&lt;30,22.5*10.2,IF(DC106=30,35*10.2,IF(DC106&lt;50,40*10.2,IF(DC106=50,50*10.2,55*10.2))))))))))</f>
        <v> </v>
      </c>
      <c r="DO106" s="244" t="str">
        <f aca="false">IF(BR106=0,"",7*SQRT(DC106)*10.1972)</f>
        <v/>
      </c>
      <c r="DP106" s="244" t="str">
        <f aca="false">IF(BR106=0,"",IF(AS106=$AX$4,5*CC106,""))</f>
        <v/>
      </c>
      <c r="DQ106" s="244" t="str">
        <f aca="false">IF(AW106=" "," ",IF(DC106=""," ",IF(DC106&lt;2,4*10.2,IF(DC106=2,6*10.2,IF(DC106&lt;4,12*10.2,IF(DC106=4,20*10.2,IF(DC106&lt;8,30*10.2,IF(DC106=8,35*10.2,IF(DC106&lt;15,40*10.2,IF(DC106=15,42*10.2,IF(DC106&lt;30,45*10.2,IF(DC106=30,50*10.2,70*10.2))))))))))))</f>
        <v> </v>
      </c>
      <c r="DR106" s="244" t="str">
        <f aca="false">IF(BR106=0,"",IF(AS106=$AX$4,220*DP106*0.0101972,""))</f>
        <v/>
      </c>
      <c r="DS106" s="271" t="str">
        <f aca="false">IF(BR106=0,"",IF(AS106=$AX$7,(SUM(DH106:DO106)-MIN(DH106:DO106)-MAX(DH106:DO106))/6,(SUM(DO106:DR106)-MIN(DO106:DR106)-MAX(DO106:DR106))/2))</f>
        <v/>
      </c>
      <c r="DT106" s="244" t="str">
        <f aca="false">IF(AW106=" "," ",IF(DC106=""," ",IF(DC106&lt;4,0.2,IF(DC106=4,0.27,IF(DC106&lt;10,0.33,IF(DC106=10,0.35,IF(DC106&lt;30,0.36,IF(DC106=30,0.37,IF(DC106&lt;50,0.38,IF(DC106=50,0.4,0.45))))))))))</f>
        <v> </v>
      </c>
      <c r="DU106" s="272" t="str">
        <f aca="false">IF(AW106=" "," ",IF(CC106=""," ",IF(CC106&lt;2,0.2,IF(CC106=2,0.23,IF(CC106&lt;4,0.26,IF(CC106=4,0.29,IF(CC106&lt;8,0.32,IF(CC106=8,0.35,IF(CC106&lt;15,0.38,IF(CC106=15,0.41,IF(CC106&lt;30,0.44,IF(CC106=30,0.47,0.5))))))))))))</f>
        <v> </v>
      </c>
      <c r="DV106" s="244" t="str">
        <f aca="false">IF(BR106=0,"",IF(AS106=$AX$3,DT106,DU106))</f>
        <v/>
      </c>
      <c r="DW106" s="244" t="str">
        <f aca="false">IF(BR106=0,"",IF(DC106&gt;15,15+0.5*(DC106-15),DC106))</f>
        <v/>
      </c>
      <c r="DX106" s="244" t="str">
        <f aca="false">IF(BR106=0,"",IF($S$12="SI",IF(CD106="NO",IF($AD$12&gt;(BO106+1.5*$ED$15),1,0.5),0.5),1))</f>
        <v/>
      </c>
      <c r="DY106" s="244" t="str">
        <f aca="false">IF(BR106=0,"",IF($S$12="SI",IF(CD106="NO",IF($AD$12&gt;(BO106+1.5*$EE$15),1,0.5),0.5),1))</f>
        <v/>
      </c>
      <c r="DZ106" s="244" t="str">
        <f aca="false">IF(BR106=0,"",IF($S$12="SI",IF(CD106="NO",IF($AD$12&gt;(BO106+1.5*$EF$15),1,0.5),0.5),1))</f>
        <v/>
      </c>
      <c r="EA106" s="244" t="str">
        <f aca="false">IF(BR106=0,"",IF($S$12="SI",IF(CD106="NO",IF($AD$12&gt;(BO106+1.5*$ED$15),1,0.5),IF($AD$12=BO106,1,0.5)),1))</f>
        <v/>
      </c>
      <c r="EB106" s="244" t="str">
        <f aca="false">IF(BR106=0,"",IF($S$12="SI",IF(CD106="NO",IF($AD$12&gt;(BO106+1.5*$EE$15),1,0.5),IF($AD$12=BO106,1,0.5)),1))</f>
        <v/>
      </c>
      <c r="EC106" s="244" t="str">
        <f aca="false">IF(BR106=0,"",IF($S$12="SI",IF(CD106="NO",IF($AD$12&gt;(BO106+1.5*$EF$15),1,0.5),IF($AD$12=BO106,1,0.5)),1))</f>
        <v/>
      </c>
      <c r="ED106" s="244" t="str">
        <f aca="false">IF(BR106=0,"",(DW106*($ED$15/10)*(DX106+EA106*(BO106/$ED$15))*1)/3)</f>
        <v/>
      </c>
      <c r="EE106" s="244" t="str">
        <f aca="false">IF(BR106=0,"",(DW106*($EE$15/10)*(DY106+EB106*(BO106/$EE$15))*1)/3)</f>
        <v/>
      </c>
      <c r="EF106" s="244" t="str">
        <f aca="false">IF(BR106=0,"",(DW106*($EF$15/10)*(DZ106+EC106*(BO106/$EF$15))*1)/3)</f>
        <v/>
      </c>
      <c r="EG106" s="273" t="str">
        <f aca="false">IF(BR106=0,"",IF(CD106="SI",0.5,1))</f>
        <v/>
      </c>
      <c r="EH106" s="244" t="str">
        <f aca="false">IF(BR106=0,"",IF((1+0.33*(BO106/$ED$15))&lt;=1.33,(1+0.33*(BO106/$ED$15)),1.33))</f>
        <v/>
      </c>
      <c r="EI106" s="244" t="str">
        <f aca="false">IF(BR106=0,"",IF((1+0.33*(BO106/$EE$15))&lt;=1.33,(1+0.33*(BO106/$EE$15)),1.33))</f>
        <v/>
      </c>
      <c r="EJ106" s="244" t="str">
        <f aca="false">IF(BR106=0,"",IF((1+0.33*(BO106/$EF$15))&lt;=1.33,(1+0.33*(BO106/$EF$15)),1.33))</f>
        <v/>
      </c>
      <c r="EK106" s="244" t="str">
        <f aca="false">IF(BR106=0,"",IF($ED$15&lt;=1.2,((20*DC106*EG106*EH106)/3)*0.010197,((12.5*DC106*((($ED$15+0.3)^2)/$ED$15)*EG106*EH106)/3)*0.010197))</f>
        <v/>
      </c>
      <c r="EL106" s="244" t="str">
        <f aca="false">IF(BR106=0,"",IF($EE$15&lt;=1.2,((20*DC106*EG106*EI106)/3)*0.010197,((12.5*DC106*((($EE$15+0.3)^2)/$EE$15)*EG106*EI106)/3)*0.010197))</f>
        <v/>
      </c>
      <c r="EM106" s="244" t="str">
        <f aca="false">IF(BR106=0,"",IF($EF$15&lt;=1.2,((20*DC106*EG106*EJ106)/3)*0.010197,((12.5*DC106*((($EF$15+0.3)^2)/$EF$15)*EG106*EJ106)/3)*0.010197))</f>
        <v/>
      </c>
      <c r="EN106" s="248" t="str">
        <f aca="false">IF(BR106=0,"",SQRT(12*CC106)+25)</f>
        <v/>
      </c>
      <c r="EO106" s="248" t="str">
        <f aca="false">IF(BR106=0,"",28.5+0.25*CC106)</f>
        <v/>
      </c>
      <c r="EP106" s="248" t="str">
        <f aca="false">IF(BR106=0,"",SQRT(20*CC106)+15)</f>
        <v/>
      </c>
      <c r="EQ106" s="248" t="str">
        <f aca="false">IF(BR106=0,"",23.7+0.57*CC106-0.0006*CC106*CC106)</f>
        <v/>
      </c>
      <c r="ER106" s="248" t="str">
        <f aca="false">IF(BR106=0,"",15+SQRT(12.5*DC106))</f>
        <v/>
      </c>
      <c r="ES106" s="248" t="str">
        <f aca="false">IF(BR106=0,"",3.5*SQRT(CC106)+20)</f>
        <v/>
      </c>
      <c r="ET106" s="248" t="str">
        <f aca="false">IF(BR106=0,"",27.1+0.3*DC106-0.00054*DC106*DC106)</f>
        <v/>
      </c>
      <c r="EU106" s="248" t="str">
        <f aca="false">IF(BR106=0,"",SQRT(20*CC106)+20)</f>
        <v/>
      </c>
      <c r="EV106" s="248" t="str">
        <f aca="false">IF(BR106=0,"",12.79+SQRT(25.86*CC106))</f>
        <v/>
      </c>
      <c r="EW106" s="248" t="str">
        <f aca="false">IF(BR106=0,"",DEGREES(_xlfn.ACOT((CC106/(12.2+20.3*CR106))^0.34)))</f>
        <v/>
      </c>
      <c r="EX106" s="248" t="str">
        <f aca="false">IF(BR106=0,"",24+(5.77*LN(0.17*DC106)))</f>
        <v/>
      </c>
      <c r="EY106" s="248" t="str">
        <f aca="false">IF(BR106=0,"",(SUM(EN106:EX106)-MIN(EN106:EX106)-MAX(EN106:EX106))/9)</f>
        <v/>
      </c>
      <c r="EZ106" s="248" t="str">
        <f aca="false">IF(BR106=0,"", -0.0000000034*CC106^6 + 0.0000008305*CC106^5 - 0.0000741842*CC106^4 + 0.0030204278*CC106^3 - 0.0541594733*CC106^2 + 0.8083147848*CC106 - 0.6182191243)</f>
        <v/>
      </c>
      <c r="FA106" s="249" t="str">
        <f aca="false">IF(BR106=0,"",(0.134811827956989*CC106 - 0.0383064516129019)/2)</f>
        <v/>
      </c>
      <c r="FB106" s="249" t="str">
        <f aca="false">IF(BR106=0,"",CC106*0.065)</f>
        <v/>
      </c>
      <c r="FC106" s="249" t="str">
        <f aca="false">IF(BR106=0,"",(CC106*0.12*0.48)*SQRT((1+SIN(EZ106*((2*PI())/360))/(1-SIN(EZ106*((2*PI())/360))))))</f>
        <v/>
      </c>
      <c r="FD106" s="249" t="str">
        <f aca="false">IF(BR106=0,"",(CC106/8)/2)</f>
        <v/>
      </c>
      <c r="FE106" s="249" t="str">
        <f aca="false">IF(BR106=0,"",(SUM(FA106:FD106)-MIN(FA106:FD106)-MAX(FA106:FD106))/2)</f>
        <v/>
      </c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</row>
    <row r="107" customFormat="false" ht="9.75" hidden="false" customHeight="true" outlineLevel="0" collapsed="false">
      <c r="A107" s="197" t="n">
        <f aca="false">ROUND(A106+0.1,1)</f>
        <v>9</v>
      </c>
      <c r="B107" s="281" t="n">
        <f aca="false">+A107</f>
        <v>9</v>
      </c>
      <c r="C107" s="291"/>
      <c r="D107" s="292"/>
      <c r="E107" s="252"/>
      <c r="F107" s="253"/>
      <c r="G107" s="254"/>
      <c r="H107" s="284"/>
      <c r="I107" s="285"/>
      <c r="J107" s="257"/>
      <c r="K107" s="258"/>
      <c r="L107" s="259"/>
      <c r="M107" s="313"/>
      <c r="N107" s="277"/>
      <c r="O107" s="277"/>
      <c r="P107" s="277"/>
      <c r="Q107" s="293"/>
      <c r="R107" s="314"/>
      <c r="S107" s="315"/>
      <c r="T107" s="295"/>
      <c r="U107" s="295"/>
      <c r="V107" s="296"/>
      <c r="W107" s="296"/>
      <c r="X107" s="296"/>
      <c r="Y107" s="296"/>
      <c r="Z107" s="296"/>
      <c r="AA107" s="296"/>
      <c r="AB107" s="297"/>
      <c r="AC107" s="298"/>
      <c r="AD107" s="299"/>
      <c r="AE107" s="298"/>
      <c r="AF107" s="300"/>
      <c r="AG107" s="267"/>
      <c r="AH107" s="267"/>
      <c r="AI107" s="241"/>
      <c r="AJ107" s="241"/>
      <c r="AK107" s="266"/>
      <c r="AL107" s="266"/>
      <c r="AM107" s="268"/>
      <c r="AN107" s="281" t="n">
        <f aca="false">+AN105+0.2</f>
        <v>9</v>
      </c>
      <c r="AO107" s="291"/>
      <c r="AP107" s="292"/>
      <c r="AQ107" s="252"/>
      <c r="AR107" s="253"/>
      <c r="AS107" s="269" t="s">
        <v>13</v>
      </c>
      <c r="AT107" s="221"/>
      <c r="AU107" s="269"/>
      <c r="AV107" s="269"/>
      <c r="AW107" s="270" t="n">
        <f aca="false">+K107+L107</f>
        <v>0</v>
      </c>
      <c r="AX107" s="270" t="str">
        <f aca="false">IF(AS107="&gt;50","CONSISTENCIA",IF(AS107="&lt;50","COMPACIDAD"," "))</f>
        <v>COMPACIDAD</v>
      </c>
      <c r="AY107" s="225" t="str">
        <f aca="false">IF(AS107="&gt;50",AZ107,IF(AS107="&lt;50",BA107," "))</f>
        <v> </v>
      </c>
      <c r="AZ107" s="224" t="str">
        <f aca="false">IF(AW107=" "," ",IF(CC107=""," ",IF(CC107&lt;2,"MUY BLANDA",IF(CC107=2,"MUY BLANDA A BLANDA",IF(CC107&lt;4,"BLANDA",IF(CC107=4,"BLANDA A MEDIA",IF(CC107&lt;8,"MEDIA",IF(CC107=8,"MEDIA A FIRME",IF(CC107&lt;15,"FIRME",IF(CC107=15,"FIRME A MUY FIRME",IF(CC107&lt;30,"MUY FIRME",IF(CC107=30,"MUY FIRME A DURA","DURA"))))))))))))</f>
        <v> </v>
      </c>
      <c r="BA107" s="225" t="str">
        <f aca="false">IF(AW107=" "," ",IF(DC107=""," ",IF(DC107&lt;4,"MUY SUELTA",IF(DC107=4,"MUY SUELTA A SUELTA",IF(DC107&lt;10,"SUELTA",IF(DC107=10,"SUELTA A MEDIA",IF(DC107&lt;30,"MEDIA",IF(DC107=30,"MEDIA A DENSO",IF(DC107&lt;50,"DENSO",IF(DC107=50,"DENSO MUY DENSO","MUY DENSO"))))))))))</f>
        <v> </v>
      </c>
      <c r="BB107" s="190" t="str">
        <f aca="false">IF(BR108=0,"",CQ108*0.0101972)</f>
        <v/>
      </c>
      <c r="BC107" s="227" t="n">
        <f aca="false">+BC106+0.1</f>
        <v>8.99999999999998</v>
      </c>
      <c r="BD107" s="227" t="str">
        <f aca="false">IF(BC107&lt;=$AN$10,BC107,"")</f>
        <v/>
      </c>
      <c r="BE107" s="228" t="n">
        <f aca="false">ISNUMBER(BD107)</f>
        <v>0</v>
      </c>
      <c r="BF107" s="229" t="str">
        <f aca="false">MID(M107,1,1)</f>
        <v/>
      </c>
      <c r="BG107" s="230" t="str">
        <f aca="false">IF(BF107="S","",IF(BF107="G","",MID(M107,2,1)))</f>
        <v/>
      </c>
      <c r="BH107" s="231" t="str">
        <f aca="false">CONCATENATE(BF107,BG107)</f>
        <v/>
      </c>
      <c r="BI107" s="6" t="str">
        <f aca="false">IF(BE107=FALSE(),"",IF(BH107="",BI106,BH107))</f>
        <v/>
      </c>
      <c r="BJ107" s="74" t="str">
        <f aca="false">IF(OR(BI107="S",BI107="G"),BI107,"X")</f>
        <v>X</v>
      </c>
      <c r="BK107" s="74" t="s">
        <v>267</v>
      </c>
      <c r="BL107" s="312" t="e">
        <f aca="false">INDEX(sim_0,MATCH($BJ$107,granular,0))</f>
        <v>#NAME?</v>
      </c>
      <c r="BM107" s="312"/>
      <c r="BN107" s="6"/>
      <c r="BO107" s="191" t="n">
        <f aca="false">BO106+0.1</f>
        <v>8.99999999999998</v>
      </c>
      <c r="BP107" s="233" t="e">
        <f aca="false">IF(AW107=0,NA(),IF(AS107=$AX$3,ROUND(DC107,0),NA()))</f>
        <v>#N/A</v>
      </c>
      <c r="BQ107" s="31" t="e">
        <f aca="false">IF(AW107=0,NA(),IF(AS107=$AX$4,ROUND(CC107,0),NA()))</f>
        <v>#N/A</v>
      </c>
      <c r="BR107" s="234" t="n">
        <f aca="false">+AW107</f>
        <v>0</v>
      </c>
      <c r="BS107" s="235" t="str">
        <f aca="false">IF(BR107=0,"", -0.00000000016128755327*CC107^6 + 0.00000006709386362421*CC107^5 - 0.0000106217678052217*CC107^4 + 0.00081068114193385*CC107^3 - 0.0314027378159951*CC107^2 + 0.649796593937842*CC107 + 13.7888866455022)</f>
        <v/>
      </c>
      <c r="BT107" s="235" t="str">
        <f aca="false">IF(BR107=0,"",-0.00000000014625939695*CC107^6 + 0.00000004971732060241*CC107^5 - 0.000006683744342031*CC107^4 + 0.0004563177378098*CC107^3 - 0.0171727530635803*CC107^2 + 0.444529932876435*CC107 + 15.6692518940565)</f>
        <v/>
      </c>
      <c r="BU107" s="236" t="str">
        <f aca="false">IF(BR107=0,"", -0.0000000008152265738*BR107^6 + 0.00000022764320256987*BR107^5 - 0.0000248205675927705*BR107^4 + 0.00133186623684865*BR107^3 - 0.0368442570441677*BR107^2 + 0.580111565569094*BR107 + 14.0417598296107)</f>
        <v/>
      </c>
      <c r="BV107" s="236" t="str">
        <f aca="false">IF(BR107=0,"", -0.00000000004321395721*BR107^6 + 0.00000002531844275498*BR107^5 - 0.00000369428022780862*BR107^4 + 0.00020283665900125*BR107^3 - 0.00462426256803268*BR107^2 + 0.139572935065453*BR107 + 15.4475338156923)</f>
        <v/>
      </c>
      <c r="BW107" s="236" t="str">
        <f aca="false">IF(BR107=0,"",-0.00000000033126390082*BR107^6 + 0.00000010463660614506*BR107^5 - 0.0000129629592998707*BR107^4 + 0.000803946335250767*BR107^3 - 0.0270257140395994*BR107^2 + 0.562590210721552*BR107+ 12.1254107606419)</f>
        <v/>
      </c>
      <c r="BX107" s="236" t="str">
        <f aca="false">IF(BR107=0,"",-0.00000000002593504955*BR107^6 + 0.00000002430495156704*BR107^5 - 0.00000386103271086364*BR107^4 + 0.000214416118986322*BR107^3 - 0.0047271462612021*BR107^2 + 0.156696175741135*BR107 + 15.4598891949502)</f>
        <v/>
      </c>
      <c r="BY107" s="234" t="str">
        <f aca="false">IF(BR107=0,"",$BS$2)</f>
        <v/>
      </c>
      <c r="BZ107" s="234" t="str">
        <f aca="false">IF(BR107=0,"",$BS$3)</f>
        <v/>
      </c>
      <c r="CA107" s="234" t="str">
        <f aca="false">IF(BR107=0,"",$BS$4)</f>
        <v/>
      </c>
      <c r="CB107" s="235" t="str">
        <f aca="false">IF(BR107=0,"",IF(AND(BO107&gt;=0,BO107&lt;4),0.75,IF(AND(BO107&gt;=4,BO107&lt;6),0.85,IF(AND(BO107&gt;=6,BO107&lt;=10),0.95,1))))</f>
        <v/>
      </c>
      <c r="CC107" s="234" t="str">
        <f aca="false">IF(BR107=0,"",BR107*BY107*BZ107*CA107*CB107/60)</f>
        <v/>
      </c>
      <c r="CD107" s="238" t="str">
        <f aca="false">IF(BR107=0,"",IF($S$12="NO","NO",IF($AD$12&lt;=BO107,"SI","NO")))</f>
        <v/>
      </c>
      <c r="CE107" s="235" t="n">
        <f aca="false">IF(BR107=0,0,AB107)</f>
        <v>0</v>
      </c>
      <c r="CF107" s="235" t="n">
        <f aca="false">IF(CE107&gt;0,BO107,0)</f>
        <v>0</v>
      </c>
      <c r="CG107" s="239" t="n">
        <f aca="false">IF(CF107=0,CF107+CG106,CF107)</f>
        <v>0</v>
      </c>
      <c r="CH107" s="239" t="n">
        <f aca="false">IF(CG107=CG106,CH106,ABS(CG107-CG106))</f>
        <v>0</v>
      </c>
      <c r="CI107" s="239" t="n">
        <f aca="false">+CE107*CH107</f>
        <v>0</v>
      </c>
      <c r="CJ107" s="239" t="n">
        <f aca="false">IF(CI107=0,CI107+CJ106,CI107)</f>
        <v>0</v>
      </c>
      <c r="CK107" s="239" t="n">
        <f aca="false">IF(CJ107=CJ106,CK106,ABS(CJ107+CK106))</f>
        <v>0</v>
      </c>
      <c r="CL107" s="241" t="n">
        <f aca="false">IF(CE107=0,0,CK107)</f>
        <v>0</v>
      </c>
      <c r="CM107" s="239" t="n">
        <f aca="false">IF(CE107=0,0,CH107*9.81)</f>
        <v>0</v>
      </c>
      <c r="CN107" s="239" t="n">
        <f aca="false">IF(CM107=0,CM107+CN106,CM107)</f>
        <v>0</v>
      </c>
      <c r="CO107" s="239" t="n">
        <f aca="false">IF(CN107=CN106,CO106,ABS(CN107+CO106))</f>
        <v>0</v>
      </c>
      <c r="CP107" s="241" t="n">
        <f aca="false">IF(CD107="NO",0,IF(CE107=0,0,CO107))</f>
        <v>0</v>
      </c>
      <c r="CQ107" s="244" t="str">
        <f aca="false">IF(BR107=0,"",CL107-CP107)</f>
        <v/>
      </c>
      <c r="CR107" s="244" t="str">
        <f aca="false">IF(BR107=0,"",CQ107/101.3)</f>
        <v/>
      </c>
      <c r="CS107" s="244" t="str">
        <f aca="false">IF(BR107=0,"",LOG(10/CR107))</f>
        <v/>
      </c>
      <c r="CT107" s="243" t="str">
        <f aca="false">IF(BR107=0,"",IF(SQRT(101.3/CQ107)&lt;=1.7,SQRT(101.3/CQ107),2.2/(1.2+(CQ107/101.3))))</f>
        <v/>
      </c>
      <c r="CU107" s="244" t="str">
        <f aca="false">IF(BR107=0,"",1.7/(0.7+CR107))</f>
        <v/>
      </c>
      <c r="CV107" s="244" t="str">
        <f aca="false">IF(BR107=0,"",IF(CR107&gt;=0.25,0.77*LOG(20/CR107),""))</f>
        <v/>
      </c>
      <c r="CW107" s="244" t="str">
        <f aca="false">IF(BR107=0,"",32.5/(10.2+20.3*CR107))</f>
        <v/>
      </c>
      <c r="CX107" s="244" t="str">
        <f aca="false">IF(BR107=0,"",1-1.25*LOG(CR107))</f>
        <v/>
      </c>
      <c r="CY107" s="244" t="str">
        <f aca="false">IF(BR107=0,"",IF(CR107&lt;1,1-1.41*LOG(CR107),1+0.92*LOG(CR107)))</f>
        <v/>
      </c>
      <c r="CZ107" s="244" t="str">
        <f aca="false">IF(BR107=0,"",2/(1+CR107))</f>
        <v/>
      </c>
      <c r="DA107" s="244" t="str">
        <f aca="false">IF(BR107=0,"",IF(CR107&lt;=0.75,4/(1+4*CR107),4/(3.25+CR107)))</f>
        <v/>
      </c>
      <c r="DB107" s="244" t="str">
        <f aca="false">IF(BR107=0,"",CT107)</f>
        <v/>
      </c>
      <c r="DC107" s="244" t="str">
        <f aca="false">IF(BR107=0,"",DB107*CC107)</f>
        <v/>
      </c>
      <c r="DD107" s="244"/>
      <c r="DE107" s="244" t="str">
        <f aca="false">IF(BR107=0,"",0.193*(CC107/(CQ107*0.001))^0.689)</f>
        <v/>
      </c>
      <c r="DF107" s="244" t="str">
        <f aca="false">IF(BR107=0,"",IF(AS107=$AX$4,(0.1348118*CC107 - 0.0383065)*98.0665,""))</f>
        <v/>
      </c>
      <c r="DG107" s="244" t="str">
        <f aca="false">IF(BR107=0,"",IF(AS107=$AX$4,DF107/2,""))</f>
        <v/>
      </c>
      <c r="DH107" s="244" t="str">
        <f aca="false">IF(BR107=0,"",IF(DC107&lt;=15,12*(DC107+6),40+12*(DC107-6)))</f>
        <v/>
      </c>
      <c r="DI107" s="244" t="str">
        <f aca="false">IF(BR107=0,"",IF(CD107="SI",5*(DC107+15),((3.3*(DC107+15))+(4*(DC107+12)))/2))</f>
        <v/>
      </c>
      <c r="DJ107" s="244" t="str">
        <f aca="false">IF(BR107=0,"",8*DC107)</f>
        <v/>
      </c>
      <c r="DK107" s="244" t="str">
        <f aca="false">IF(BR107=0,"",215+(10.6*DC107))</f>
        <v/>
      </c>
      <c r="DL107" s="244" t="str">
        <f aca="false">IF(BR107=0,"",10*(7.5+(0.5*DC107)))</f>
        <v/>
      </c>
      <c r="DM107" s="244" t="str">
        <f aca="false">IF(BR107=0,"",8*DC107)</f>
        <v/>
      </c>
      <c r="DN107" s="244" t="str">
        <f aca="false">IF(AW107=" "," ",IF(DC107=""," ",IF(DC107&lt;4,10*10.2,IF(DC107=4,12*10.2,IF(DC107&lt;10,17.5*10.5,IF(DC107=10,15*10.2,IF(DC107&lt;30,22.5*10.2,IF(DC107=30,35*10.2,IF(DC107&lt;50,40*10.2,IF(DC107=50,50*10.2,55*10.2))))))))))</f>
        <v> </v>
      </c>
      <c r="DO107" s="244" t="str">
        <f aca="false">IF(BR107=0,"",7*SQRT(DC107)*10.1972)</f>
        <v/>
      </c>
      <c r="DP107" s="244" t="str">
        <f aca="false">IF(BR107=0,"",IF(AS107=$AX$4,5*CC107,""))</f>
        <v/>
      </c>
      <c r="DQ107" s="244" t="str">
        <f aca="false">IF(AW107=" "," ",IF(DC107=""," ",IF(DC107&lt;2,4*10.2,IF(DC107=2,6*10.2,IF(DC107&lt;4,12*10.2,IF(DC107=4,20*10.2,IF(DC107&lt;8,30*10.2,IF(DC107=8,35*10.2,IF(DC107&lt;15,40*10.2,IF(DC107=15,42*10.2,IF(DC107&lt;30,45*10.2,IF(DC107=30,50*10.2,70*10.2))))))))))))</f>
        <v> </v>
      </c>
      <c r="DR107" s="244" t="str">
        <f aca="false">IF(BR107=0,"",IF(AS107=$AX$4,220*DP107*0.0101972,""))</f>
        <v/>
      </c>
      <c r="DS107" s="271" t="str">
        <f aca="false">IF(BR107=0,"",IF(AS107=$AX$7,(SUM(DH107:DO107)-MIN(DH107:DO107)-MAX(DH107:DO107))/6,(SUM(DO107:DR107)-MIN(DO107:DR107)-MAX(DO107:DR107))/2))</f>
        <v/>
      </c>
      <c r="DT107" s="244" t="str">
        <f aca="false">IF(AW107=" "," ",IF(DC107=""," ",IF(DC107&lt;4,0.2,IF(DC107=4,0.27,IF(DC107&lt;10,0.33,IF(DC107=10,0.35,IF(DC107&lt;30,0.36,IF(DC107=30,0.37,IF(DC107&lt;50,0.38,IF(DC107=50,0.4,0.45))))))))))</f>
        <v> </v>
      </c>
      <c r="DU107" s="272" t="str">
        <f aca="false">IF(AW107=" "," ",IF(CC107=""," ",IF(CC107&lt;2,0.2,IF(CC107=2,0.23,IF(CC107&lt;4,0.26,IF(CC107=4,0.29,IF(CC107&lt;8,0.32,IF(CC107=8,0.35,IF(CC107&lt;15,0.38,IF(CC107=15,0.41,IF(CC107&lt;30,0.44,IF(CC107=30,0.47,0.5))))))))))))</f>
        <v> </v>
      </c>
      <c r="DV107" s="244" t="str">
        <f aca="false">IF(BR107=0,"",IF(AS107=$AX$3,DT107,DU107))</f>
        <v/>
      </c>
      <c r="DW107" s="244" t="str">
        <f aca="false">IF(BR107=0,"",IF(DC107&gt;15,15+0.5*(DC107-15),DC107))</f>
        <v/>
      </c>
      <c r="DX107" s="244" t="str">
        <f aca="false">IF(BR107=0,"",IF($S$12="SI",IF(CD107="NO",IF($AD$12&gt;(BO107+1.5*$ED$15),1,0.5),0.5),1))</f>
        <v/>
      </c>
      <c r="DY107" s="244" t="str">
        <f aca="false">IF(BR107=0,"",IF($S$12="SI",IF(CD107="NO",IF($AD$12&gt;(BO107+1.5*$EE$15),1,0.5),0.5),1))</f>
        <v/>
      </c>
      <c r="DZ107" s="244" t="str">
        <f aca="false">IF(BR107=0,"",IF($S$12="SI",IF(CD107="NO",IF($AD$12&gt;(BO107+1.5*$EF$15),1,0.5),0.5),1))</f>
        <v/>
      </c>
      <c r="EA107" s="244" t="str">
        <f aca="false">IF(BR107=0,"",IF($S$12="SI",IF(CD107="NO",IF($AD$12&gt;(BO107+1.5*$ED$15),1,0.5),IF($AD$12=BO107,1,0.5)),1))</f>
        <v/>
      </c>
      <c r="EB107" s="244" t="str">
        <f aca="false">IF(BR107=0,"",IF($S$12="SI",IF(CD107="NO",IF($AD$12&gt;(BO107+1.5*$EE$15),1,0.5),IF($AD$12=BO107,1,0.5)),1))</f>
        <v/>
      </c>
      <c r="EC107" s="244" t="str">
        <f aca="false">IF(BR107=0,"",IF($S$12="SI",IF(CD107="NO",IF($AD$12&gt;(BO107+1.5*$EF$15),1,0.5),IF($AD$12=BO107,1,0.5)),1))</f>
        <v/>
      </c>
      <c r="ED107" s="244" t="str">
        <f aca="false">IF(BR107=0,"",(DW107*($ED$15/10)*(DX107+EA107*(BO107/$ED$15))*1)/3)</f>
        <v/>
      </c>
      <c r="EE107" s="244" t="str">
        <f aca="false">IF(BR107=0,"",(DW107*($EE$15/10)*(DY107+EB107*(BO107/$EE$15))*1)/3)</f>
        <v/>
      </c>
      <c r="EF107" s="244" t="str">
        <f aca="false">IF(BR107=0,"",(DW107*($EF$15/10)*(DZ107+EC107*(BO107/$EF$15))*1)/3)</f>
        <v/>
      </c>
      <c r="EG107" s="273" t="str">
        <f aca="false">IF(BR107=0,"",IF(CD107="SI",0.5,1))</f>
        <v/>
      </c>
      <c r="EH107" s="244" t="str">
        <f aca="false">IF(BR107=0,"",IF((1+0.33*(BO107/$ED$15))&lt;=1.33,(1+0.33*(BO107/$ED$15)),1.33))</f>
        <v/>
      </c>
      <c r="EI107" s="244" t="str">
        <f aca="false">IF(BR107=0,"",IF((1+0.33*(BO107/$EE$15))&lt;=1.33,(1+0.33*(BO107/$EE$15)),1.33))</f>
        <v/>
      </c>
      <c r="EJ107" s="244" t="str">
        <f aca="false">IF(BR107=0,"",IF((1+0.33*(BO107/$EF$15))&lt;=1.33,(1+0.33*(BO107/$EF$15)),1.33))</f>
        <v/>
      </c>
      <c r="EK107" s="244" t="str">
        <f aca="false">IF(BR107=0,"",IF($ED$15&lt;=1.2,((20*DC107*EG107*EH107)/3)*0.010197,((12.5*DC107*((($ED$15+0.3)^2)/$ED$15)*EG107*EH107)/3)*0.010197))</f>
        <v/>
      </c>
      <c r="EL107" s="244" t="str">
        <f aca="false">IF(BR107=0,"",IF($EE$15&lt;=1.2,((20*DC107*EG107*EI107)/3)*0.010197,((12.5*DC107*((($EE$15+0.3)^2)/$EE$15)*EG107*EI107)/3)*0.010197))</f>
        <v/>
      </c>
      <c r="EM107" s="244" t="str">
        <f aca="false">IF(BR107=0,"",IF($EF$15&lt;=1.2,((20*DC107*EG107*EJ107)/3)*0.010197,((12.5*DC107*((($EF$15+0.3)^2)/$EF$15)*EG107*EJ107)/3)*0.010197))</f>
        <v/>
      </c>
      <c r="EN107" s="248" t="str">
        <f aca="false">IF(BR107=0,"",SQRT(12*CC107)+25)</f>
        <v/>
      </c>
      <c r="EO107" s="248" t="str">
        <f aca="false">IF(BR107=0,"",28.5+0.25*CC107)</f>
        <v/>
      </c>
      <c r="EP107" s="248" t="str">
        <f aca="false">IF(BR107=0,"",SQRT(20*CC107)+15)</f>
        <v/>
      </c>
      <c r="EQ107" s="248" t="str">
        <f aca="false">IF(BR107=0,"",23.7+0.57*CC107-0.0006*CC107*CC107)</f>
        <v/>
      </c>
      <c r="ER107" s="248" t="str">
        <f aca="false">IF(BR107=0,"",15+SQRT(12.5*DC107))</f>
        <v/>
      </c>
      <c r="ES107" s="248" t="str">
        <f aca="false">IF(BR107=0,"",3.5*SQRT(CC107)+20)</f>
        <v/>
      </c>
      <c r="ET107" s="248" t="str">
        <f aca="false">IF(BR107=0,"",27.1+0.3*DC107-0.00054*DC107*DC107)</f>
        <v/>
      </c>
      <c r="EU107" s="248" t="str">
        <f aca="false">IF(BR107=0,"",SQRT(20*CC107)+20)</f>
        <v/>
      </c>
      <c r="EV107" s="248" t="str">
        <f aca="false">IF(BR107=0,"",12.79+SQRT(25.86*CC107))</f>
        <v/>
      </c>
      <c r="EW107" s="248" t="str">
        <f aca="false">IF(BR107=0,"",DEGREES(_xlfn.ACOT((CC107/(12.2+20.3*CR107))^0.34)))</f>
        <v/>
      </c>
      <c r="EX107" s="248" t="str">
        <f aca="false">IF(BR107=0,"",24+(5.77*LN(0.17*DC107)))</f>
        <v/>
      </c>
      <c r="EY107" s="248" t="str">
        <f aca="false">IF(BR107=0,"",(SUM(EN107:EX107)-MIN(EN107:EX107)-MAX(EN107:EX107))/9)</f>
        <v/>
      </c>
      <c r="EZ107" s="248" t="str">
        <f aca="false">IF(BR107=0,"", -0.0000000034*CC107^6 + 0.0000008305*CC107^5 - 0.0000741842*CC107^4 + 0.0030204278*CC107^3 - 0.0541594733*CC107^2 + 0.8083147848*CC107 - 0.6182191243)</f>
        <v/>
      </c>
      <c r="FA107" s="249" t="str">
        <f aca="false">IF(BR107=0,"",(0.134811827956989*CC107 - 0.0383064516129019)/2)</f>
        <v/>
      </c>
      <c r="FB107" s="249" t="str">
        <f aca="false">IF(BR107=0,"",CC107*0.065)</f>
        <v/>
      </c>
      <c r="FC107" s="249" t="str">
        <f aca="false">IF(BR107=0,"",(CC107*0.12*0.48)*SQRT((1+SIN(EZ107*((2*PI())/360))/(1-SIN(EZ107*((2*PI())/360))))))</f>
        <v/>
      </c>
      <c r="FD107" s="249" t="str">
        <f aca="false">IF(BR107=0,"",(CC107/8)/2)</f>
        <v/>
      </c>
      <c r="FE107" s="249" t="str">
        <f aca="false">IF(BR107=0,"",(SUM(FA107:FD107)-MIN(FA107:FD107)-MAX(FA107:FD107))/2)</f>
        <v/>
      </c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</row>
    <row r="108" customFormat="false" ht="9.75" hidden="false" customHeight="true" outlineLevel="0" collapsed="false">
      <c r="A108" s="197" t="n">
        <f aca="false">ROUND(A107+0.1,1)</f>
        <v>9.1</v>
      </c>
      <c r="B108" s="281"/>
      <c r="C108" s="251"/>
      <c r="D108" s="283"/>
      <c r="E108" s="199"/>
      <c r="F108" s="200"/>
      <c r="G108" s="254"/>
      <c r="H108" s="284"/>
      <c r="I108" s="285"/>
      <c r="J108" s="257"/>
      <c r="K108" s="258"/>
      <c r="L108" s="259"/>
      <c r="M108" s="313"/>
      <c r="N108" s="316"/>
      <c r="O108" s="317"/>
      <c r="P108" s="317"/>
      <c r="Q108" s="293"/>
      <c r="R108" s="314"/>
      <c r="S108" s="315"/>
      <c r="T108" s="295"/>
      <c r="U108" s="295"/>
      <c r="V108" s="296"/>
      <c r="W108" s="296"/>
      <c r="X108" s="296"/>
      <c r="Y108" s="296"/>
      <c r="Z108" s="296"/>
      <c r="AA108" s="296"/>
      <c r="AB108" s="297"/>
      <c r="AC108" s="298"/>
      <c r="AD108" s="299"/>
      <c r="AE108" s="298"/>
      <c r="AF108" s="300"/>
      <c r="AG108" s="267"/>
      <c r="AH108" s="267"/>
      <c r="AI108" s="241"/>
      <c r="AJ108" s="241"/>
      <c r="AK108" s="266"/>
      <c r="AL108" s="266"/>
      <c r="AM108" s="268"/>
      <c r="AN108" s="281"/>
      <c r="AO108" s="251"/>
      <c r="AP108" s="283"/>
      <c r="AQ108" s="199"/>
      <c r="AR108" s="200"/>
      <c r="AS108" s="269" t="s">
        <v>13</v>
      </c>
      <c r="AT108" s="221"/>
      <c r="AU108" s="269"/>
      <c r="AV108" s="269"/>
      <c r="AW108" s="270" t="n">
        <f aca="false">+K108+L108</f>
        <v>0</v>
      </c>
      <c r="AX108" s="270" t="str">
        <f aca="false">IF(AS108="&gt;50","CONSISTENCIA",IF(AS108="&lt;50","COMPACIDAD"," "))</f>
        <v>COMPACIDAD</v>
      </c>
      <c r="AY108" s="225" t="str">
        <f aca="false">IF(AS108="&gt;50",AZ108,IF(AS108="&lt;50",BA108," "))</f>
        <v> </v>
      </c>
      <c r="AZ108" s="224" t="str">
        <f aca="false">IF(AW108=" "," ",IF(CC108=""," ",IF(CC108&lt;2,"MUY BLANDA",IF(CC108=2,"MUY BLANDA A BLANDA",IF(CC108&lt;4,"BLANDA",IF(CC108=4,"BLANDA A MEDIA",IF(CC108&lt;8,"MEDIA",IF(CC108=8,"MEDIA A FIRME",IF(CC108&lt;15,"FIRME",IF(CC108=15,"FIRME A MUY FIRME",IF(CC108&lt;30,"MUY FIRME",IF(CC108=30,"MUY FIRME A DURA","DURA"))))))))))))</f>
        <v> </v>
      </c>
      <c r="BA108" s="225" t="str">
        <f aca="false">IF(AW108=" "," ",IF(DC108=""," ",IF(DC108&lt;4,"MUY SUELTA",IF(DC108=4,"MUY SUELTA A SUELTA",IF(DC108&lt;10,"SUELTA",IF(DC108=10,"SUELTA A MEDIA",IF(DC108&lt;30,"MEDIA",IF(DC108=30,"MEDIA A DENSO",IF(DC108&lt;50,"DENSO",IF(DC108=50,"DENSO MUY DENSO","MUY DENSO"))))))))))</f>
        <v> </v>
      </c>
      <c r="BB108" s="226" t="str">
        <f aca="false">IF(BR109=0,"",CQ109*0.0101972)</f>
        <v/>
      </c>
      <c r="BC108" s="227" t="n">
        <f aca="false">+BC107+0.1</f>
        <v>9.09999999999998</v>
      </c>
      <c r="BD108" s="227" t="str">
        <f aca="false">IF(BC108&lt;=$AN$10,BC108,"")</f>
        <v/>
      </c>
      <c r="BE108" s="228" t="n">
        <f aca="false">ISNUMBER(BD108)</f>
        <v>0</v>
      </c>
      <c r="BF108" s="229" t="str">
        <f aca="false">MID(M108,1,1)</f>
        <v/>
      </c>
      <c r="BG108" s="230" t="str">
        <f aca="false">IF(BF108="S","",IF(BF108="G","",MID(M108,2,1)))</f>
        <v/>
      </c>
      <c r="BH108" s="231" t="str">
        <f aca="false">CONCATENATE(BF108,BG108)</f>
        <v/>
      </c>
      <c r="BI108" s="6" t="str">
        <f aca="false">IF(BE108=FALSE(),"",IF(BH108="",BI107,BH108))</f>
        <v/>
      </c>
      <c r="BJ108" s="74" t="str">
        <f aca="false">IF(OR(BI108="S",BI108="G"),BI108,"X")</f>
        <v>X</v>
      </c>
      <c r="BK108" s="74" t="s">
        <v>268</v>
      </c>
      <c r="BL108" s="6" t="e">
        <f aca="false">INDEX(sim_0,MATCH($BJ$108,granular,0))</f>
        <v>#NAME?</v>
      </c>
      <c r="BM108" s="6"/>
      <c r="BN108" s="6"/>
      <c r="BO108" s="191" t="n">
        <f aca="false">BO107+0.1</f>
        <v>9.09999999999998</v>
      </c>
      <c r="BP108" s="233" t="e">
        <f aca="false">IF(AW108=0,NA(),IF(AS108=$AX$3,ROUND(DC108,0),NA()))</f>
        <v>#N/A</v>
      </c>
      <c r="BQ108" s="31" t="e">
        <f aca="false">IF(AW108=0,NA(),IF(AS108=$AX$4,ROUND(CC108,0),NA()))</f>
        <v>#N/A</v>
      </c>
      <c r="BR108" s="234" t="n">
        <f aca="false">+AW108</f>
        <v>0</v>
      </c>
      <c r="BS108" s="235" t="str">
        <f aca="false">IF(BR108=0,"", -0.00000000016128755327*CC108^6 + 0.00000006709386362421*CC108^5 - 0.0000106217678052217*CC108^4 + 0.00081068114193385*CC108^3 - 0.0314027378159951*CC108^2 + 0.649796593937842*CC108 + 13.7888866455022)</f>
        <v/>
      </c>
      <c r="BT108" s="235" t="str">
        <f aca="false">IF(BR108=0,"",-0.00000000014625939695*CC108^6 + 0.00000004971732060241*CC108^5 - 0.000006683744342031*CC108^4 + 0.0004563177378098*CC108^3 - 0.0171727530635803*CC108^2 + 0.444529932876435*CC108 + 15.6692518940565)</f>
        <v/>
      </c>
      <c r="BU108" s="236" t="str">
        <f aca="false">IF(BR108=0,"", -0.0000000008152265738*BR108^6 + 0.00000022764320256987*BR108^5 - 0.0000248205675927705*BR108^4 + 0.00133186623684865*BR108^3 - 0.0368442570441677*BR108^2 + 0.580111565569094*BR108 + 14.0417598296107)</f>
        <v/>
      </c>
      <c r="BV108" s="236" t="str">
        <f aca="false">IF(BR108=0,"", -0.00000000004321395721*BR108^6 + 0.00000002531844275498*BR108^5 - 0.00000369428022780862*BR108^4 + 0.00020283665900125*BR108^3 - 0.00462426256803268*BR108^2 + 0.139572935065453*BR108 + 15.4475338156923)</f>
        <v/>
      </c>
      <c r="BW108" s="236" t="str">
        <f aca="false">IF(BR108=0,"",-0.00000000033126390082*BR108^6 + 0.00000010463660614506*BR108^5 - 0.0000129629592998707*BR108^4 + 0.000803946335250767*BR108^3 - 0.0270257140395994*BR108^2 + 0.562590210721552*BR108+ 12.1254107606419)</f>
        <v/>
      </c>
      <c r="BX108" s="236" t="str">
        <f aca="false">IF(BR108=0,"",-0.00000000002593504955*BR108^6 + 0.00000002430495156704*BR108^5 - 0.00000386103271086364*BR108^4 + 0.000214416118986322*BR108^3 - 0.0047271462612021*BR108^2 + 0.156696175741135*BR108 + 15.4598891949502)</f>
        <v/>
      </c>
      <c r="BY108" s="234" t="str">
        <f aca="false">IF(BR108=0,"",$BS$2)</f>
        <v/>
      </c>
      <c r="BZ108" s="234" t="str">
        <f aca="false">IF(BR108=0,"",$BS$3)</f>
        <v/>
      </c>
      <c r="CA108" s="234" t="str">
        <f aca="false">IF(BR108=0,"",$BS$4)</f>
        <v/>
      </c>
      <c r="CB108" s="235" t="str">
        <f aca="false">IF(BR108=0,"",IF(AND(BO108&gt;=0,BO108&lt;4),0.75,IF(AND(BO108&gt;=4,BO108&lt;6),0.85,IF(AND(BO108&gt;=6,BO108&lt;=10),0.95,1))))</f>
        <v/>
      </c>
      <c r="CC108" s="234" t="str">
        <f aca="false">IF(BR108=0,"",BR108*BY108*BZ108*CA108*CB108/60)</f>
        <v/>
      </c>
      <c r="CD108" s="238" t="str">
        <f aca="false">IF(BR108=0,"",IF($S$12="NO","NO",IF($AD$12&lt;=BO108,"SI","NO")))</f>
        <v/>
      </c>
      <c r="CE108" s="235" t="n">
        <f aca="false">IF(BR108=0,0,AB108)</f>
        <v>0</v>
      </c>
      <c r="CF108" s="235" t="n">
        <f aca="false">IF(CE108&gt;0,BO108,0)</f>
        <v>0</v>
      </c>
      <c r="CG108" s="239" t="n">
        <f aca="false">IF(CF108=0,CF108+CG107,CF108)</f>
        <v>0</v>
      </c>
      <c r="CH108" s="239" t="n">
        <f aca="false">IF(CG108=CG107,CH107,ABS(CG108-CG107))</f>
        <v>0</v>
      </c>
      <c r="CI108" s="239" t="n">
        <f aca="false">+CE108*CH108</f>
        <v>0</v>
      </c>
      <c r="CJ108" s="239" t="n">
        <f aca="false">IF(CI108=0,CI108+CJ107,CI108)</f>
        <v>0</v>
      </c>
      <c r="CK108" s="239" t="n">
        <f aca="false">IF(CJ108=CJ107,CK107,ABS(CJ108+CK107))</f>
        <v>0</v>
      </c>
      <c r="CL108" s="241" t="n">
        <f aca="false">IF(CE108=0,0,CK108)</f>
        <v>0</v>
      </c>
      <c r="CM108" s="239" t="n">
        <f aca="false">IF(CE108=0,0,CH108*9.81)</f>
        <v>0</v>
      </c>
      <c r="CN108" s="239" t="n">
        <f aca="false">IF(CM108=0,CM108+CN107,CM108)</f>
        <v>0</v>
      </c>
      <c r="CO108" s="239" t="n">
        <f aca="false">IF(CN108=CN107,CO107,ABS(CN108+CO107))</f>
        <v>0</v>
      </c>
      <c r="CP108" s="241" t="n">
        <f aca="false">IF(CD108="NO",0,IF(CE108=0,0,CO108))</f>
        <v>0</v>
      </c>
      <c r="CQ108" s="244" t="str">
        <f aca="false">IF(BR108=0,"",CL108-CP108)</f>
        <v/>
      </c>
      <c r="CR108" s="244" t="str">
        <f aca="false">IF(BR108=0,"",CQ108/101.3)</f>
        <v/>
      </c>
      <c r="CS108" s="244" t="str">
        <f aca="false">IF(BR108=0,"",LOG(10/CR108))</f>
        <v/>
      </c>
      <c r="CT108" s="243" t="str">
        <f aca="false">IF(BR108=0,"",IF(SQRT(101.3/CQ108)&lt;=1.7,SQRT(101.3/CQ108),2.2/(1.2+(CQ108/101.3))))</f>
        <v/>
      </c>
      <c r="CU108" s="244" t="str">
        <f aca="false">IF(BR108=0,"",1.7/(0.7+CR108))</f>
        <v/>
      </c>
      <c r="CV108" s="244" t="str">
        <f aca="false">IF(BR108=0,"",IF(CR108&gt;=0.25,0.77*LOG(20/CR108),""))</f>
        <v/>
      </c>
      <c r="CW108" s="244" t="str">
        <f aca="false">IF(BR108=0,"",32.5/(10.2+20.3*CR108))</f>
        <v/>
      </c>
      <c r="CX108" s="244" t="str">
        <f aca="false">IF(BR108=0,"",1-1.25*LOG(CR108))</f>
        <v/>
      </c>
      <c r="CY108" s="244" t="str">
        <f aca="false">IF(BR108=0,"",IF(CR108&lt;1,1-1.41*LOG(CR108),1+0.92*LOG(CR108)))</f>
        <v/>
      </c>
      <c r="CZ108" s="244" t="str">
        <f aca="false">IF(BR108=0,"",2/(1+CR108))</f>
        <v/>
      </c>
      <c r="DA108" s="244" t="str">
        <f aca="false">IF(BR108=0,"",IF(CR108&lt;=0.75,4/(1+4*CR108),4/(3.25+CR108)))</f>
        <v/>
      </c>
      <c r="DB108" s="244" t="str">
        <f aca="false">IF(BR108=0,"",CT108)</f>
        <v/>
      </c>
      <c r="DC108" s="244" t="str">
        <f aca="false">IF(BR108=0,"",DB108*CC108)</f>
        <v/>
      </c>
      <c r="DD108" s="244"/>
      <c r="DE108" s="244" t="str">
        <f aca="false">IF(BR108=0,"",0.193*(CC108/(CQ108*0.001))^0.689)</f>
        <v/>
      </c>
      <c r="DF108" s="244" t="str">
        <f aca="false">IF(BR108=0,"",IF(AS108=$AX$4,(0.1348118*CC108 - 0.0383065)*98.0665,""))</f>
        <v/>
      </c>
      <c r="DG108" s="244" t="str">
        <f aca="false">IF(BR108=0,"",IF(AS108=$AX$4,DF108/2,""))</f>
        <v/>
      </c>
      <c r="DH108" s="244" t="str">
        <f aca="false">IF(BR108=0,"",IF(DC108&lt;=15,12*(DC108+6),40+12*(DC108-6)))</f>
        <v/>
      </c>
      <c r="DI108" s="244" t="str">
        <f aca="false">IF(BR108=0,"",IF(CD108="SI",5*(DC108+15),((3.3*(DC108+15))+(4*(DC108+12)))/2))</f>
        <v/>
      </c>
      <c r="DJ108" s="244" t="str">
        <f aca="false">IF(BR108=0,"",8*DC108)</f>
        <v/>
      </c>
      <c r="DK108" s="244" t="str">
        <f aca="false">IF(BR108=0,"",215+(10.6*DC108))</f>
        <v/>
      </c>
      <c r="DL108" s="244" t="str">
        <f aca="false">IF(BR108=0,"",10*(7.5+(0.5*DC108)))</f>
        <v/>
      </c>
      <c r="DM108" s="244" t="str">
        <f aca="false">IF(BR108=0,"",8*DC108)</f>
        <v/>
      </c>
      <c r="DN108" s="244" t="str">
        <f aca="false">IF(AW108=" "," ",IF(DC108=""," ",IF(DC108&lt;4,10*10.2,IF(DC108=4,12*10.2,IF(DC108&lt;10,17.5*10.5,IF(DC108=10,15*10.2,IF(DC108&lt;30,22.5*10.2,IF(DC108=30,35*10.2,IF(DC108&lt;50,40*10.2,IF(DC108=50,50*10.2,55*10.2))))))))))</f>
        <v> </v>
      </c>
      <c r="DO108" s="244" t="str">
        <f aca="false">IF(BR108=0,"",7*SQRT(DC108)*10.1972)</f>
        <v/>
      </c>
      <c r="DP108" s="244" t="str">
        <f aca="false">IF(BR108=0,"",IF(AS108=$AX$4,5*CC108,""))</f>
        <v/>
      </c>
      <c r="DQ108" s="244" t="str">
        <f aca="false">IF(AW108=" "," ",IF(DC108=""," ",IF(DC108&lt;2,4*10.2,IF(DC108=2,6*10.2,IF(DC108&lt;4,12*10.2,IF(DC108=4,20*10.2,IF(DC108&lt;8,30*10.2,IF(DC108=8,35*10.2,IF(DC108&lt;15,40*10.2,IF(DC108=15,42*10.2,IF(DC108&lt;30,45*10.2,IF(DC108=30,50*10.2,70*10.2))))))))))))</f>
        <v> </v>
      </c>
      <c r="DR108" s="244" t="str">
        <f aca="false">IF(BR108=0,"",IF(AS108=$AX$4,220*DP108*0.0101972,""))</f>
        <v/>
      </c>
      <c r="DS108" s="271" t="str">
        <f aca="false">IF(BR108=0,"",IF(AS108=$AX$7,(SUM(DH108:DO108)-MIN(DH108:DO108)-MAX(DH108:DO108))/6,(SUM(DO108:DR108)-MIN(DO108:DR108)-MAX(DO108:DR108))/2))</f>
        <v/>
      </c>
      <c r="DT108" s="244" t="str">
        <f aca="false">IF(AW108=" "," ",IF(DC108=""," ",IF(DC108&lt;4,0.2,IF(DC108=4,0.27,IF(DC108&lt;10,0.33,IF(DC108=10,0.35,IF(DC108&lt;30,0.36,IF(DC108=30,0.37,IF(DC108&lt;50,0.38,IF(DC108=50,0.4,0.45))))))))))</f>
        <v> </v>
      </c>
      <c r="DU108" s="272" t="str">
        <f aca="false">IF(AW108=" "," ",IF(CC108=""," ",IF(CC108&lt;2,0.2,IF(CC108=2,0.23,IF(CC108&lt;4,0.26,IF(CC108=4,0.29,IF(CC108&lt;8,0.32,IF(CC108=8,0.35,IF(CC108&lt;15,0.38,IF(CC108=15,0.41,IF(CC108&lt;30,0.44,IF(CC108=30,0.47,0.5))))))))))))</f>
        <v> </v>
      </c>
      <c r="DV108" s="244" t="str">
        <f aca="false">IF(BR108=0,"",IF(AS108=$AX$3,DT108,DU108))</f>
        <v/>
      </c>
      <c r="DW108" s="244" t="str">
        <f aca="false">IF(BR108=0,"",IF(DC108&gt;15,15+0.5*(DC108-15),DC108))</f>
        <v/>
      </c>
      <c r="DX108" s="244" t="str">
        <f aca="false">IF(BR108=0,"",IF($S$12="SI",IF(CD108="NO",IF($AD$12&gt;(BO108+1.5*$ED$15),1,0.5),0.5),1))</f>
        <v/>
      </c>
      <c r="DY108" s="244" t="str">
        <f aca="false">IF(BR108=0,"",IF($S$12="SI",IF(CD108="NO",IF($AD$12&gt;(BO108+1.5*$EE$15),1,0.5),0.5),1))</f>
        <v/>
      </c>
      <c r="DZ108" s="244" t="str">
        <f aca="false">IF(BR108=0,"",IF($S$12="SI",IF(CD108="NO",IF($AD$12&gt;(BO108+1.5*$EF$15),1,0.5),0.5),1))</f>
        <v/>
      </c>
      <c r="EA108" s="244" t="str">
        <f aca="false">IF(BR108=0,"",IF($S$12="SI",IF(CD108="NO",IF($AD$12&gt;(BO108+1.5*$ED$15),1,0.5),IF($AD$12=BO108,1,0.5)),1))</f>
        <v/>
      </c>
      <c r="EB108" s="244" t="str">
        <f aca="false">IF(BR108=0,"",IF($S$12="SI",IF(CD108="NO",IF($AD$12&gt;(BO108+1.5*$EE$15),1,0.5),IF($AD$12=BO108,1,0.5)),1))</f>
        <v/>
      </c>
      <c r="EC108" s="244" t="str">
        <f aca="false">IF(BR108=0,"",IF($S$12="SI",IF(CD108="NO",IF($AD$12&gt;(BO108+1.5*$EF$15),1,0.5),IF($AD$12=BO108,1,0.5)),1))</f>
        <v/>
      </c>
      <c r="ED108" s="244" t="str">
        <f aca="false">IF(BR108=0,"",(DW108*($ED$15/10)*(DX108+EA108*(BO108/$ED$15))*1)/3)</f>
        <v/>
      </c>
      <c r="EE108" s="244" t="str">
        <f aca="false">IF(BR108=0,"",(DW108*($EE$15/10)*(DY108+EB108*(BO108/$EE$15))*1)/3)</f>
        <v/>
      </c>
      <c r="EF108" s="244" t="str">
        <f aca="false">IF(BR108=0,"",(DW108*($EF$15/10)*(DZ108+EC108*(BO108/$EF$15))*1)/3)</f>
        <v/>
      </c>
      <c r="EG108" s="273" t="str">
        <f aca="false">IF(BR108=0,"",IF(CD108="SI",0.5,1))</f>
        <v/>
      </c>
      <c r="EH108" s="244" t="str">
        <f aca="false">IF(BR108=0,"",IF((1+0.33*(BO108/$ED$15))&lt;=1.33,(1+0.33*(BO108/$ED$15)),1.33))</f>
        <v/>
      </c>
      <c r="EI108" s="244" t="str">
        <f aca="false">IF(BR108=0,"",IF((1+0.33*(BO108/$EE$15))&lt;=1.33,(1+0.33*(BO108/$EE$15)),1.33))</f>
        <v/>
      </c>
      <c r="EJ108" s="244" t="str">
        <f aca="false">IF(BR108=0,"",IF((1+0.33*(BO108/$EF$15))&lt;=1.33,(1+0.33*(BO108/$EF$15)),1.33))</f>
        <v/>
      </c>
      <c r="EK108" s="244" t="str">
        <f aca="false">IF(BR108=0,"",IF($ED$15&lt;=1.2,((20*DC108*EG108*EH108)/3)*0.010197,((12.5*DC108*((($ED$15+0.3)^2)/$ED$15)*EG108*EH108)/3)*0.010197))</f>
        <v/>
      </c>
      <c r="EL108" s="244" t="str">
        <f aca="false">IF(BR108=0,"",IF($EE$15&lt;=1.2,((20*DC108*EG108*EI108)/3)*0.010197,((12.5*DC108*((($EE$15+0.3)^2)/$EE$15)*EG108*EI108)/3)*0.010197))</f>
        <v/>
      </c>
      <c r="EM108" s="244" t="str">
        <f aca="false">IF(BR108=0,"",IF($EF$15&lt;=1.2,((20*DC108*EG108*EJ108)/3)*0.010197,((12.5*DC108*((($EF$15+0.3)^2)/$EF$15)*EG108*EJ108)/3)*0.010197))</f>
        <v/>
      </c>
      <c r="EN108" s="248" t="str">
        <f aca="false">IF(BR108=0,"",SQRT(12*CC108)+25)</f>
        <v/>
      </c>
      <c r="EO108" s="248" t="str">
        <f aca="false">IF(BR108=0,"",28.5+0.25*CC108)</f>
        <v/>
      </c>
      <c r="EP108" s="248" t="str">
        <f aca="false">IF(BR108=0,"",SQRT(20*CC108)+15)</f>
        <v/>
      </c>
      <c r="EQ108" s="248" t="str">
        <f aca="false">IF(BR108=0,"",23.7+0.57*CC108-0.0006*CC108*CC108)</f>
        <v/>
      </c>
      <c r="ER108" s="248" t="str">
        <f aca="false">IF(BR108=0,"",15+SQRT(12.5*DC108))</f>
        <v/>
      </c>
      <c r="ES108" s="248" t="str">
        <f aca="false">IF(BR108=0,"",3.5*SQRT(CC108)+20)</f>
        <v/>
      </c>
      <c r="ET108" s="248" t="str">
        <f aca="false">IF(BR108=0,"",27.1+0.3*DC108-0.00054*DC108*DC108)</f>
        <v/>
      </c>
      <c r="EU108" s="248" t="str">
        <f aca="false">IF(BR108=0,"",SQRT(20*CC108)+20)</f>
        <v/>
      </c>
      <c r="EV108" s="248" t="str">
        <f aca="false">IF(BR108=0,"",12.79+SQRT(25.86*CC108))</f>
        <v/>
      </c>
      <c r="EW108" s="248" t="str">
        <f aca="false">IF(BR108=0,"",DEGREES(_xlfn.ACOT((CC108/(12.2+20.3*CR108))^0.34)))</f>
        <v/>
      </c>
      <c r="EX108" s="248" t="str">
        <f aca="false">IF(BR108=0,"",24+(5.77*LN(0.17*DC108)))</f>
        <v/>
      </c>
      <c r="EY108" s="248" t="str">
        <f aca="false">IF(BR108=0,"",(SUM(EN108:EX108)-MIN(EN108:EX108)-MAX(EN108:EX108))/9)</f>
        <v/>
      </c>
      <c r="EZ108" s="248" t="str">
        <f aca="false">IF(BR108=0,"", -0.0000000034*CC108^6 + 0.0000008305*CC108^5 - 0.0000741842*CC108^4 + 0.0030204278*CC108^3 - 0.0541594733*CC108^2 + 0.8083147848*CC108 - 0.6182191243)</f>
        <v/>
      </c>
      <c r="FA108" s="249" t="str">
        <f aca="false">IF(BR108=0,"",(0.134811827956989*CC108 - 0.0383064516129019)/2)</f>
        <v/>
      </c>
      <c r="FB108" s="249" t="str">
        <f aca="false">IF(BR108=0,"",CC108*0.065)</f>
        <v/>
      </c>
      <c r="FC108" s="249" t="str">
        <f aca="false">IF(BR108=0,"",(CC108*0.12*0.48)*SQRT((1+SIN(EZ108*((2*PI())/360))/(1-SIN(EZ108*((2*PI())/360))))))</f>
        <v/>
      </c>
      <c r="FD108" s="249" t="str">
        <f aca="false">IF(BR108=0,"",(CC108/8)/2)</f>
        <v/>
      </c>
      <c r="FE108" s="249" t="str">
        <f aca="false">IF(BR108=0,"",(SUM(FA108:FD108)-MIN(FA108:FD108)-MAX(FA108:FD108))/2)</f>
        <v/>
      </c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</row>
    <row r="109" customFormat="false" ht="9.75" hidden="false" customHeight="true" outlineLevel="0" collapsed="false">
      <c r="A109" s="197" t="n">
        <f aca="false">ROUND(A108+0.1,1)</f>
        <v>9.2</v>
      </c>
      <c r="B109" s="250" t="n">
        <f aca="false">+A109</f>
        <v>9.2</v>
      </c>
      <c r="C109" s="251"/>
      <c r="D109" s="251"/>
      <c r="E109" s="252"/>
      <c r="F109" s="253"/>
      <c r="G109" s="254"/>
      <c r="H109" s="284"/>
      <c r="I109" s="285"/>
      <c r="J109" s="257"/>
      <c r="K109" s="258"/>
      <c r="L109" s="259"/>
      <c r="M109" s="313"/>
      <c r="N109" s="318"/>
      <c r="O109" s="318"/>
      <c r="P109" s="318"/>
      <c r="Q109" s="293"/>
      <c r="R109" s="314"/>
      <c r="S109" s="315"/>
      <c r="T109" s="295"/>
      <c r="U109" s="295"/>
      <c r="V109" s="296"/>
      <c r="W109" s="296"/>
      <c r="X109" s="296"/>
      <c r="Y109" s="296"/>
      <c r="Z109" s="296"/>
      <c r="AA109" s="296"/>
      <c r="AB109" s="297"/>
      <c r="AC109" s="298"/>
      <c r="AD109" s="299"/>
      <c r="AE109" s="298"/>
      <c r="AF109" s="300"/>
      <c r="AG109" s="267"/>
      <c r="AH109" s="267"/>
      <c r="AI109" s="241"/>
      <c r="AJ109" s="241"/>
      <c r="AK109" s="266"/>
      <c r="AL109" s="266"/>
      <c r="AM109" s="268"/>
      <c r="AN109" s="250" t="n">
        <f aca="false">+AN107+0.2</f>
        <v>9.2</v>
      </c>
      <c r="AO109" s="251"/>
      <c r="AP109" s="251"/>
      <c r="AQ109" s="252"/>
      <c r="AR109" s="253"/>
      <c r="AS109" s="269" t="s">
        <v>13</v>
      </c>
      <c r="AT109" s="221"/>
      <c r="AU109" s="269"/>
      <c r="AV109" s="269"/>
      <c r="AW109" s="270" t="n">
        <f aca="false">+K109+L109</f>
        <v>0</v>
      </c>
      <c r="AX109" s="270" t="str">
        <f aca="false">IF(AS109="&gt;50","CONSISTENCIA",IF(AS109="&lt;50","COMPACIDAD"," "))</f>
        <v>COMPACIDAD</v>
      </c>
      <c r="AY109" s="225" t="str">
        <f aca="false">IF(AS109="&gt;50",AZ109,IF(AS109="&lt;50",BA109," "))</f>
        <v> </v>
      </c>
      <c r="AZ109" s="224" t="str">
        <f aca="false">IF(AW109=" "," ",IF(CC109=""," ",IF(CC109&lt;2,"MUY BLANDA",IF(CC109=2,"MUY BLANDA A BLANDA",IF(CC109&lt;4,"BLANDA",IF(CC109=4,"BLANDA A MEDIA",IF(CC109&lt;8,"MEDIA",IF(CC109=8,"MEDIA A FIRME",IF(CC109&lt;15,"FIRME",IF(CC109=15,"FIRME A MUY FIRME",IF(CC109&lt;30,"MUY FIRME",IF(CC109=30,"MUY FIRME A DURA","DURA"))))))))))))</f>
        <v> </v>
      </c>
      <c r="BA109" s="225" t="str">
        <f aca="false">IF(AW109=" "," ",IF(DC109=""," ",IF(DC109&lt;4,"MUY SUELTA",IF(DC109=4,"MUY SUELTA A SUELTA",IF(DC109&lt;10,"SUELTA",IF(DC109=10,"SUELTA A MEDIA",IF(DC109&lt;30,"MEDIA",IF(DC109=30,"MEDIA A DENSO",IF(DC109&lt;50,"DENSO",IF(DC109=50,"DENSO MUY DENSO","MUY DENSO"))))))))))</f>
        <v> </v>
      </c>
      <c r="BB109" s="226" t="str">
        <f aca="false">IF(BR110=0,"",CQ110*0.0101972)</f>
        <v/>
      </c>
      <c r="BC109" s="227" t="n">
        <f aca="false">+BC108+0.1</f>
        <v>9.19999999999998</v>
      </c>
      <c r="BD109" s="227" t="str">
        <f aca="false">IF(BC109&lt;=$AN$10,BC109,"")</f>
        <v/>
      </c>
      <c r="BE109" s="228" t="n">
        <f aca="false">ISNUMBER(BD109)</f>
        <v>0</v>
      </c>
      <c r="BF109" s="229" t="str">
        <f aca="false">MID(M109,1,1)</f>
        <v/>
      </c>
      <c r="BG109" s="230" t="str">
        <f aca="false">IF(BF109="S","",IF(BF109="G","",MID(M109,2,1)))</f>
        <v/>
      </c>
      <c r="BH109" s="231" t="str">
        <f aca="false">CONCATENATE(BF109,BG109)</f>
        <v/>
      </c>
      <c r="BI109" s="6" t="str">
        <f aca="false">IF(BE109=FALSE(),"",IF(BH109="",BI108,BH109))</f>
        <v/>
      </c>
      <c r="BJ109" s="74" t="str">
        <f aca="false">IF(OR(BI109="S",BI109="G"),BI109,"X")</f>
        <v>X</v>
      </c>
      <c r="BK109" s="74" t="s">
        <v>269</v>
      </c>
      <c r="BL109" s="6" t="e">
        <f aca="false">INDEX(sim_0,MATCH($BJ$109,granular,0))</f>
        <v>#NAME?</v>
      </c>
      <c r="BM109" s="6"/>
      <c r="BN109" s="6"/>
      <c r="BO109" s="191" t="n">
        <f aca="false">BO108+0.1</f>
        <v>9.19999999999998</v>
      </c>
      <c r="BP109" s="233" t="e">
        <f aca="false">IF(AW109=0,NA(),IF(AS109=$AX$3,ROUND(DC109,0),NA()))</f>
        <v>#N/A</v>
      </c>
      <c r="BQ109" s="31" t="e">
        <f aca="false">IF(AW109=0,NA(),IF(AS109=$AX$4,ROUND(CC109,0),NA()))</f>
        <v>#N/A</v>
      </c>
      <c r="BR109" s="234" t="n">
        <f aca="false">+AW109</f>
        <v>0</v>
      </c>
      <c r="BS109" s="235" t="str">
        <f aca="false">IF(BR109=0,"", -0.00000000016128755327*CC109^6 + 0.00000006709386362421*CC109^5 - 0.0000106217678052217*CC109^4 + 0.00081068114193385*CC109^3 - 0.0314027378159951*CC109^2 + 0.649796593937842*CC109 + 13.7888866455022)</f>
        <v/>
      </c>
      <c r="BT109" s="235" t="str">
        <f aca="false">IF(BR109=0,"",-0.00000000014625939695*CC109^6 + 0.00000004971732060241*CC109^5 - 0.000006683744342031*CC109^4 + 0.0004563177378098*CC109^3 - 0.0171727530635803*CC109^2 + 0.444529932876435*CC109 + 15.6692518940565)</f>
        <v/>
      </c>
      <c r="BU109" s="236" t="str">
        <f aca="false">IF(BR109=0,"", -0.0000000008152265738*BR109^6 + 0.00000022764320256987*BR109^5 - 0.0000248205675927705*BR109^4 + 0.00133186623684865*BR109^3 - 0.0368442570441677*BR109^2 + 0.580111565569094*BR109 + 14.0417598296107)</f>
        <v/>
      </c>
      <c r="BV109" s="236" t="str">
        <f aca="false">IF(BR109=0,"", -0.00000000004321395721*BR109^6 + 0.00000002531844275498*BR109^5 - 0.00000369428022780862*BR109^4 + 0.00020283665900125*BR109^3 - 0.00462426256803268*BR109^2 + 0.139572935065453*BR109 + 15.4475338156923)</f>
        <v/>
      </c>
      <c r="BW109" s="236" t="str">
        <f aca="false">IF(BR109=0,"",-0.00000000033126390082*BR109^6 + 0.00000010463660614506*BR109^5 - 0.0000129629592998707*BR109^4 + 0.000803946335250767*BR109^3 - 0.0270257140395994*BR109^2 + 0.562590210721552*BR109+ 12.1254107606419)</f>
        <v/>
      </c>
      <c r="BX109" s="236" t="str">
        <f aca="false">IF(BR109=0,"",-0.00000000002593504955*BR109^6 + 0.00000002430495156704*BR109^5 - 0.00000386103271086364*BR109^4 + 0.000214416118986322*BR109^3 - 0.0047271462612021*BR109^2 + 0.156696175741135*BR109 + 15.4598891949502)</f>
        <v/>
      </c>
      <c r="BY109" s="234" t="str">
        <f aca="false">IF(BR109=0,"",$BS$2)</f>
        <v/>
      </c>
      <c r="BZ109" s="234" t="str">
        <f aca="false">IF(BR109=0,"",$BS$3)</f>
        <v/>
      </c>
      <c r="CA109" s="234" t="str">
        <f aca="false">IF(BR109=0,"",$BS$4)</f>
        <v/>
      </c>
      <c r="CB109" s="235" t="str">
        <f aca="false">IF(BR109=0,"",IF(AND(BO109&gt;=0,BO109&lt;4),0.75,IF(AND(BO109&gt;=4,BO109&lt;6),0.85,IF(AND(BO109&gt;=6,BO109&lt;=10),0.95,1))))</f>
        <v/>
      </c>
      <c r="CC109" s="234" t="str">
        <f aca="false">IF(BR109=0,"",BR109*BY109*BZ109*CA109*CB109/60)</f>
        <v/>
      </c>
      <c r="CD109" s="238" t="str">
        <f aca="false">IF(BR109=0,"",IF($S$12="NO","NO",IF($AD$12&lt;=BO109,"SI","NO")))</f>
        <v/>
      </c>
      <c r="CE109" s="235" t="n">
        <f aca="false">IF(BR109=0,0,AB109)</f>
        <v>0</v>
      </c>
      <c r="CF109" s="235" t="n">
        <f aca="false">IF(CE109&gt;0,BO109,0)</f>
        <v>0</v>
      </c>
      <c r="CG109" s="239" t="n">
        <f aca="false">IF(CF109=0,CF109+CG108,CF109)</f>
        <v>0</v>
      </c>
      <c r="CH109" s="239" t="n">
        <f aca="false">IF(CG109=CG108,CH108,ABS(CG109-CG108))</f>
        <v>0</v>
      </c>
      <c r="CI109" s="239" t="n">
        <f aca="false">+CE109*CH109</f>
        <v>0</v>
      </c>
      <c r="CJ109" s="239" t="n">
        <f aca="false">IF(CI109=0,CI109+CJ108,CI109)</f>
        <v>0</v>
      </c>
      <c r="CK109" s="239" t="n">
        <f aca="false">IF(CJ109=CJ108,CK108,ABS(CJ109+CK108))</f>
        <v>0</v>
      </c>
      <c r="CL109" s="241" t="n">
        <f aca="false">IF(CE109=0,0,CK109)</f>
        <v>0</v>
      </c>
      <c r="CM109" s="239" t="n">
        <f aca="false">IF(CE109=0,0,CH109*9.81)</f>
        <v>0</v>
      </c>
      <c r="CN109" s="239" t="n">
        <f aca="false">IF(CM109=0,CM109+CN108,CM109)</f>
        <v>0</v>
      </c>
      <c r="CO109" s="239" t="n">
        <f aca="false">IF(CN109=CN108,CO108,ABS(CN109+CO108))</f>
        <v>0</v>
      </c>
      <c r="CP109" s="241" t="n">
        <f aca="false">IF(CD109="NO",0,IF(CE109=0,0,CO109))</f>
        <v>0</v>
      </c>
      <c r="CQ109" s="244" t="str">
        <f aca="false">IF(BR109=0,"",CL109-CP109)</f>
        <v/>
      </c>
      <c r="CR109" s="244" t="str">
        <f aca="false">IF(BR109=0,"",CQ109/101.3)</f>
        <v/>
      </c>
      <c r="CS109" s="244" t="str">
        <f aca="false">IF(BR109=0,"",LOG(10/CR109))</f>
        <v/>
      </c>
      <c r="CT109" s="243" t="str">
        <f aca="false">IF(BR109=0,"",IF(SQRT(101.3/CQ109)&lt;=1.7,SQRT(101.3/CQ109),2.2/(1.2+(CQ109/101.3))))</f>
        <v/>
      </c>
      <c r="CU109" s="244" t="str">
        <f aca="false">IF(BR109=0,"",1.7/(0.7+CR109))</f>
        <v/>
      </c>
      <c r="CV109" s="244" t="str">
        <f aca="false">IF(BR109=0,"",IF(CR109&gt;=0.25,0.77*LOG(20/CR109),""))</f>
        <v/>
      </c>
      <c r="CW109" s="244" t="str">
        <f aca="false">IF(BR109=0,"",32.5/(10.2+20.3*CR109))</f>
        <v/>
      </c>
      <c r="CX109" s="244" t="str">
        <f aca="false">IF(BR109=0,"",1-1.25*LOG(CR109))</f>
        <v/>
      </c>
      <c r="CY109" s="244" t="str">
        <f aca="false">IF(BR109=0,"",IF(CR109&lt;1,1-1.41*LOG(CR109),1+0.92*LOG(CR109)))</f>
        <v/>
      </c>
      <c r="CZ109" s="244" t="str">
        <f aca="false">IF(BR109=0,"",2/(1+CR109))</f>
        <v/>
      </c>
      <c r="DA109" s="244" t="str">
        <f aca="false">IF(BR109=0,"",IF(CR109&lt;=0.75,4/(1+4*CR109),4/(3.25+CR109)))</f>
        <v/>
      </c>
      <c r="DB109" s="244" t="str">
        <f aca="false">IF(BR109=0,"",CT109)</f>
        <v/>
      </c>
      <c r="DC109" s="244" t="str">
        <f aca="false">IF(BR109=0,"",DB109*CC109)</f>
        <v/>
      </c>
      <c r="DD109" s="244"/>
      <c r="DE109" s="244" t="str">
        <f aca="false">IF(BR109=0,"",0.193*(CC109/(CQ109*0.001))^0.689)</f>
        <v/>
      </c>
      <c r="DF109" s="244" t="str">
        <f aca="false">IF(BR109=0,"",IF(AS109=$AX$4,(0.1348118*CC109 - 0.0383065)*98.0665,""))</f>
        <v/>
      </c>
      <c r="DG109" s="244" t="str">
        <f aca="false">IF(BR109=0,"",IF(AS109=$AX$4,DF109/2,""))</f>
        <v/>
      </c>
      <c r="DH109" s="244" t="str">
        <f aca="false">IF(BR109=0,"",IF(DC109&lt;=15,12*(DC109+6),40+12*(DC109-6)))</f>
        <v/>
      </c>
      <c r="DI109" s="244" t="str">
        <f aca="false">IF(BR109=0,"",IF(CD109="SI",5*(DC109+15),((3.3*(DC109+15))+(4*(DC109+12)))/2))</f>
        <v/>
      </c>
      <c r="DJ109" s="244" t="str">
        <f aca="false">IF(BR109=0,"",8*DC109)</f>
        <v/>
      </c>
      <c r="DK109" s="244" t="str">
        <f aca="false">IF(BR109=0,"",215+(10.6*DC109))</f>
        <v/>
      </c>
      <c r="DL109" s="244" t="str">
        <f aca="false">IF(BR109=0,"",10*(7.5+(0.5*DC109)))</f>
        <v/>
      </c>
      <c r="DM109" s="244" t="str">
        <f aca="false">IF(BR109=0,"",8*DC109)</f>
        <v/>
      </c>
      <c r="DN109" s="244" t="str">
        <f aca="false">IF(AW109=" "," ",IF(DC109=""," ",IF(DC109&lt;4,10*10.2,IF(DC109=4,12*10.2,IF(DC109&lt;10,17.5*10.5,IF(DC109=10,15*10.2,IF(DC109&lt;30,22.5*10.2,IF(DC109=30,35*10.2,IF(DC109&lt;50,40*10.2,IF(DC109=50,50*10.2,55*10.2))))))))))</f>
        <v> </v>
      </c>
      <c r="DO109" s="244" t="str">
        <f aca="false">IF(BR109=0,"",7*SQRT(DC109)*10.1972)</f>
        <v/>
      </c>
      <c r="DP109" s="244" t="str">
        <f aca="false">IF(BR109=0,"",IF(AS109=$AX$4,5*CC109,""))</f>
        <v/>
      </c>
      <c r="DQ109" s="244" t="str">
        <f aca="false">IF(AW109=" "," ",IF(DC109=""," ",IF(DC109&lt;2,4*10.2,IF(DC109=2,6*10.2,IF(DC109&lt;4,12*10.2,IF(DC109=4,20*10.2,IF(DC109&lt;8,30*10.2,IF(DC109=8,35*10.2,IF(DC109&lt;15,40*10.2,IF(DC109=15,42*10.2,IF(DC109&lt;30,45*10.2,IF(DC109=30,50*10.2,70*10.2))))))))))))</f>
        <v> </v>
      </c>
      <c r="DR109" s="244" t="str">
        <f aca="false">IF(BR109=0,"",IF(AS109=$AX$4,220*DP109*0.0101972,""))</f>
        <v/>
      </c>
      <c r="DS109" s="271" t="str">
        <f aca="false">IF(BR109=0,"",IF(AS109=$AX$7,(SUM(DH109:DO109)-MIN(DH109:DO109)-MAX(DH109:DO109))/6,(SUM(DO109:DR109)-MIN(DO109:DR109)-MAX(DO109:DR109))/2))</f>
        <v/>
      </c>
      <c r="DT109" s="244" t="str">
        <f aca="false">IF(AW109=" "," ",IF(DC109=""," ",IF(DC109&lt;4,0.2,IF(DC109=4,0.27,IF(DC109&lt;10,0.33,IF(DC109=10,0.35,IF(DC109&lt;30,0.36,IF(DC109=30,0.37,IF(DC109&lt;50,0.38,IF(DC109=50,0.4,0.45))))))))))</f>
        <v> </v>
      </c>
      <c r="DU109" s="272" t="str">
        <f aca="false">IF(AW109=" "," ",IF(CC109=""," ",IF(CC109&lt;2,0.2,IF(CC109=2,0.23,IF(CC109&lt;4,0.26,IF(CC109=4,0.29,IF(CC109&lt;8,0.32,IF(CC109=8,0.35,IF(CC109&lt;15,0.38,IF(CC109=15,0.41,IF(CC109&lt;30,0.44,IF(CC109=30,0.47,0.5))))))))))))</f>
        <v> </v>
      </c>
      <c r="DV109" s="244" t="str">
        <f aca="false">IF(BR109=0,"",IF(AS109=$AX$3,DT109,DU109))</f>
        <v/>
      </c>
      <c r="DW109" s="244" t="str">
        <f aca="false">IF(BR109=0,"",IF(DC109&gt;15,15+0.5*(DC109-15),DC109))</f>
        <v/>
      </c>
      <c r="DX109" s="244" t="str">
        <f aca="false">IF(BR109=0,"",IF($S$12="SI",IF(CD109="NO",IF($AD$12&gt;(BO109+1.5*$ED$15),1,0.5),0.5),1))</f>
        <v/>
      </c>
      <c r="DY109" s="244" t="str">
        <f aca="false">IF(BR109=0,"",IF($S$12="SI",IF(CD109="NO",IF($AD$12&gt;(BO109+1.5*$EE$15),1,0.5),0.5),1))</f>
        <v/>
      </c>
      <c r="DZ109" s="244" t="str">
        <f aca="false">IF(BR109=0,"",IF($S$12="SI",IF(CD109="NO",IF($AD$12&gt;(BO109+1.5*$EF$15),1,0.5),0.5),1))</f>
        <v/>
      </c>
      <c r="EA109" s="244" t="str">
        <f aca="false">IF(BR109=0,"",IF($S$12="SI",IF(CD109="NO",IF($AD$12&gt;(BO109+1.5*$ED$15),1,0.5),IF($AD$12=BO109,1,0.5)),1))</f>
        <v/>
      </c>
      <c r="EB109" s="244" t="str">
        <f aca="false">IF(BR109=0,"",IF($S$12="SI",IF(CD109="NO",IF($AD$12&gt;(BO109+1.5*$EE$15),1,0.5),IF($AD$12=BO109,1,0.5)),1))</f>
        <v/>
      </c>
      <c r="EC109" s="244" t="str">
        <f aca="false">IF(BR109=0,"",IF($S$12="SI",IF(CD109="NO",IF($AD$12&gt;(BO109+1.5*$EF$15),1,0.5),IF($AD$12=BO109,1,0.5)),1))</f>
        <v/>
      </c>
      <c r="ED109" s="244" t="str">
        <f aca="false">IF(BR109=0,"",(DW109*($ED$15/10)*(DX109+EA109*(BO109/$ED$15))*1)/3)</f>
        <v/>
      </c>
      <c r="EE109" s="244" t="str">
        <f aca="false">IF(BR109=0,"",(DW109*($EE$15/10)*(DY109+EB109*(BO109/$EE$15))*1)/3)</f>
        <v/>
      </c>
      <c r="EF109" s="244" t="str">
        <f aca="false">IF(BR109=0,"",(DW109*($EF$15/10)*(DZ109+EC109*(BO109/$EF$15))*1)/3)</f>
        <v/>
      </c>
      <c r="EG109" s="273" t="str">
        <f aca="false">IF(BR109=0,"",IF(CD109="SI",0.5,1))</f>
        <v/>
      </c>
      <c r="EH109" s="244" t="str">
        <f aca="false">IF(BR109=0,"",IF((1+0.33*(BO109/$ED$15))&lt;=1.33,(1+0.33*(BO109/$ED$15)),1.33))</f>
        <v/>
      </c>
      <c r="EI109" s="244" t="str">
        <f aca="false">IF(BR109=0,"",IF((1+0.33*(BO109/$EE$15))&lt;=1.33,(1+0.33*(BO109/$EE$15)),1.33))</f>
        <v/>
      </c>
      <c r="EJ109" s="244" t="str">
        <f aca="false">IF(BR109=0,"",IF((1+0.33*(BO109/$EF$15))&lt;=1.33,(1+0.33*(BO109/$EF$15)),1.33))</f>
        <v/>
      </c>
      <c r="EK109" s="244" t="str">
        <f aca="false">IF(BR109=0,"",IF($ED$15&lt;=1.2,((20*DC109*EG109*EH109)/3)*0.010197,((12.5*DC109*((($ED$15+0.3)^2)/$ED$15)*EG109*EH109)/3)*0.010197))</f>
        <v/>
      </c>
      <c r="EL109" s="244" t="str">
        <f aca="false">IF(BR109=0,"",IF($EE$15&lt;=1.2,((20*DC109*EG109*EI109)/3)*0.010197,((12.5*DC109*((($EE$15+0.3)^2)/$EE$15)*EG109*EI109)/3)*0.010197))</f>
        <v/>
      </c>
      <c r="EM109" s="244" t="str">
        <f aca="false">IF(BR109=0,"",IF($EF$15&lt;=1.2,((20*DC109*EG109*EJ109)/3)*0.010197,((12.5*DC109*((($EF$15+0.3)^2)/$EF$15)*EG109*EJ109)/3)*0.010197))</f>
        <v/>
      </c>
      <c r="EN109" s="248" t="str">
        <f aca="false">IF(BR109=0,"",SQRT(12*CC109)+25)</f>
        <v/>
      </c>
      <c r="EO109" s="248" t="str">
        <f aca="false">IF(BR109=0,"",28.5+0.25*CC109)</f>
        <v/>
      </c>
      <c r="EP109" s="248" t="str">
        <f aca="false">IF(BR109=0,"",SQRT(20*CC109)+15)</f>
        <v/>
      </c>
      <c r="EQ109" s="248" t="str">
        <f aca="false">IF(BR109=0,"",23.7+0.57*CC109-0.0006*CC109*CC109)</f>
        <v/>
      </c>
      <c r="ER109" s="248" t="str">
        <f aca="false">IF(BR109=0,"",15+SQRT(12.5*DC109))</f>
        <v/>
      </c>
      <c r="ES109" s="248" t="str">
        <f aca="false">IF(BR109=0,"",3.5*SQRT(CC109)+20)</f>
        <v/>
      </c>
      <c r="ET109" s="248" t="str">
        <f aca="false">IF(BR109=0,"",27.1+0.3*DC109-0.00054*DC109*DC109)</f>
        <v/>
      </c>
      <c r="EU109" s="248" t="str">
        <f aca="false">IF(BR109=0,"",SQRT(20*CC109)+20)</f>
        <v/>
      </c>
      <c r="EV109" s="248" t="str">
        <f aca="false">IF(BR109=0,"",12.79+SQRT(25.86*CC109))</f>
        <v/>
      </c>
      <c r="EW109" s="248" t="str">
        <f aca="false">IF(BR109=0,"",DEGREES(_xlfn.ACOT((CC109/(12.2+20.3*CR109))^0.34)))</f>
        <v/>
      </c>
      <c r="EX109" s="248" t="str">
        <f aca="false">IF(BR109=0,"",24+(5.77*LN(0.17*DC109)))</f>
        <v/>
      </c>
      <c r="EY109" s="248" t="str">
        <f aca="false">IF(BR109=0,"",(SUM(EN109:EX109)-MIN(EN109:EX109)-MAX(EN109:EX109))/9)</f>
        <v/>
      </c>
      <c r="EZ109" s="248" t="str">
        <f aca="false">IF(BR109=0,"", -0.0000000034*CC109^6 + 0.0000008305*CC109^5 - 0.0000741842*CC109^4 + 0.0030204278*CC109^3 - 0.0541594733*CC109^2 + 0.8083147848*CC109 - 0.6182191243)</f>
        <v/>
      </c>
      <c r="FA109" s="249" t="str">
        <f aca="false">IF(BR109=0,"",(0.134811827956989*CC109 - 0.0383064516129019)/2)</f>
        <v/>
      </c>
      <c r="FB109" s="249" t="str">
        <f aca="false">IF(BR109=0,"",CC109*0.065)</f>
        <v/>
      </c>
      <c r="FC109" s="249" t="str">
        <f aca="false">IF(BR109=0,"",(CC109*0.12*0.48)*SQRT((1+SIN(EZ109*((2*PI())/360))/(1-SIN(EZ109*((2*PI())/360))))))</f>
        <v/>
      </c>
      <c r="FD109" s="249" t="str">
        <f aca="false">IF(BR109=0,"",(CC109/8)/2)</f>
        <v/>
      </c>
      <c r="FE109" s="249" t="str">
        <f aca="false">IF(BR109=0,"",(SUM(FA109:FD109)-MIN(FA109:FD109)-MAX(FA109:FD109))/2)</f>
        <v/>
      </c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</row>
    <row r="110" customFormat="false" ht="9.75" hidden="false" customHeight="true" outlineLevel="0" collapsed="false">
      <c r="A110" s="197" t="n">
        <f aca="false">ROUND(A109+0.1,1)</f>
        <v>9.3</v>
      </c>
      <c r="B110" s="250"/>
      <c r="C110" s="251"/>
      <c r="D110" s="251"/>
      <c r="E110" s="199"/>
      <c r="F110" s="200"/>
      <c r="G110" s="254"/>
      <c r="H110" s="284"/>
      <c r="I110" s="285"/>
      <c r="J110" s="257"/>
      <c r="K110" s="258"/>
      <c r="L110" s="259"/>
      <c r="M110" s="313"/>
      <c r="N110" s="318"/>
      <c r="O110" s="318"/>
      <c r="P110" s="318"/>
      <c r="Q110" s="293"/>
      <c r="R110" s="314"/>
      <c r="S110" s="315"/>
      <c r="T110" s="295"/>
      <c r="U110" s="295"/>
      <c r="V110" s="296"/>
      <c r="W110" s="296"/>
      <c r="X110" s="296"/>
      <c r="Y110" s="296"/>
      <c r="Z110" s="296"/>
      <c r="AA110" s="296"/>
      <c r="AB110" s="297"/>
      <c r="AC110" s="298"/>
      <c r="AD110" s="299"/>
      <c r="AE110" s="298"/>
      <c r="AF110" s="300"/>
      <c r="AG110" s="267"/>
      <c r="AH110" s="267"/>
      <c r="AI110" s="241"/>
      <c r="AJ110" s="241"/>
      <c r="AK110" s="266"/>
      <c r="AL110" s="266"/>
      <c r="AM110" s="268"/>
      <c r="AN110" s="250"/>
      <c r="AO110" s="251"/>
      <c r="AP110" s="251"/>
      <c r="AQ110" s="199"/>
      <c r="AR110" s="200"/>
      <c r="AS110" s="269" t="s">
        <v>13</v>
      </c>
      <c r="AT110" s="221"/>
      <c r="AU110" s="269"/>
      <c r="AV110" s="269"/>
      <c r="AW110" s="270" t="n">
        <f aca="false">+K110+L110</f>
        <v>0</v>
      </c>
      <c r="AX110" s="270" t="str">
        <f aca="false">IF(AS110="&gt;50","CONSISTENCIA",IF(AS110="&lt;50","COMPACIDAD"," "))</f>
        <v>COMPACIDAD</v>
      </c>
      <c r="AY110" s="225" t="str">
        <f aca="false">IF(AS110="&gt;50",AZ110,IF(AS110="&lt;50",BA110," "))</f>
        <v> </v>
      </c>
      <c r="AZ110" s="224" t="str">
        <f aca="false">IF(AW110=" "," ",IF(CC110=""," ",IF(CC110&lt;2,"MUY BLANDA",IF(CC110=2,"MUY BLANDA A BLANDA",IF(CC110&lt;4,"BLANDA",IF(CC110=4,"BLANDA A MEDIA",IF(CC110&lt;8,"MEDIA",IF(CC110=8,"MEDIA A FIRME",IF(CC110&lt;15,"FIRME",IF(CC110=15,"FIRME A MUY FIRME",IF(CC110&lt;30,"MUY FIRME",IF(CC110=30,"MUY FIRME A DURA","DURA"))))))))))))</f>
        <v> </v>
      </c>
      <c r="BA110" s="225" t="str">
        <f aca="false">IF(AW110=" "," ",IF(DC110=""," ",IF(DC110&lt;4,"MUY SUELTA",IF(DC110=4,"MUY SUELTA A SUELTA",IF(DC110&lt;10,"SUELTA",IF(DC110=10,"SUELTA A MEDIA",IF(DC110&lt;30,"MEDIA",IF(DC110=30,"MEDIA A DENSO",IF(DC110&lt;50,"DENSO",IF(DC110=50,"DENSO MUY DENSO","MUY DENSO"))))))))))</f>
        <v> </v>
      </c>
      <c r="BB110" s="226" t="str">
        <f aca="false">IF(BR111=0,"",CQ111*0.0101972)</f>
        <v/>
      </c>
      <c r="BC110" s="227" t="n">
        <f aca="false">+BC109+0.1</f>
        <v>9.29999999999998</v>
      </c>
      <c r="BD110" s="227" t="str">
        <f aca="false">IF(BC110&lt;=$AN$10,BC110,"")</f>
        <v/>
      </c>
      <c r="BE110" s="228" t="n">
        <f aca="false">ISNUMBER(BD110)</f>
        <v>0</v>
      </c>
      <c r="BF110" s="229" t="str">
        <f aca="false">MID(M110,1,1)</f>
        <v/>
      </c>
      <c r="BG110" s="230" t="str">
        <f aca="false">IF(BF110="S","",IF(BF110="G","",MID(M110,2,1)))</f>
        <v/>
      </c>
      <c r="BH110" s="231" t="str">
        <f aca="false">CONCATENATE(BF110,BG110)</f>
        <v/>
      </c>
      <c r="BI110" s="6" t="str">
        <f aca="false">IF(BE110=FALSE(),"",IF(BH110="",BI109,BH110))</f>
        <v/>
      </c>
      <c r="BJ110" s="74" t="str">
        <f aca="false">IF(OR(BI110="S",BI110="G"),BI110,"X")</f>
        <v>X</v>
      </c>
      <c r="BK110" s="74" t="s">
        <v>270</v>
      </c>
      <c r="BL110" s="6" t="e">
        <f aca="false">INDEX(sim_0,MATCH($BJ$110,granular,0))</f>
        <v>#NAME?</v>
      </c>
      <c r="BM110" s="6"/>
      <c r="BN110" s="6"/>
      <c r="BO110" s="191" t="n">
        <f aca="false">BO109+0.1</f>
        <v>9.29999999999998</v>
      </c>
      <c r="BP110" s="233" t="e">
        <f aca="false">IF(AW110=0,NA(),IF(AS110=$AX$3,ROUND(DC110,0),NA()))</f>
        <v>#N/A</v>
      </c>
      <c r="BQ110" s="31" t="e">
        <f aca="false">IF(AW110=0,NA(),IF(AS110=$AX$4,ROUND(CC110,0),NA()))</f>
        <v>#N/A</v>
      </c>
      <c r="BR110" s="234" t="n">
        <f aca="false">+AW110</f>
        <v>0</v>
      </c>
      <c r="BS110" s="235" t="str">
        <f aca="false">IF(BR110=0,"", -0.00000000016128755327*CC110^6 + 0.00000006709386362421*CC110^5 - 0.0000106217678052217*CC110^4 + 0.00081068114193385*CC110^3 - 0.0314027378159951*CC110^2 + 0.649796593937842*CC110 + 13.7888866455022)</f>
        <v/>
      </c>
      <c r="BT110" s="235" t="str">
        <f aca="false">IF(BR110=0,"",-0.00000000014625939695*CC110^6 + 0.00000004971732060241*CC110^5 - 0.000006683744342031*CC110^4 + 0.0004563177378098*CC110^3 - 0.0171727530635803*CC110^2 + 0.444529932876435*CC110 + 15.6692518940565)</f>
        <v/>
      </c>
      <c r="BU110" s="236" t="str">
        <f aca="false">IF(BR110=0,"", -0.0000000008152265738*BR110^6 + 0.00000022764320256987*BR110^5 - 0.0000248205675927705*BR110^4 + 0.00133186623684865*BR110^3 - 0.0368442570441677*BR110^2 + 0.580111565569094*BR110 + 14.0417598296107)</f>
        <v/>
      </c>
      <c r="BV110" s="236" t="str">
        <f aca="false">IF(BR110=0,"", -0.00000000004321395721*BR110^6 + 0.00000002531844275498*BR110^5 - 0.00000369428022780862*BR110^4 + 0.00020283665900125*BR110^3 - 0.00462426256803268*BR110^2 + 0.139572935065453*BR110 + 15.4475338156923)</f>
        <v/>
      </c>
      <c r="BW110" s="236" t="str">
        <f aca="false">IF(BR110=0,"",-0.00000000033126390082*BR110^6 + 0.00000010463660614506*BR110^5 - 0.0000129629592998707*BR110^4 + 0.000803946335250767*BR110^3 - 0.0270257140395994*BR110^2 + 0.562590210721552*BR110+ 12.1254107606419)</f>
        <v/>
      </c>
      <c r="BX110" s="236" t="str">
        <f aca="false">IF(BR110=0,"",-0.00000000002593504955*BR110^6 + 0.00000002430495156704*BR110^5 - 0.00000386103271086364*BR110^4 + 0.000214416118986322*BR110^3 - 0.0047271462612021*BR110^2 + 0.156696175741135*BR110 + 15.4598891949502)</f>
        <v/>
      </c>
      <c r="BY110" s="234" t="str">
        <f aca="false">IF(BR110=0,"",$BS$2)</f>
        <v/>
      </c>
      <c r="BZ110" s="234" t="str">
        <f aca="false">IF(BR110=0,"",$BS$3)</f>
        <v/>
      </c>
      <c r="CA110" s="234" t="str">
        <f aca="false">IF(BR110=0,"",$BS$4)</f>
        <v/>
      </c>
      <c r="CB110" s="235" t="str">
        <f aca="false">IF(BR110=0,"",IF(AND(BO110&gt;=0,BO110&lt;4),0.75,IF(AND(BO110&gt;=4,BO110&lt;6),0.85,IF(AND(BO110&gt;=6,BO110&lt;=10),0.95,1))))</f>
        <v/>
      </c>
      <c r="CC110" s="234" t="str">
        <f aca="false">IF(BR110=0,"",BR110*BY110*BZ110*CA110*CB110/60)</f>
        <v/>
      </c>
      <c r="CD110" s="238" t="str">
        <f aca="false">IF(BR110=0,"",IF($S$12="NO","NO",IF($AD$12&lt;=BO110,"SI","NO")))</f>
        <v/>
      </c>
      <c r="CE110" s="235" t="n">
        <f aca="false">IF(BR110=0,0,AB110)</f>
        <v>0</v>
      </c>
      <c r="CF110" s="235" t="n">
        <f aca="false">IF(CE110&gt;0,BO110,0)</f>
        <v>0</v>
      </c>
      <c r="CG110" s="239" t="n">
        <f aca="false">IF(CF110=0,CF110+CG109,CF110)</f>
        <v>0</v>
      </c>
      <c r="CH110" s="239" t="n">
        <f aca="false">IF(CG110=CG109,CH109,ABS(CG110-CG109))</f>
        <v>0</v>
      </c>
      <c r="CI110" s="239" t="n">
        <f aca="false">+CE110*CH110</f>
        <v>0</v>
      </c>
      <c r="CJ110" s="239" t="n">
        <f aca="false">IF(CI110=0,CI110+CJ109,CI110)</f>
        <v>0</v>
      </c>
      <c r="CK110" s="239" t="n">
        <f aca="false">IF(CJ110=CJ109,CK109,ABS(CJ110+CK109))</f>
        <v>0</v>
      </c>
      <c r="CL110" s="241" t="n">
        <f aca="false">IF(CE110=0,0,CK110)</f>
        <v>0</v>
      </c>
      <c r="CM110" s="239" t="n">
        <f aca="false">IF(CE110=0,0,CH110*9.81)</f>
        <v>0</v>
      </c>
      <c r="CN110" s="239" t="n">
        <f aca="false">IF(CM110=0,CM110+CN109,CM110)</f>
        <v>0</v>
      </c>
      <c r="CO110" s="239" t="n">
        <f aca="false">IF(CN110=CN109,CO109,ABS(CN110+CO109))</f>
        <v>0</v>
      </c>
      <c r="CP110" s="241" t="n">
        <f aca="false">IF(CD110="NO",0,IF(CE110=0,0,CO110))</f>
        <v>0</v>
      </c>
      <c r="CQ110" s="244" t="str">
        <f aca="false">IF(BR110=0,"",CL110-CP110)</f>
        <v/>
      </c>
      <c r="CR110" s="244" t="str">
        <f aca="false">IF(BR110=0,"",CQ110/101.3)</f>
        <v/>
      </c>
      <c r="CS110" s="244" t="str">
        <f aca="false">IF(BR110=0,"",LOG(10/CR110))</f>
        <v/>
      </c>
      <c r="CT110" s="243" t="str">
        <f aca="false">IF(BR110=0,"",IF(SQRT(101.3/CQ110)&lt;=1.7,SQRT(101.3/CQ110),2.2/(1.2+(CQ110/101.3))))</f>
        <v/>
      </c>
      <c r="CU110" s="244" t="str">
        <f aca="false">IF(BR110=0,"",1.7/(0.7+CR110))</f>
        <v/>
      </c>
      <c r="CV110" s="244" t="str">
        <f aca="false">IF(BR110=0,"",IF(CR110&gt;=0.25,0.77*LOG(20/CR110),""))</f>
        <v/>
      </c>
      <c r="CW110" s="244" t="str">
        <f aca="false">IF(BR110=0,"",32.5/(10.2+20.3*CR110))</f>
        <v/>
      </c>
      <c r="CX110" s="244" t="str">
        <f aca="false">IF(BR110=0,"",1-1.25*LOG(CR110))</f>
        <v/>
      </c>
      <c r="CY110" s="244" t="str">
        <f aca="false">IF(BR110=0,"",IF(CR110&lt;1,1-1.41*LOG(CR110),1+0.92*LOG(CR110)))</f>
        <v/>
      </c>
      <c r="CZ110" s="244" t="str">
        <f aca="false">IF(BR110=0,"",2/(1+CR110))</f>
        <v/>
      </c>
      <c r="DA110" s="244" t="str">
        <f aca="false">IF(BR110=0,"",IF(CR110&lt;=0.75,4/(1+4*CR110),4/(3.25+CR110)))</f>
        <v/>
      </c>
      <c r="DB110" s="244" t="str">
        <f aca="false">IF(BR110=0,"",CT110)</f>
        <v/>
      </c>
      <c r="DC110" s="244" t="str">
        <f aca="false">IF(BR110=0,"",DB110*CC110)</f>
        <v/>
      </c>
      <c r="DD110" s="244"/>
      <c r="DE110" s="244" t="str">
        <f aca="false">IF(BR110=0,"",0.193*(CC110/(CQ110*0.001))^0.689)</f>
        <v/>
      </c>
      <c r="DF110" s="244" t="str">
        <f aca="false">IF(BR110=0,"",IF(AS110=$AX$4,(0.1348118*CC110 - 0.0383065)*98.0665,""))</f>
        <v/>
      </c>
      <c r="DG110" s="244" t="str">
        <f aca="false">IF(BR110=0,"",IF(AS110=$AX$4,DF110/2,""))</f>
        <v/>
      </c>
      <c r="DH110" s="244" t="str">
        <f aca="false">IF(BR110=0,"",IF(DC110&lt;=15,12*(DC110+6),40+12*(DC110-6)))</f>
        <v/>
      </c>
      <c r="DI110" s="244" t="str">
        <f aca="false">IF(BR110=0,"",IF(CD110="SI",5*(DC110+15),((3.3*(DC110+15))+(4*(DC110+12)))/2))</f>
        <v/>
      </c>
      <c r="DJ110" s="244" t="str">
        <f aca="false">IF(BR110=0,"",8*DC110)</f>
        <v/>
      </c>
      <c r="DK110" s="244" t="str">
        <f aca="false">IF(BR110=0,"",215+(10.6*DC110))</f>
        <v/>
      </c>
      <c r="DL110" s="244" t="str">
        <f aca="false">IF(BR110=0,"",10*(7.5+(0.5*DC110)))</f>
        <v/>
      </c>
      <c r="DM110" s="244" t="str">
        <f aca="false">IF(BR110=0,"",8*DC110)</f>
        <v/>
      </c>
      <c r="DN110" s="244" t="str">
        <f aca="false">IF(AW110=" "," ",IF(DC110=""," ",IF(DC110&lt;4,10*10.2,IF(DC110=4,12*10.2,IF(DC110&lt;10,17.5*10.5,IF(DC110=10,15*10.2,IF(DC110&lt;30,22.5*10.2,IF(DC110=30,35*10.2,IF(DC110&lt;50,40*10.2,IF(DC110=50,50*10.2,55*10.2))))))))))</f>
        <v> </v>
      </c>
      <c r="DO110" s="244" t="str">
        <f aca="false">IF(BR110=0,"",7*SQRT(DC110)*10.1972)</f>
        <v/>
      </c>
      <c r="DP110" s="244" t="str">
        <f aca="false">IF(BR110=0,"",IF(AS110=$AX$4,5*CC110,""))</f>
        <v/>
      </c>
      <c r="DQ110" s="244" t="str">
        <f aca="false">IF(AW110=" "," ",IF(DC110=""," ",IF(DC110&lt;2,4*10.2,IF(DC110=2,6*10.2,IF(DC110&lt;4,12*10.2,IF(DC110=4,20*10.2,IF(DC110&lt;8,30*10.2,IF(DC110=8,35*10.2,IF(DC110&lt;15,40*10.2,IF(DC110=15,42*10.2,IF(DC110&lt;30,45*10.2,IF(DC110=30,50*10.2,70*10.2))))))))))))</f>
        <v> </v>
      </c>
      <c r="DR110" s="244" t="str">
        <f aca="false">IF(BR110=0,"",IF(AS110=$AX$4,220*DP110*0.0101972,""))</f>
        <v/>
      </c>
      <c r="DS110" s="271" t="str">
        <f aca="false">IF(BR110=0,"",IF(AS110=$AX$7,(SUM(DH110:DO110)-MIN(DH110:DO110)-MAX(DH110:DO110))/6,(SUM(DO110:DR110)-MIN(DO110:DR110)-MAX(DO110:DR110))/2))</f>
        <v/>
      </c>
      <c r="DT110" s="244" t="str">
        <f aca="false">IF(AW110=" "," ",IF(DC110=""," ",IF(DC110&lt;4,0.2,IF(DC110=4,0.27,IF(DC110&lt;10,0.33,IF(DC110=10,0.35,IF(DC110&lt;30,0.36,IF(DC110=30,0.37,IF(DC110&lt;50,0.38,IF(DC110=50,0.4,0.45))))))))))</f>
        <v> </v>
      </c>
      <c r="DU110" s="272" t="str">
        <f aca="false">IF(AW110=" "," ",IF(CC110=""," ",IF(CC110&lt;2,0.2,IF(CC110=2,0.23,IF(CC110&lt;4,0.26,IF(CC110=4,0.29,IF(CC110&lt;8,0.32,IF(CC110=8,0.35,IF(CC110&lt;15,0.38,IF(CC110=15,0.41,IF(CC110&lt;30,0.44,IF(CC110=30,0.47,0.5))))))))))))</f>
        <v> </v>
      </c>
      <c r="DV110" s="244" t="str">
        <f aca="false">IF(BR110=0,"",IF(AS110=$AX$3,DT110,DU110))</f>
        <v/>
      </c>
      <c r="DW110" s="244" t="str">
        <f aca="false">IF(BR110=0,"",IF(DC110&gt;15,15+0.5*(DC110-15),DC110))</f>
        <v/>
      </c>
      <c r="DX110" s="244" t="str">
        <f aca="false">IF(BR110=0,"",IF($S$12="SI",IF(CD110="NO",IF($AD$12&gt;(BO110+1.5*$ED$15),1,0.5),0.5),1))</f>
        <v/>
      </c>
      <c r="DY110" s="244" t="str">
        <f aca="false">IF(BR110=0,"",IF($S$12="SI",IF(CD110="NO",IF($AD$12&gt;(BO110+1.5*$EE$15),1,0.5),0.5),1))</f>
        <v/>
      </c>
      <c r="DZ110" s="244" t="str">
        <f aca="false">IF(BR110=0,"",IF($S$12="SI",IF(CD110="NO",IF($AD$12&gt;(BO110+1.5*$EF$15),1,0.5),0.5),1))</f>
        <v/>
      </c>
      <c r="EA110" s="244" t="str">
        <f aca="false">IF(BR110=0,"",IF($S$12="SI",IF(CD110="NO",IF($AD$12&gt;(BO110+1.5*$ED$15),1,0.5),IF($AD$12=BO110,1,0.5)),1))</f>
        <v/>
      </c>
      <c r="EB110" s="244" t="str">
        <f aca="false">IF(BR110=0,"",IF($S$12="SI",IF(CD110="NO",IF($AD$12&gt;(BO110+1.5*$EE$15),1,0.5),IF($AD$12=BO110,1,0.5)),1))</f>
        <v/>
      </c>
      <c r="EC110" s="244" t="str">
        <f aca="false">IF(BR110=0,"",IF($S$12="SI",IF(CD110="NO",IF($AD$12&gt;(BO110+1.5*$EF$15),1,0.5),IF($AD$12=BO110,1,0.5)),1))</f>
        <v/>
      </c>
      <c r="ED110" s="244" t="str">
        <f aca="false">IF(BR110=0,"",(DW110*($ED$15/10)*(DX110+EA110*(BO110/$ED$15))*1)/3)</f>
        <v/>
      </c>
      <c r="EE110" s="244" t="str">
        <f aca="false">IF(BR110=0,"",(DW110*($EE$15/10)*(DY110+EB110*(BO110/$EE$15))*1)/3)</f>
        <v/>
      </c>
      <c r="EF110" s="244" t="str">
        <f aca="false">IF(BR110=0,"",(DW110*($EF$15/10)*(DZ110+EC110*(BO110/$EF$15))*1)/3)</f>
        <v/>
      </c>
      <c r="EG110" s="273" t="str">
        <f aca="false">IF(BR110=0,"",IF(CD110="SI",0.5,1))</f>
        <v/>
      </c>
      <c r="EH110" s="244" t="str">
        <f aca="false">IF(BR110=0,"",IF((1+0.33*(BO110/$ED$15))&lt;=1.33,(1+0.33*(BO110/$ED$15)),1.33))</f>
        <v/>
      </c>
      <c r="EI110" s="244" t="str">
        <f aca="false">IF(BR110=0,"",IF((1+0.33*(BO110/$EE$15))&lt;=1.33,(1+0.33*(BO110/$EE$15)),1.33))</f>
        <v/>
      </c>
      <c r="EJ110" s="244" t="str">
        <f aca="false">IF(BR110=0,"",IF((1+0.33*(BO110/$EF$15))&lt;=1.33,(1+0.33*(BO110/$EF$15)),1.33))</f>
        <v/>
      </c>
      <c r="EK110" s="244" t="str">
        <f aca="false">IF(BR110=0,"",IF($ED$15&lt;=1.2,((20*DC110*EG110*EH110)/3)*0.010197,((12.5*DC110*((($ED$15+0.3)^2)/$ED$15)*EG110*EH110)/3)*0.010197))</f>
        <v/>
      </c>
      <c r="EL110" s="244" t="str">
        <f aca="false">IF(BR110=0,"",IF($EE$15&lt;=1.2,((20*DC110*EG110*EI110)/3)*0.010197,((12.5*DC110*((($EE$15+0.3)^2)/$EE$15)*EG110*EI110)/3)*0.010197))</f>
        <v/>
      </c>
      <c r="EM110" s="244" t="str">
        <f aca="false">IF(BR110=0,"",IF($EF$15&lt;=1.2,((20*DC110*EG110*EJ110)/3)*0.010197,((12.5*DC110*((($EF$15+0.3)^2)/$EF$15)*EG110*EJ110)/3)*0.010197))</f>
        <v/>
      </c>
      <c r="EN110" s="248" t="str">
        <f aca="false">IF(BR110=0,"",SQRT(12*CC110)+25)</f>
        <v/>
      </c>
      <c r="EO110" s="248" t="str">
        <f aca="false">IF(BR110=0,"",28.5+0.25*CC110)</f>
        <v/>
      </c>
      <c r="EP110" s="248" t="str">
        <f aca="false">IF(BR110=0,"",SQRT(20*CC110)+15)</f>
        <v/>
      </c>
      <c r="EQ110" s="248" t="str">
        <f aca="false">IF(BR110=0,"",23.7+0.57*CC110-0.0006*CC110*CC110)</f>
        <v/>
      </c>
      <c r="ER110" s="248" t="str">
        <f aca="false">IF(BR110=0,"",15+SQRT(12.5*DC110))</f>
        <v/>
      </c>
      <c r="ES110" s="248" t="str">
        <f aca="false">IF(BR110=0,"",3.5*SQRT(CC110)+20)</f>
        <v/>
      </c>
      <c r="ET110" s="248" t="str">
        <f aca="false">IF(BR110=0,"",27.1+0.3*DC110-0.00054*DC110*DC110)</f>
        <v/>
      </c>
      <c r="EU110" s="248" t="str">
        <f aca="false">IF(BR110=0,"",SQRT(20*CC110)+20)</f>
        <v/>
      </c>
      <c r="EV110" s="248" t="str">
        <f aca="false">IF(BR110=0,"",12.79+SQRT(25.86*CC110))</f>
        <v/>
      </c>
      <c r="EW110" s="248" t="str">
        <f aca="false">IF(BR110=0,"",DEGREES(_xlfn.ACOT((CC110/(12.2+20.3*CR110))^0.34)))</f>
        <v/>
      </c>
      <c r="EX110" s="248" t="str">
        <f aca="false">IF(BR110=0,"",24+(5.77*LN(0.17*DC110)))</f>
        <v/>
      </c>
      <c r="EY110" s="248" t="str">
        <f aca="false">IF(BR110=0,"",(SUM(EN110:EX110)-MIN(EN110:EX110)-MAX(EN110:EX110))/9)</f>
        <v/>
      </c>
      <c r="EZ110" s="248" t="str">
        <f aca="false">IF(BR110=0,"", -0.0000000034*CC110^6 + 0.0000008305*CC110^5 - 0.0000741842*CC110^4 + 0.0030204278*CC110^3 - 0.0541594733*CC110^2 + 0.8083147848*CC110 - 0.6182191243)</f>
        <v/>
      </c>
      <c r="FA110" s="249" t="str">
        <f aca="false">IF(BR110=0,"",(0.134811827956989*CC110 - 0.0383064516129019)/2)</f>
        <v/>
      </c>
      <c r="FB110" s="249" t="str">
        <f aca="false">IF(BR110=0,"",CC110*0.065)</f>
        <v/>
      </c>
      <c r="FC110" s="249" t="str">
        <f aca="false">IF(BR110=0,"",(CC110*0.12*0.48)*SQRT((1+SIN(EZ110*((2*PI())/360))/(1-SIN(EZ110*((2*PI())/360))))))</f>
        <v/>
      </c>
      <c r="FD110" s="249" t="str">
        <f aca="false">IF(BR110=0,"",(CC110/8)/2)</f>
        <v/>
      </c>
      <c r="FE110" s="249" t="str">
        <f aca="false">IF(BR110=0,"",(SUM(FA110:FD110)-MIN(FA110:FD110)-MAX(FA110:FD110))/2)</f>
        <v/>
      </c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</row>
    <row r="111" customFormat="false" ht="9.75" hidden="false" customHeight="true" outlineLevel="0" collapsed="false">
      <c r="A111" s="197" t="n">
        <f aca="false">ROUND(A110+0.1,1)</f>
        <v>9.4</v>
      </c>
      <c r="B111" s="250" t="n">
        <f aca="false">+A111</f>
        <v>9.4</v>
      </c>
      <c r="C111" s="251"/>
      <c r="D111" s="251"/>
      <c r="E111" s="274"/>
      <c r="F111" s="253"/>
      <c r="G111" s="254"/>
      <c r="H111" s="284"/>
      <c r="I111" s="285"/>
      <c r="J111" s="257"/>
      <c r="K111" s="258"/>
      <c r="L111" s="259"/>
      <c r="M111" s="313"/>
      <c r="N111" s="318"/>
      <c r="O111" s="318"/>
      <c r="P111" s="318"/>
      <c r="Q111" s="293"/>
      <c r="R111" s="314"/>
      <c r="S111" s="315"/>
      <c r="T111" s="295"/>
      <c r="U111" s="295"/>
      <c r="V111" s="296"/>
      <c r="W111" s="296"/>
      <c r="X111" s="296"/>
      <c r="Y111" s="296"/>
      <c r="Z111" s="296"/>
      <c r="AA111" s="296"/>
      <c r="AB111" s="297"/>
      <c r="AC111" s="298"/>
      <c r="AD111" s="299"/>
      <c r="AE111" s="298"/>
      <c r="AF111" s="300"/>
      <c r="AG111" s="267"/>
      <c r="AH111" s="267"/>
      <c r="AI111" s="241"/>
      <c r="AJ111" s="241"/>
      <c r="AK111" s="266"/>
      <c r="AL111" s="266"/>
      <c r="AM111" s="268"/>
      <c r="AN111" s="250" t="n">
        <f aca="false">+AN109+0.2</f>
        <v>9.4</v>
      </c>
      <c r="AO111" s="251"/>
      <c r="AP111" s="251"/>
      <c r="AQ111" s="274"/>
      <c r="AR111" s="253"/>
      <c r="AS111" s="269" t="s">
        <v>13</v>
      </c>
      <c r="AT111" s="221"/>
      <c r="AU111" s="269"/>
      <c r="AV111" s="269"/>
      <c r="AW111" s="270" t="n">
        <f aca="false">+K111+L111</f>
        <v>0</v>
      </c>
      <c r="AX111" s="270" t="str">
        <f aca="false">IF(AS111="&gt;50","CONSISTENCIA",IF(AS111="&lt;50","COMPACIDAD"," "))</f>
        <v>COMPACIDAD</v>
      </c>
      <c r="AY111" s="225" t="str">
        <f aca="false">IF(AS111="&gt;50",AZ111,IF(AS111="&lt;50",BA111," "))</f>
        <v> </v>
      </c>
      <c r="AZ111" s="224" t="str">
        <f aca="false">IF(AW111=" "," ",IF(CC111=""," ",IF(CC111&lt;2,"MUY BLANDA",IF(CC111=2,"MUY BLANDA A BLANDA",IF(CC111&lt;4,"BLANDA",IF(CC111=4,"BLANDA A MEDIA",IF(CC111&lt;8,"MEDIA",IF(CC111=8,"MEDIA A FIRME",IF(CC111&lt;15,"FIRME",IF(CC111=15,"FIRME A MUY FIRME",IF(CC111&lt;30,"MUY FIRME",IF(CC111=30,"MUY FIRME A DURA","DURA"))))))))))))</f>
        <v> </v>
      </c>
      <c r="BA111" s="225" t="str">
        <f aca="false">IF(AW111=" "," ",IF(DC111=""," ",IF(DC111&lt;4,"MUY SUELTA",IF(DC111=4,"MUY SUELTA A SUELTA",IF(DC111&lt;10,"SUELTA",IF(DC111=10,"SUELTA A MEDIA",IF(DC111&lt;30,"MEDIA",IF(DC111=30,"MEDIA A DENSO",IF(DC111&lt;50,"DENSO",IF(DC111=50,"DENSO MUY DENSO","MUY DENSO"))))))))))</f>
        <v> </v>
      </c>
      <c r="BB111" s="226" t="str">
        <f aca="false">IF(BR112=0,"",CQ112*0.0101972)</f>
        <v/>
      </c>
      <c r="BC111" s="227" t="n">
        <f aca="false">+BC110+0.1</f>
        <v>9.39999999999998</v>
      </c>
      <c r="BD111" s="227" t="str">
        <f aca="false">IF(BC111&lt;=$AN$10,BC111,"")</f>
        <v/>
      </c>
      <c r="BE111" s="228" t="n">
        <f aca="false">ISNUMBER(BD111)</f>
        <v>0</v>
      </c>
      <c r="BF111" s="229" t="str">
        <f aca="false">MID(M111,1,1)</f>
        <v/>
      </c>
      <c r="BG111" s="230" t="str">
        <f aca="false">IF(BF111="S","",IF(BF111="G","",MID(M111,2,1)))</f>
        <v/>
      </c>
      <c r="BH111" s="231" t="str">
        <f aca="false">CONCATENATE(BF111,BG111)</f>
        <v/>
      </c>
      <c r="BI111" s="6" t="str">
        <f aca="false">IF(BE111=FALSE(),"",IF(BH111="",BI110,BH111))</f>
        <v/>
      </c>
      <c r="BJ111" s="74" t="str">
        <f aca="false">IF(OR(BI111="S",BI111="G"),BI111,"X")</f>
        <v>X</v>
      </c>
      <c r="BK111" s="74" t="s">
        <v>271</v>
      </c>
      <c r="BL111" s="6" t="e">
        <f aca="false">INDEX(sim_0,MATCH($BJ$111,granular,0))</f>
        <v>#NAME?</v>
      </c>
      <c r="BM111" s="6"/>
      <c r="BN111" s="6"/>
      <c r="BO111" s="191" t="n">
        <f aca="false">BO110+0.1</f>
        <v>9.39999999999998</v>
      </c>
      <c r="BP111" s="233" t="e">
        <f aca="false">IF(AW111=0,NA(),IF(AS111=$AX$3,ROUND(DC111,0),NA()))</f>
        <v>#N/A</v>
      </c>
      <c r="BQ111" s="31" t="e">
        <f aca="false">IF(AW111=0,NA(),IF(AS111=$AX$4,ROUND(CC111,0),NA()))</f>
        <v>#N/A</v>
      </c>
      <c r="BR111" s="234" t="n">
        <f aca="false">+AW111</f>
        <v>0</v>
      </c>
      <c r="BS111" s="235" t="str">
        <f aca="false">IF(BR111=0,"", -0.00000000016128755327*CC111^6 + 0.00000006709386362421*CC111^5 - 0.0000106217678052217*CC111^4 + 0.00081068114193385*CC111^3 - 0.0314027378159951*CC111^2 + 0.649796593937842*CC111 + 13.7888866455022)</f>
        <v/>
      </c>
      <c r="BT111" s="235" t="str">
        <f aca="false">IF(BR111=0,"",-0.00000000014625939695*CC111^6 + 0.00000004971732060241*CC111^5 - 0.000006683744342031*CC111^4 + 0.0004563177378098*CC111^3 - 0.0171727530635803*CC111^2 + 0.444529932876435*CC111 + 15.6692518940565)</f>
        <v/>
      </c>
      <c r="BU111" s="236" t="str">
        <f aca="false">IF(BR111=0,"", -0.0000000008152265738*BR111^6 + 0.00000022764320256987*BR111^5 - 0.0000248205675927705*BR111^4 + 0.00133186623684865*BR111^3 - 0.0368442570441677*BR111^2 + 0.580111565569094*BR111 + 14.0417598296107)</f>
        <v/>
      </c>
      <c r="BV111" s="236" t="str">
        <f aca="false">IF(BR111=0,"", -0.00000000004321395721*BR111^6 + 0.00000002531844275498*BR111^5 - 0.00000369428022780862*BR111^4 + 0.00020283665900125*BR111^3 - 0.00462426256803268*BR111^2 + 0.139572935065453*BR111 + 15.4475338156923)</f>
        <v/>
      </c>
      <c r="BW111" s="236" t="str">
        <f aca="false">IF(BR111=0,"",-0.00000000033126390082*BR111^6 + 0.00000010463660614506*BR111^5 - 0.0000129629592998707*BR111^4 + 0.000803946335250767*BR111^3 - 0.0270257140395994*BR111^2 + 0.562590210721552*BR111+ 12.1254107606419)</f>
        <v/>
      </c>
      <c r="BX111" s="236" t="str">
        <f aca="false">IF(BR111=0,"",-0.00000000002593504955*BR111^6 + 0.00000002430495156704*BR111^5 - 0.00000386103271086364*BR111^4 + 0.000214416118986322*BR111^3 - 0.0047271462612021*BR111^2 + 0.156696175741135*BR111 + 15.4598891949502)</f>
        <v/>
      </c>
      <c r="BY111" s="234" t="str">
        <f aca="false">IF(BR111=0,"",$BS$2)</f>
        <v/>
      </c>
      <c r="BZ111" s="234" t="str">
        <f aca="false">IF(BR111=0,"",$BS$3)</f>
        <v/>
      </c>
      <c r="CA111" s="234" t="str">
        <f aca="false">IF(BR111=0,"",$BS$4)</f>
        <v/>
      </c>
      <c r="CB111" s="235" t="str">
        <f aca="false">IF(BR111=0,"",IF(AND(BO111&gt;=0,BO111&lt;4),0.75,IF(AND(BO111&gt;=4,BO111&lt;6),0.85,IF(AND(BO111&gt;=6,BO111&lt;=10),0.95,1))))</f>
        <v/>
      </c>
      <c r="CC111" s="234" t="str">
        <f aca="false">IF(BR111=0,"",BR111*BY111*BZ111*CA111*CB111/60)</f>
        <v/>
      </c>
      <c r="CD111" s="238" t="str">
        <f aca="false">IF(BR111=0,"",IF($S$12="NO","NO",IF($AD$12&lt;=BO111,"SI","NO")))</f>
        <v/>
      </c>
      <c r="CE111" s="235" t="n">
        <f aca="false">IF(BR111=0,0,AB111)</f>
        <v>0</v>
      </c>
      <c r="CF111" s="235" t="n">
        <f aca="false">IF(CE111&gt;0,BO111,0)</f>
        <v>0</v>
      </c>
      <c r="CG111" s="239" t="n">
        <f aca="false">IF(CF111=0,CF111+CG110,CF111)</f>
        <v>0</v>
      </c>
      <c r="CH111" s="239" t="n">
        <f aca="false">IF(CG111=CG110,CH110,ABS(CG111-CG110))</f>
        <v>0</v>
      </c>
      <c r="CI111" s="239" t="n">
        <f aca="false">+CE111*CH111</f>
        <v>0</v>
      </c>
      <c r="CJ111" s="239" t="n">
        <f aca="false">IF(CI111=0,CI111+CJ110,CI111)</f>
        <v>0</v>
      </c>
      <c r="CK111" s="239" t="n">
        <f aca="false">IF(CJ111=CJ110,CK110,ABS(CJ111+CK110))</f>
        <v>0</v>
      </c>
      <c r="CL111" s="241" t="n">
        <f aca="false">IF(CE111=0,0,CK111)</f>
        <v>0</v>
      </c>
      <c r="CM111" s="239" t="n">
        <f aca="false">IF(CE111=0,0,CH111*9.81)</f>
        <v>0</v>
      </c>
      <c r="CN111" s="239" t="n">
        <f aca="false">IF(CM111=0,CM111+CN110,CM111)</f>
        <v>0</v>
      </c>
      <c r="CO111" s="239" t="n">
        <f aca="false">IF(CN111=CN110,CO110,ABS(CN111+CO110))</f>
        <v>0</v>
      </c>
      <c r="CP111" s="241" t="n">
        <f aca="false">IF(CD111="NO",0,IF(CE111=0,0,CO111))</f>
        <v>0</v>
      </c>
      <c r="CQ111" s="244" t="str">
        <f aca="false">IF(BR111=0,"",CL111-CP111)</f>
        <v/>
      </c>
      <c r="CR111" s="244" t="str">
        <f aca="false">IF(BR111=0,"",CQ111/101.3)</f>
        <v/>
      </c>
      <c r="CS111" s="244" t="str">
        <f aca="false">IF(BR111=0,"",LOG(10/CR111))</f>
        <v/>
      </c>
      <c r="CT111" s="243" t="str">
        <f aca="false">IF(BR111=0,"",IF(SQRT(101.3/CQ111)&lt;=1.7,SQRT(101.3/CQ111),2.2/(1.2+(CQ111/101.3))))</f>
        <v/>
      </c>
      <c r="CU111" s="244" t="str">
        <f aca="false">IF(BR111=0,"",1.7/(0.7+CR111))</f>
        <v/>
      </c>
      <c r="CV111" s="244" t="str">
        <f aca="false">IF(BR111=0,"",IF(CR111&gt;=0.25,0.77*LOG(20/CR111),""))</f>
        <v/>
      </c>
      <c r="CW111" s="244" t="str">
        <f aca="false">IF(BR111=0,"",32.5/(10.2+20.3*CR111))</f>
        <v/>
      </c>
      <c r="CX111" s="244" t="str">
        <f aca="false">IF(BR111=0,"",1-1.25*LOG(CR111))</f>
        <v/>
      </c>
      <c r="CY111" s="244" t="str">
        <f aca="false">IF(BR111=0,"",IF(CR111&lt;1,1-1.41*LOG(CR111),1+0.92*LOG(CR111)))</f>
        <v/>
      </c>
      <c r="CZ111" s="244" t="str">
        <f aca="false">IF(BR111=0,"",2/(1+CR111))</f>
        <v/>
      </c>
      <c r="DA111" s="244" t="str">
        <f aca="false">IF(BR111=0,"",IF(CR111&lt;=0.75,4/(1+4*CR111),4/(3.25+CR111)))</f>
        <v/>
      </c>
      <c r="DB111" s="244" t="str">
        <f aca="false">IF(BR111=0,"",CT111)</f>
        <v/>
      </c>
      <c r="DC111" s="244" t="str">
        <f aca="false">IF(BR111=0,"",DB111*CC111)</f>
        <v/>
      </c>
      <c r="DD111" s="244"/>
      <c r="DE111" s="244" t="str">
        <f aca="false">IF(BR111=0,"",0.193*(CC111/(CQ111*0.001))^0.689)</f>
        <v/>
      </c>
      <c r="DF111" s="244" t="str">
        <f aca="false">IF(BR111=0,"",IF(AS111=$AX$4,(0.1348118*CC111 - 0.0383065)*98.0665,""))</f>
        <v/>
      </c>
      <c r="DG111" s="244" t="str">
        <f aca="false">IF(BR111=0,"",IF(AS111=$AX$4,DF111/2,""))</f>
        <v/>
      </c>
      <c r="DH111" s="244" t="str">
        <f aca="false">IF(BR111=0,"",IF(DC111&lt;=15,12*(DC111+6),40+12*(DC111-6)))</f>
        <v/>
      </c>
      <c r="DI111" s="244" t="str">
        <f aca="false">IF(BR111=0,"",IF(CD111="SI",5*(DC111+15),((3.3*(DC111+15))+(4*(DC111+12)))/2))</f>
        <v/>
      </c>
      <c r="DJ111" s="244" t="str">
        <f aca="false">IF(BR111=0,"",8*DC111)</f>
        <v/>
      </c>
      <c r="DK111" s="244" t="str">
        <f aca="false">IF(BR111=0,"",215+(10.6*DC111))</f>
        <v/>
      </c>
      <c r="DL111" s="244" t="str">
        <f aca="false">IF(BR111=0,"",10*(7.5+(0.5*DC111)))</f>
        <v/>
      </c>
      <c r="DM111" s="244" t="str">
        <f aca="false">IF(BR111=0,"",8*DC111)</f>
        <v/>
      </c>
      <c r="DN111" s="244" t="str">
        <f aca="false">IF(AW111=" "," ",IF(DC111=""," ",IF(DC111&lt;4,10*10.2,IF(DC111=4,12*10.2,IF(DC111&lt;10,17.5*10.5,IF(DC111=10,15*10.2,IF(DC111&lt;30,22.5*10.2,IF(DC111=30,35*10.2,IF(DC111&lt;50,40*10.2,IF(DC111=50,50*10.2,55*10.2))))))))))</f>
        <v> </v>
      </c>
      <c r="DO111" s="244" t="str">
        <f aca="false">IF(BR111=0,"",7*SQRT(DC111)*10.1972)</f>
        <v/>
      </c>
      <c r="DP111" s="244" t="str">
        <f aca="false">IF(BR111=0,"",IF(AS111=$AX$4,5*CC111,""))</f>
        <v/>
      </c>
      <c r="DQ111" s="244" t="str">
        <f aca="false">IF(AW111=" "," ",IF(DC111=""," ",IF(DC111&lt;2,4*10.2,IF(DC111=2,6*10.2,IF(DC111&lt;4,12*10.2,IF(DC111=4,20*10.2,IF(DC111&lt;8,30*10.2,IF(DC111=8,35*10.2,IF(DC111&lt;15,40*10.2,IF(DC111=15,42*10.2,IF(DC111&lt;30,45*10.2,IF(DC111=30,50*10.2,70*10.2))))))))))))</f>
        <v> </v>
      </c>
      <c r="DR111" s="244" t="str">
        <f aca="false">IF(BR111=0,"",IF(AS111=$AX$4,220*DP111*0.0101972,""))</f>
        <v/>
      </c>
      <c r="DS111" s="271" t="str">
        <f aca="false">IF(BR111=0,"",IF(AS111=$AX$7,(SUM(DH111:DO111)-MIN(DH111:DO111)-MAX(DH111:DO111))/6,(SUM(DO111:DR111)-MIN(DO111:DR111)-MAX(DO111:DR111))/2))</f>
        <v/>
      </c>
      <c r="DT111" s="244" t="str">
        <f aca="false">IF(AW111=" "," ",IF(DC111=""," ",IF(DC111&lt;4,0.2,IF(DC111=4,0.27,IF(DC111&lt;10,0.33,IF(DC111=10,0.35,IF(DC111&lt;30,0.36,IF(DC111=30,0.37,IF(DC111&lt;50,0.38,IF(DC111=50,0.4,0.45))))))))))</f>
        <v> </v>
      </c>
      <c r="DU111" s="272" t="str">
        <f aca="false">IF(AW111=" "," ",IF(CC111=""," ",IF(CC111&lt;2,0.2,IF(CC111=2,0.23,IF(CC111&lt;4,0.26,IF(CC111=4,0.29,IF(CC111&lt;8,0.32,IF(CC111=8,0.35,IF(CC111&lt;15,0.38,IF(CC111=15,0.41,IF(CC111&lt;30,0.44,IF(CC111=30,0.47,0.5))))))))))))</f>
        <v> </v>
      </c>
      <c r="DV111" s="244" t="str">
        <f aca="false">IF(BR111=0,"",IF(AS111=$AX$3,DT111,DU111))</f>
        <v/>
      </c>
      <c r="DW111" s="244" t="str">
        <f aca="false">IF(BR111=0,"",IF(DC111&gt;15,15+0.5*(DC111-15),DC111))</f>
        <v/>
      </c>
      <c r="DX111" s="244" t="str">
        <f aca="false">IF(BR111=0,"",IF($S$12="SI",IF(CD111="NO",IF($AD$12&gt;(BO111+1.5*$ED$15),1,0.5),0.5),1))</f>
        <v/>
      </c>
      <c r="DY111" s="244" t="str">
        <f aca="false">IF(BR111=0,"",IF($S$12="SI",IF(CD111="NO",IF($AD$12&gt;(BO111+1.5*$EE$15),1,0.5),0.5),1))</f>
        <v/>
      </c>
      <c r="DZ111" s="244" t="str">
        <f aca="false">IF(BR111=0,"",IF($S$12="SI",IF(CD111="NO",IF($AD$12&gt;(BO111+1.5*$EF$15),1,0.5),0.5),1))</f>
        <v/>
      </c>
      <c r="EA111" s="244" t="str">
        <f aca="false">IF(BR111=0,"",IF($S$12="SI",IF(CD111="NO",IF($AD$12&gt;(BO111+1.5*$ED$15),1,0.5),IF($AD$12=BO111,1,0.5)),1))</f>
        <v/>
      </c>
      <c r="EB111" s="244" t="str">
        <f aca="false">IF(BR111=0,"",IF($S$12="SI",IF(CD111="NO",IF($AD$12&gt;(BO111+1.5*$EE$15),1,0.5),IF($AD$12=BO111,1,0.5)),1))</f>
        <v/>
      </c>
      <c r="EC111" s="244" t="str">
        <f aca="false">IF(BR111=0,"",IF($S$12="SI",IF(CD111="NO",IF($AD$12&gt;(BO111+1.5*$EF$15),1,0.5),IF($AD$12=BO111,1,0.5)),1))</f>
        <v/>
      </c>
      <c r="ED111" s="244" t="str">
        <f aca="false">IF(BR111=0,"",(DW111*($ED$15/10)*(DX111+EA111*(BO111/$ED$15))*1)/3)</f>
        <v/>
      </c>
      <c r="EE111" s="244" t="str">
        <f aca="false">IF(BR111=0,"",(DW111*($EE$15/10)*(DY111+EB111*(BO111/$EE$15))*1)/3)</f>
        <v/>
      </c>
      <c r="EF111" s="244" t="str">
        <f aca="false">IF(BR111=0,"",(DW111*($EF$15/10)*(DZ111+EC111*(BO111/$EF$15))*1)/3)</f>
        <v/>
      </c>
      <c r="EG111" s="273" t="str">
        <f aca="false">IF(BR111=0,"",IF(CD111="SI",0.5,1))</f>
        <v/>
      </c>
      <c r="EH111" s="244" t="str">
        <f aca="false">IF(BR111=0,"",IF((1+0.33*(BO111/$ED$15))&lt;=1.33,(1+0.33*(BO111/$ED$15)),1.33))</f>
        <v/>
      </c>
      <c r="EI111" s="244" t="str">
        <f aca="false">IF(BR111=0,"",IF((1+0.33*(BO111/$EE$15))&lt;=1.33,(1+0.33*(BO111/$EE$15)),1.33))</f>
        <v/>
      </c>
      <c r="EJ111" s="244" t="str">
        <f aca="false">IF(BR111=0,"",IF((1+0.33*(BO111/$EF$15))&lt;=1.33,(1+0.33*(BO111/$EF$15)),1.33))</f>
        <v/>
      </c>
      <c r="EK111" s="244" t="str">
        <f aca="false">IF(BR111=0,"",IF($ED$15&lt;=1.2,((20*DC111*EG111*EH111)/3)*0.010197,((12.5*DC111*((($ED$15+0.3)^2)/$ED$15)*EG111*EH111)/3)*0.010197))</f>
        <v/>
      </c>
      <c r="EL111" s="244" t="str">
        <f aca="false">IF(BR111=0,"",IF($EE$15&lt;=1.2,((20*DC111*EG111*EI111)/3)*0.010197,((12.5*DC111*((($EE$15+0.3)^2)/$EE$15)*EG111*EI111)/3)*0.010197))</f>
        <v/>
      </c>
      <c r="EM111" s="244" t="str">
        <f aca="false">IF(BR111=0,"",IF($EF$15&lt;=1.2,((20*DC111*EG111*EJ111)/3)*0.010197,((12.5*DC111*((($EF$15+0.3)^2)/$EF$15)*EG111*EJ111)/3)*0.010197))</f>
        <v/>
      </c>
      <c r="EN111" s="248" t="str">
        <f aca="false">IF(BR111=0,"",SQRT(12*CC111)+25)</f>
        <v/>
      </c>
      <c r="EO111" s="248" t="str">
        <f aca="false">IF(BR111=0,"",28.5+0.25*CC111)</f>
        <v/>
      </c>
      <c r="EP111" s="248" t="str">
        <f aca="false">IF(BR111=0,"",SQRT(20*CC111)+15)</f>
        <v/>
      </c>
      <c r="EQ111" s="248" t="str">
        <f aca="false">IF(BR111=0,"",23.7+0.57*CC111-0.0006*CC111*CC111)</f>
        <v/>
      </c>
      <c r="ER111" s="248" t="str">
        <f aca="false">IF(BR111=0,"",15+SQRT(12.5*DC111))</f>
        <v/>
      </c>
      <c r="ES111" s="248" t="str">
        <f aca="false">IF(BR111=0,"",3.5*SQRT(CC111)+20)</f>
        <v/>
      </c>
      <c r="ET111" s="248" t="str">
        <f aca="false">IF(BR111=0,"",27.1+0.3*DC111-0.00054*DC111*DC111)</f>
        <v/>
      </c>
      <c r="EU111" s="248" t="str">
        <f aca="false">IF(BR111=0,"",SQRT(20*CC111)+20)</f>
        <v/>
      </c>
      <c r="EV111" s="248" t="str">
        <f aca="false">IF(BR111=0,"",12.79+SQRT(25.86*CC111))</f>
        <v/>
      </c>
      <c r="EW111" s="248" t="str">
        <f aca="false">IF(BR111=0,"",DEGREES(_xlfn.ACOT((CC111/(12.2+20.3*CR111))^0.34)))</f>
        <v/>
      </c>
      <c r="EX111" s="248" t="str">
        <f aca="false">IF(BR111=0,"",24+(5.77*LN(0.17*DC111)))</f>
        <v/>
      </c>
      <c r="EY111" s="248" t="str">
        <f aca="false">IF(BR111=0,"",(SUM(EN111:EX111)-MIN(EN111:EX111)-MAX(EN111:EX111))/9)</f>
        <v/>
      </c>
      <c r="EZ111" s="248" t="str">
        <f aca="false">IF(BR111=0,"", -0.0000000034*CC111^6 + 0.0000008305*CC111^5 - 0.0000741842*CC111^4 + 0.0030204278*CC111^3 - 0.0541594733*CC111^2 + 0.8083147848*CC111 - 0.6182191243)</f>
        <v/>
      </c>
      <c r="FA111" s="249" t="str">
        <f aca="false">IF(BR111=0,"",(0.134811827956989*CC111 - 0.0383064516129019)/2)</f>
        <v/>
      </c>
      <c r="FB111" s="249" t="str">
        <f aca="false">IF(BR111=0,"",CC111*0.065)</f>
        <v/>
      </c>
      <c r="FC111" s="249" t="str">
        <f aca="false">IF(BR111=0,"",(CC111*0.12*0.48)*SQRT((1+SIN(EZ111*((2*PI())/360))/(1-SIN(EZ111*((2*PI())/360))))))</f>
        <v/>
      </c>
      <c r="FD111" s="249" t="str">
        <f aca="false">IF(BR111=0,"",(CC111/8)/2)</f>
        <v/>
      </c>
      <c r="FE111" s="249" t="str">
        <f aca="false">IF(BR111=0,"",(SUM(FA111:FD111)-MIN(FA111:FD111)-MAX(FA111:FD111))/2)</f>
        <v/>
      </c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</row>
    <row r="112" customFormat="false" ht="9.75" hidden="false" customHeight="true" outlineLevel="0" collapsed="false">
      <c r="A112" s="197" t="n">
        <f aca="false">ROUND(A111+0.1,1)</f>
        <v>9.5</v>
      </c>
      <c r="B112" s="250"/>
      <c r="C112" s="251"/>
      <c r="D112" s="251"/>
      <c r="E112" s="199"/>
      <c r="F112" s="200"/>
      <c r="G112" s="254"/>
      <c r="H112" s="284"/>
      <c r="I112" s="285"/>
      <c r="J112" s="257"/>
      <c r="K112" s="258"/>
      <c r="L112" s="259"/>
      <c r="M112" s="313"/>
      <c r="N112" s="316"/>
      <c r="O112" s="317"/>
      <c r="P112" s="317"/>
      <c r="Q112" s="293"/>
      <c r="R112" s="314"/>
      <c r="S112" s="315"/>
      <c r="T112" s="295"/>
      <c r="U112" s="295"/>
      <c r="V112" s="296"/>
      <c r="W112" s="296"/>
      <c r="X112" s="296"/>
      <c r="Y112" s="296"/>
      <c r="Z112" s="296"/>
      <c r="AA112" s="296"/>
      <c r="AB112" s="297"/>
      <c r="AC112" s="298"/>
      <c r="AD112" s="299"/>
      <c r="AE112" s="298"/>
      <c r="AF112" s="300"/>
      <c r="AG112" s="267"/>
      <c r="AH112" s="267"/>
      <c r="AI112" s="241"/>
      <c r="AJ112" s="241"/>
      <c r="AK112" s="266"/>
      <c r="AL112" s="266"/>
      <c r="AM112" s="268"/>
      <c r="AN112" s="250"/>
      <c r="AO112" s="251"/>
      <c r="AP112" s="251"/>
      <c r="AQ112" s="199"/>
      <c r="AR112" s="200"/>
      <c r="AS112" s="269" t="s">
        <v>13</v>
      </c>
      <c r="AT112" s="221"/>
      <c r="AU112" s="269"/>
      <c r="AV112" s="269"/>
      <c r="AW112" s="270" t="n">
        <f aca="false">+K112+L112</f>
        <v>0</v>
      </c>
      <c r="AX112" s="270" t="str">
        <f aca="false">IF(AS112="&gt;50","CONSISTENCIA",IF(AS112="&lt;50","COMPACIDAD"," "))</f>
        <v>COMPACIDAD</v>
      </c>
      <c r="AY112" s="225" t="str">
        <f aca="false">IF(AS112="&gt;50",AZ112,IF(AS112="&lt;50",BA112," "))</f>
        <v> </v>
      </c>
      <c r="AZ112" s="224" t="str">
        <f aca="false">IF(AW112=" "," ",IF(CC112=""," ",IF(CC112&lt;2,"MUY BLANDA",IF(CC112=2,"MUY BLANDA A BLANDA",IF(CC112&lt;4,"BLANDA",IF(CC112=4,"BLANDA A MEDIA",IF(CC112&lt;8,"MEDIA",IF(CC112=8,"MEDIA A FIRME",IF(CC112&lt;15,"FIRME",IF(CC112=15,"FIRME A MUY FIRME",IF(CC112&lt;30,"MUY FIRME",IF(CC112=30,"MUY FIRME A DURA","DURA"))))))))))))</f>
        <v> </v>
      </c>
      <c r="BA112" s="225" t="str">
        <f aca="false">IF(AW112=" "," ",IF(DC112=""," ",IF(DC112&lt;4,"MUY SUELTA",IF(DC112=4,"MUY SUELTA A SUELTA",IF(DC112&lt;10,"SUELTA",IF(DC112=10,"SUELTA A MEDIA",IF(DC112&lt;30,"MEDIA",IF(DC112=30,"MEDIA A DENSO",IF(DC112&lt;50,"DENSO",IF(DC112=50,"DENSO MUY DENSO","MUY DENSO"))))))))))</f>
        <v> </v>
      </c>
      <c r="BB112" s="226" t="str">
        <f aca="false">IF(BR113=0,"",CQ113*0.0101972)</f>
        <v/>
      </c>
      <c r="BC112" s="227" t="n">
        <f aca="false">+BC111+0.1</f>
        <v>9.49999999999998</v>
      </c>
      <c r="BD112" s="227" t="str">
        <f aca="false">IF(BC112&lt;=$AN$10,BC112,"")</f>
        <v/>
      </c>
      <c r="BE112" s="228" t="n">
        <f aca="false">ISNUMBER(BD112)</f>
        <v>0</v>
      </c>
      <c r="BF112" s="229" t="str">
        <f aca="false">MID(M112,1,1)</f>
        <v/>
      </c>
      <c r="BG112" s="230" t="str">
        <f aca="false">IF(BF112="S","",IF(BF112="G","",MID(M112,2,1)))</f>
        <v/>
      </c>
      <c r="BH112" s="231" t="str">
        <f aca="false">CONCATENATE(BF112,BG112)</f>
        <v/>
      </c>
      <c r="BI112" s="6" t="str">
        <f aca="false">IF(BE112=FALSE(),"",IF(BH112="",BI111,BH112))</f>
        <v/>
      </c>
      <c r="BJ112" s="74" t="str">
        <f aca="false">IF(OR(BI112="S",BI112="G"),BI112,"X")</f>
        <v>X</v>
      </c>
      <c r="BK112" s="74" t="s">
        <v>272</v>
      </c>
      <c r="BL112" s="6" t="e">
        <f aca="false">INDEX(sim_0,MATCH($BJ$112,granular,0))</f>
        <v>#NAME?</v>
      </c>
      <c r="BM112" s="6"/>
      <c r="BN112" s="6"/>
      <c r="BO112" s="191" t="n">
        <f aca="false">BO111+0.1</f>
        <v>9.49999999999998</v>
      </c>
      <c r="BP112" s="233" t="e">
        <f aca="false">IF(AW112=0,NA(),IF(AS112=$AX$3,ROUND(DC112,0),NA()))</f>
        <v>#N/A</v>
      </c>
      <c r="BQ112" s="31" t="e">
        <f aca="false">IF(AW112=0,NA(),IF(AS112=$AX$4,ROUND(CC112,0),NA()))</f>
        <v>#N/A</v>
      </c>
      <c r="BR112" s="234" t="n">
        <f aca="false">+AW112</f>
        <v>0</v>
      </c>
      <c r="BS112" s="235" t="str">
        <f aca="false">IF(BR112=0,"", -0.00000000016128755327*CC112^6 + 0.00000006709386362421*CC112^5 - 0.0000106217678052217*CC112^4 + 0.00081068114193385*CC112^3 - 0.0314027378159951*CC112^2 + 0.649796593937842*CC112 + 13.7888866455022)</f>
        <v/>
      </c>
      <c r="BT112" s="235" t="str">
        <f aca="false">IF(BR112=0,"",-0.00000000014625939695*CC112^6 + 0.00000004971732060241*CC112^5 - 0.000006683744342031*CC112^4 + 0.0004563177378098*CC112^3 - 0.0171727530635803*CC112^2 + 0.444529932876435*CC112 + 15.6692518940565)</f>
        <v/>
      </c>
      <c r="BU112" s="236" t="str">
        <f aca="false">IF(BR112=0,"", -0.0000000008152265738*BR112^6 + 0.00000022764320256987*BR112^5 - 0.0000248205675927705*BR112^4 + 0.00133186623684865*BR112^3 - 0.0368442570441677*BR112^2 + 0.580111565569094*BR112 + 14.0417598296107)</f>
        <v/>
      </c>
      <c r="BV112" s="236" t="str">
        <f aca="false">IF(BR112=0,"", -0.00000000004321395721*BR112^6 + 0.00000002531844275498*BR112^5 - 0.00000369428022780862*BR112^4 + 0.00020283665900125*BR112^3 - 0.00462426256803268*BR112^2 + 0.139572935065453*BR112 + 15.4475338156923)</f>
        <v/>
      </c>
      <c r="BW112" s="236" t="str">
        <f aca="false">IF(BR112=0,"",-0.00000000033126390082*BR112^6 + 0.00000010463660614506*BR112^5 - 0.0000129629592998707*BR112^4 + 0.000803946335250767*BR112^3 - 0.0270257140395994*BR112^2 + 0.562590210721552*BR112+ 12.1254107606419)</f>
        <v/>
      </c>
      <c r="BX112" s="236" t="str">
        <f aca="false">IF(BR112=0,"",-0.00000000002593504955*BR112^6 + 0.00000002430495156704*BR112^5 - 0.00000386103271086364*BR112^4 + 0.000214416118986322*BR112^3 - 0.0047271462612021*BR112^2 + 0.156696175741135*BR112 + 15.4598891949502)</f>
        <v/>
      </c>
      <c r="BY112" s="234" t="str">
        <f aca="false">IF(BR112=0,"",$BS$2)</f>
        <v/>
      </c>
      <c r="BZ112" s="234" t="str">
        <f aca="false">IF(BR112=0,"",$BS$3)</f>
        <v/>
      </c>
      <c r="CA112" s="234" t="str">
        <f aca="false">IF(BR112=0,"",$BS$4)</f>
        <v/>
      </c>
      <c r="CB112" s="235" t="str">
        <f aca="false">IF(BR112=0,"",IF(AND(BO112&gt;=0,BO112&lt;4),0.75,IF(AND(BO112&gt;=4,BO112&lt;6),0.85,IF(AND(BO112&gt;=6,BO112&lt;=10),0.95,1))))</f>
        <v/>
      </c>
      <c r="CC112" s="234" t="str">
        <f aca="false">IF(BR112=0,"",BR112*BY112*BZ112*CA112*CB112/60)</f>
        <v/>
      </c>
      <c r="CD112" s="238" t="str">
        <f aca="false">IF(BR112=0,"",IF($S$12="NO","NO",IF($AD$12&lt;=BO112,"SI","NO")))</f>
        <v/>
      </c>
      <c r="CE112" s="235" t="n">
        <f aca="false">IF(BR112=0,0,AB112)</f>
        <v>0</v>
      </c>
      <c r="CF112" s="235" t="n">
        <f aca="false">IF(CE112&gt;0,BO112,0)</f>
        <v>0</v>
      </c>
      <c r="CG112" s="239" t="n">
        <f aca="false">IF(CF112=0,CF112+CG111,CF112)</f>
        <v>0</v>
      </c>
      <c r="CH112" s="239" t="n">
        <f aca="false">IF(CG112=CG111,CH111,ABS(CG112-CG111))</f>
        <v>0</v>
      </c>
      <c r="CI112" s="239" t="n">
        <f aca="false">+CE112*CH112</f>
        <v>0</v>
      </c>
      <c r="CJ112" s="239" t="n">
        <f aca="false">IF(CI112=0,CI112+CJ111,CI112)</f>
        <v>0</v>
      </c>
      <c r="CK112" s="239" t="n">
        <f aca="false">IF(CJ112=CJ111,CK111,ABS(CJ112+CK111))</f>
        <v>0</v>
      </c>
      <c r="CL112" s="241" t="n">
        <f aca="false">IF(CE112=0,0,CK112)</f>
        <v>0</v>
      </c>
      <c r="CM112" s="239" t="n">
        <f aca="false">IF(CE112=0,0,CH112*9.81)</f>
        <v>0</v>
      </c>
      <c r="CN112" s="239" t="n">
        <f aca="false">IF(CM112=0,CM112+CN111,CM112)</f>
        <v>0</v>
      </c>
      <c r="CO112" s="239" t="n">
        <f aca="false">IF(CN112=CN111,CO111,ABS(CN112+CO111))</f>
        <v>0</v>
      </c>
      <c r="CP112" s="241" t="n">
        <f aca="false">IF(CD112="NO",0,IF(CE112=0,0,CO112))</f>
        <v>0</v>
      </c>
      <c r="CQ112" s="244" t="str">
        <f aca="false">IF(BR112=0,"",CL112-CP112)</f>
        <v/>
      </c>
      <c r="CR112" s="244" t="str">
        <f aca="false">IF(BR112=0,"",CQ112/101.3)</f>
        <v/>
      </c>
      <c r="CS112" s="244" t="str">
        <f aca="false">IF(BR112=0,"",LOG(10/CR112))</f>
        <v/>
      </c>
      <c r="CT112" s="243" t="str">
        <f aca="false">IF(BR112=0,"",IF(SQRT(101.3/CQ112)&lt;=1.7,SQRT(101.3/CQ112),2.2/(1.2+(CQ112/101.3))))</f>
        <v/>
      </c>
      <c r="CU112" s="244" t="str">
        <f aca="false">IF(BR112=0,"",1.7/(0.7+CR112))</f>
        <v/>
      </c>
      <c r="CV112" s="244" t="str">
        <f aca="false">IF(BR112=0,"",IF(CR112&gt;=0.25,0.77*LOG(20/CR112),""))</f>
        <v/>
      </c>
      <c r="CW112" s="244" t="str">
        <f aca="false">IF(BR112=0,"",32.5/(10.2+20.3*CR112))</f>
        <v/>
      </c>
      <c r="CX112" s="244" t="str">
        <f aca="false">IF(BR112=0,"",1-1.25*LOG(CR112))</f>
        <v/>
      </c>
      <c r="CY112" s="244" t="str">
        <f aca="false">IF(BR112=0,"",IF(CR112&lt;1,1-1.41*LOG(CR112),1+0.92*LOG(CR112)))</f>
        <v/>
      </c>
      <c r="CZ112" s="244" t="str">
        <f aca="false">IF(BR112=0,"",2/(1+CR112))</f>
        <v/>
      </c>
      <c r="DA112" s="244" t="str">
        <f aca="false">IF(BR112=0,"",IF(CR112&lt;=0.75,4/(1+4*CR112),4/(3.25+CR112)))</f>
        <v/>
      </c>
      <c r="DB112" s="244" t="str">
        <f aca="false">IF(BR112=0,"",CT112)</f>
        <v/>
      </c>
      <c r="DC112" s="244" t="str">
        <f aca="false">IF(BR112=0,"",DB112*CC112)</f>
        <v/>
      </c>
      <c r="DD112" s="244"/>
      <c r="DE112" s="244" t="str">
        <f aca="false">IF(BR112=0,"",0.193*(CC112/(CQ112*0.001))^0.689)</f>
        <v/>
      </c>
      <c r="DF112" s="244" t="str">
        <f aca="false">IF(BR112=0,"",IF(AS112=$AX$4,(0.1348118*CC112 - 0.0383065)*98.0665,""))</f>
        <v/>
      </c>
      <c r="DG112" s="244" t="str">
        <f aca="false">IF(BR112=0,"",IF(AS112=$AX$4,DF112/2,""))</f>
        <v/>
      </c>
      <c r="DH112" s="244" t="str">
        <f aca="false">IF(BR112=0,"",IF(DC112&lt;=15,12*(DC112+6),40+12*(DC112-6)))</f>
        <v/>
      </c>
      <c r="DI112" s="244" t="str">
        <f aca="false">IF(BR112=0,"",IF(CD112="SI",5*(DC112+15),((3.3*(DC112+15))+(4*(DC112+12)))/2))</f>
        <v/>
      </c>
      <c r="DJ112" s="244" t="str">
        <f aca="false">IF(BR112=0,"",8*DC112)</f>
        <v/>
      </c>
      <c r="DK112" s="244" t="str">
        <f aca="false">IF(BR112=0,"",215+(10.6*DC112))</f>
        <v/>
      </c>
      <c r="DL112" s="244" t="str">
        <f aca="false">IF(BR112=0,"",10*(7.5+(0.5*DC112)))</f>
        <v/>
      </c>
      <c r="DM112" s="244" t="str">
        <f aca="false">IF(BR112=0,"",8*DC112)</f>
        <v/>
      </c>
      <c r="DN112" s="244" t="str">
        <f aca="false">IF(AW112=" "," ",IF(DC112=""," ",IF(DC112&lt;4,10*10.2,IF(DC112=4,12*10.2,IF(DC112&lt;10,17.5*10.5,IF(DC112=10,15*10.2,IF(DC112&lt;30,22.5*10.2,IF(DC112=30,35*10.2,IF(DC112&lt;50,40*10.2,IF(DC112=50,50*10.2,55*10.2))))))))))</f>
        <v> </v>
      </c>
      <c r="DO112" s="244" t="str">
        <f aca="false">IF(BR112=0,"",7*SQRT(DC112)*10.1972)</f>
        <v/>
      </c>
      <c r="DP112" s="244" t="str">
        <f aca="false">IF(BR112=0,"",IF(AS112=$AX$4,5*CC112,""))</f>
        <v/>
      </c>
      <c r="DQ112" s="244" t="str">
        <f aca="false">IF(AW112=" "," ",IF(DC112=""," ",IF(DC112&lt;2,4*10.2,IF(DC112=2,6*10.2,IF(DC112&lt;4,12*10.2,IF(DC112=4,20*10.2,IF(DC112&lt;8,30*10.2,IF(DC112=8,35*10.2,IF(DC112&lt;15,40*10.2,IF(DC112=15,42*10.2,IF(DC112&lt;30,45*10.2,IF(DC112=30,50*10.2,70*10.2))))))))))))</f>
        <v> </v>
      </c>
      <c r="DR112" s="244" t="str">
        <f aca="false">IF(BR112=0,"",IF(AS112=$AX$4,220*DP112*0.0101972,""))</f>
        <v/>
      </c>
      <c r="DS112" s="271" t="str">
        <f aca="false">IF(BR112=0,"",IF(AS112=$AX$7,(SUM(DH112:DO112)-MIN(DH112:DO112)-MAX(DH112:DO112))/6,(SUM(DO112:DR112)-MIN(DO112:DR112)-MAX(DO112:DR112))/2))</f>
        <v/>
      </c>
      <c r="DT112" s="244" t="str">
        <f aca="false">IF(AW112=" "," ",IF(DC112=""," ",IF(DC112&lt;4,0.2,IF(DC112=4,0.27,IF(DC112&lt;10,0.33,IF(DC112=10,0.35,IF(DC112&lt;30,0.36,IF(DC112=30,0.37,IF(DC112&lt;50,0.38,IF(DC112=50,0.4,0.45))))))))))</f>
        <v> </v>
      </c>
      <c r="DU112" s="272" t="str">
        <f aca="false">IF(AW112=" "," ",IF(CC112=""," ",IF(CC112&lt;2,0.2,IF(CC112=2,0.23,IF(CC112&lt;4,0.26,IF(CC112=4,0.29,IF(CC112&lt;8,0.32,IF(CC112=8,0.35,IF(CC112&lt;15,0.38,IF(CC112=15,0.41,IF(CC112&lt;30,0.44,IF(CC112=30,0.47,0.5))))))))))))</f>
        <v> </v>
      </c>
      <c r="DV112" s="244" t="str">
        <f aca="false">IF(BR112=0,"",IF(AS112=$AX$3,DT112,DU112))</f>
        <v/>
      </c>
      <c r="DW112" s="244" t="str">
        <f aca="false">IF(BR112=0,"",IF(DC112&gt;15,15+0.5*(DC112-15),DC112))</f>
        <v/>
      </c>
      <c r="DX112" s="244" t="str">
        <f aca="false">IF(BR112=0,"",IF($S$12="SI",IF(CD112="NO",IF($AD$12&gt;(BO112+1.5*$ED$15),1,0.5),0.5),1))</f>
        <v/>
      </c>
      <c r="DY112" s="244" t="str">
        <f aca="false">IF(BR112=0,"",IF($S$12="SI",IF(CD112="NO",IF($AD$12&gt;(BO112+1.5*$EE$15),1,0.5),0.5),1))</f>
        <v/>
      </c>
      <c r="DZ112" s="244" t="str">
        <f aca="false">IF(BR112=0,"",IF($S$12="SI",IF(CD112="NO",IF($AD$12&gt;(BO112+1.5*$EF$15),1,0.5),0.5),1))</f>
        <v/>
      </c>
      <c r="EA112" s="244" t="str">
        <f aca="false">IF(BR112=0,"",IF($S$12="SI",IF(CD112="NO",IF($AD$12&gt;(BO112+1.5*$ED$15),1,0.5),IF($AD$12=BO112,1,0.5)),1))</f>
        <v/>
      </c>
      <c r="EB112" s="244" t="str">
        <f aca="false">IF(BR112=0,"",IF($S$12="SI",IF(CD112="NO",IF($AD$12&gt;(BO112+1.5*$EE$15),1,0.5),IF($AD$12=BO112,1,0.5)),1))</f>
        <v/>
      </c>
      <c r="EC112" s="244" t="str">
        <f aca="false">IF(BR112=0,"",IF($S$12="SI",IF(CD112="NO",IF($AD$12&gt;(BO112+1.5*$EF$15),1,0.5),IF($AD$12=BO112,1,0.5)),1))</f>
        <v/>
      </c>
      <c r="ED112" s="244" t="str">
        <f aca="false">IF(BR112=0,"",(DW112*($ED$15/10)*(DX112+EA112*(BO112/$ED$15))*1)/3)</f>
        <v/>
      </c>
      <c r="EE112" s="244" t="str">
        <f aca="false">IF(BR112=0,"",(DW112*($EE$15/10)*(DY112+EB112*(BO112/$EE$15))*1)/3)</f>
        <v/>
      </c>
      <c r="EF112" s="244" t="str">
        <f aca="false">IF(BR112=0,"",(DW112*($EF$15/10)*(DZ112+EC112*(BO112/$EF$15))*1)/3)</f>
        <v/>
      </c>
      <c r="EG112" s="273" t="str">
        <f aca="false">IF(BR112=0,"",IF(CD112="SI",0.5,1))</f>
        <v/>
      </c>
      <c r="EH112" s="244" t="str">
        <f aca="false">IF(BR112=0,"",IF((1+0.33*(BO112/$ED$15))&lt;=1.33,(1+0.33*(BO112/$ED$15)),1.33))</f>
        <v/>
      </c>
      <c r="EI112" s="244" t="str">
        <f aca="false">IF(BR112=0,"",IF((1+0.33*(BO112/$EE$15))&lt;=1.33,(1+0.33*(BO112/$EE$15)),1.33))</f>
        <v/>
      </c>
      <c r="EJ112" s="244" t="str">
        <f aca="false">IF(BR112=0,"",IF((1+0.33*(BO112/$EF$15))&lt;=1.33,(1+0.33*(BO112/$EF$15)),1.33))</f>
        <v/>
      </c>
      <c r="EK112" s="244" t="str">
        <f aca="false">IF(BR112=0,"",IF($ED$15&lt;=1.2,((20*DC112*EG112*EH112)/3)*0.010197,((12.5*DC112*((($ED$15+0.3)^2)/$ED$15)*EG112*EH112)/3)*0.010197))</f>
        <v/>
      </c>
      <c r="EL112" s="244" t="str">
        <f aca="false">IF(BR112=0,"",IF($EE$15&lt;=1.2,((20*DC112*EG112*EI112)/3)*0.010197,((12.5*DC112*((($EE$15+0.3)^2)/$EE$15)*EG112*EI112)/3)*0.010197))</f>
        <v/>
      </c>
      <c r="EM112" s="244" t="str">
        <f aca="false">IF(BR112=0,"",IF($EF$15&lt;=1.2,((20*DC112*EG112*EJ112)/3)*0.010197,((12.5*DC112*((($EF$15+0.3)^2)/$EF$15)*EG112*EJ112)/3)*0.010197))</f>
        <v/>
      </c>
      <c r="EN112" s="248" t="str">
        <f aca="false">IF(BR112=0,"",SQRT(12*CC112)+25)</f>
        <v/>
      </c>
      <c r="EO112" s="248" t="str">
        <f aca="false">IF(BR112=0,"",28.5+0.25*CC112)</f>
        <v/>
      </c>
      <c r="EP112" s="248" t="str">
        <f aca="false">IF(BR112=0,"",SQRT(20*CC112)+15)</f>
        <v/>
      </c>
      <c r="EQ112" s="248" t="str">
        <f aca="false">IF(BR112=0,"",23.7+0.57*CC112-0.0006*CC112*CC112)</f>
        <v/>
      </c>
      <c r="ER112" s="248" t="str">
        <f aca="false">IF(BR112=0,"",15+SQRT(12.5*DC112))</f>
        <v/>
      </c>
      <c r="ES112" s="248" t="str">
        <f aca="false">IF(BR112=0,"",3.5*SQRT(CC112)+20)</f>
        <v/>
      </c>
      <c r="ET112" s="248" t="str">
        <f aca="false">IF(BR112=0,"",27.1+0.3*DC112-0.00054*DC112*DC112)</f>
        <v/>
      </c>
      <c r="EU112" s="248" t="str">
        <f aca="false">IF(BR112=0,"",SQRT(20*CC112)+20)</f>
        <v/>
      </c>
      <c r="EV112" s="248" t="str">
        <f aca="false">IF(BR112=0,"",12.79+SQRT(25.86*CC112))</f>
        <v/>
      </c>
      <c r="EW112" s="248" t="str">
        <f aca="false">IF(BR112=0,"",DEGREES(_xlfn.ACOT((CC112/(12.2+20.3*CR112))^0.34)))</f>
        <v/>
      </c>
      <c r="EX112" s="248" t="str">
        <f aca="false">IF(BR112=0,"",24+(5.77*LN(0.17*DC112)))</f>
        <v/>
      </c>
      <c r="EY112" s="248" t="str">
        <f aca="false">IF(BR112=0,"",(SUM(EN112:EX112)-MIN(EN112:EX112)-MAX(EN112:EX112))/9)</f>
        <v/>
      </c>
      <c r="EZ112" s="248" t="str">
        <f aca="false">IF(BR112=0,"", -0.0000000034*CC112^6 + 0.0000008305*CC112^5 - 0.0000741842*CC112^4 + 0.0030204278*CC112^3 - 0.0541594733*CC112^2 + 0.8083147848*CC112 - 0.6182191243)</f>
        <v/>
      </c>
      <c r="FA112" s="249" t="str">
        <f aca="false">IF(BR112=0,"",(0.134811827956989*CC112 - 0.0383064516129019)/2)</f>
        <v/>
      </c>
      <c r="FB112" s="249" t="str">
        <f aca="false">IF(BR112=0,"",CC112*0.065)</f>
        <v/>
      </c>
      <c r="FC112" s="249" t="str">
        <f aca="false">IF(BR112=0,"",(CC112*0.12*0.48)*SQRT((1+SIN(EZ112*((2*PI())/360))/(1-SIN(EZ112*((2*PI())/360))))))</f>
        <v/>
      </c>
      <c r="FD112" s="249" t="str">
        <f aca="false">IF(BR112=0,"",(CC112/8)/2)</f>
        <v/>
      </c>
      <c r="FE112" s="249" t="str">
        <f aca="false">IF(BR112=0,"",(SUM(FA112:FD112)-MIN(FA112:FD112)-MAX(FA112:FD112))/2)</f>
        <v/>
      </c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</row>
    <row r="113" customFormat="false" ht="9.75" hidden="false" customHeight="true" outlineLevel="0" collapsed="false">
      <c r="A113" s="197" t="n">
        <f aca="false">ROUND(A112+0.1,1)</f>
        <v>9.6</v>
      </c>
      <c r="B113" s="250" t="n">
        <f aca="false">+A113</f>
        <v>9.6</v>
      </c>
      <c r="C113" s="251"/>
      <c r="D113" s="275"/>
      <c r="E113" s="252"/>
      <c r="F113" s="253"/>
      <c r="G113" s="254"/>
      <c r="H113" s="284"/>
      <c r="I113" s="285"/>
      <c r="J113" s="257"/>
      <c r="K113" s="258"/>
      <c r="L113" s="259"/>
      <c r="M113" s="313"/>
      <c r="N113" s="316"/>
      <c r="O113" s="317"/>
      <c r="P113" s="317"/>
      <c r="Q113" s="293"/>
      <c r="R113" s="314"/>
      <c r="S113" s="315"/>
      <c r="T113" s="295"/>
      <c r="U113" s="295"/>
      <c r="V113" s="296"/>
      <c r="W113" s="296"/>
      <c r="X113" s="296"/>
      <c r="Y113" s="296"/>
      <c r="Z113" s="296"/>
      <c r="AA113" s="296"/>
      <c r="AB113" s="297"/>
      <c r="AC113" s="298"/>
      <c r="AD113" s="299"/>
      <c r="AE113" s="298"/>
      <c r="AF113" s="300"/>
      <c r="AG113" s="267"/>
      <c r="AH113" s="267"/>
      <c r="AI113" s="241"/>
      <c r="AJ113" s="241"/>
      <c r="AK113" s="266"/>
      <c r="AL113" s="266"/>
      <c r="AM113" s="268"/>
      <c r="AN113" s="250" t="n">
        <f aca="false">+AN111+0.2</f>
        <v>9.6</v>
      </c>
      <c r="AO113" s="251"/>
      <c r="AP113" s="275"/>
      <c r="AQ113" s="252"/>
      <c r="AR113" s="253"/>
      <c r="AS113" s="269" t="s">
        <v>13</v>
      </c>
      <c r="AT113" s="221"/>
      <c r="AU113" s="269"/>
      <c r="AV113" s="269"/>
      <c r="AW113" s="270" t="n">
        <f aca="false">+K113+L113</f>
        <v>0</v>
      </c>
      <c r="AX113" s="270" t="str">
        <f aca="false">IF(AS113="&gt;50","CONSISTENCIA",IF(AS113="&lt;50","COMPACIDAD"," "))</f>
        <v>COMPACIDAD</v>
      </c>
      <c r="AY113" s="225" t="str">
        <f aca="false">IF(AS113="&gt;50",AZ113,IF(AS113="&lt;50",BA113," "))</f>
        <v> </v>
      </c>
      <c r="AZ113" s="224" t="str">
        <f aca="false">IF(AW113=" "," ",IF(CC113=""," ",IF(CC113&lt;2,"MUY BLANDA",IF(CC113=2,"MUY BLANDA A BLANDA",IF(CC113&lt;4,"BLANDA",IF(CC113=4,"BLANDA A MEDIA",IF(CC113&lt;8,"MEDIA",IF(CC113=8,"MEDIA A FIRME",IF(CC113&lt;15,"FIRME",IF(CC113=15,"FIRME A MUY FIRME",IF(CC113&lt;30,"MUY FIRME",IF(CC113=30,"MUY FIRME A DURA","DURA"))))))))))))</f>
        <v> </v>
      </c>
      <c r="BA113" s="225" t="str">
        <f aca="false">IF(AW113=" "," ",IF(DC113=""," ",IF(DC113&lt;4,"MUY SUELTA",IF(DC113=4,"MUY SUELTA A SUELTA",IF(DC113&lt;10,"SUELTA",IF(DC113=10,"SUELTA A MEDIA",IF(DC113&lt;30,"MEDIA",IF(DC113=30,"MEDIA A DENSO",IF(DC113&lt;50,"DENSO",IF(DC113=50,"DENSO MUY DENSO","MUY DENSO"))))))))))</f>
        <v> </v>
      </c>
      <c r="BB113" s="226" t="str">
        <f aca="false">IF(BR114=0,"",CQ114*0.0101972)</f>
        <v/>
      </c>
      <c r="BC113" s="227" t="n">
        <f aca="false">+BC112+0.1</f>
        <v>9.59999999999998</v>
      </c>
      <c r="BD113" s="227" t="str">
        <f aca="false">IF(BC113&lt;=$AN$10,BC113,"")</f>
        <v/>
      </c>
      <c r="BE113" s="228" t="n">
        <f aca="false">ISNUMBER(BD113)</f>
        <v>0</v>
      </c>
      <c r="BF113" s="229" t="str">
        <f aca="false">MID(M113,1,1)</f>
        <v/>
      </c>
      <c r="BG113" s="230" t="str">
        <f aca="false">IF(BF113="S","",IF(BF113="G","",MID(M113,2,1)))</f>
        <v/>
      </c>
      <c r="BH113" s="231" t="str">
        <f aca="false">CONCATENATE(BF113,BG113)</f>
        <v/>
      </c>
      <c r="BI113" s="6" t="str">
        <f aca="false">IF(BE113=FALSE(),"",IF(BH113="",BI112,BH113))</f>
        <v/>
      </c>
      <c r="BJ113" s="74" t="str">
        <f aca="false">IF(OR(BI113="S",BI113="G"),BI113,"X")</f>
        <v>X</v>
      </c>
      <c r="BK113" s="74" t="s">
        <v>273</v>
      </c>
      <c r="BL113" s="6" t="e">
        <f aca="false">INDEX(sim_0,MATCH($BJ$113,granular,0))</f>
        <v>#NAME?</v>
      </c>
      <c r="BM113" s="6"/>
      <c r="BN113" s="6"/>
      <c r="BO113" s="191" t="n">
        <f aca="false">BO112+0.1</f>
        <v>9.59999999999998</v>
      </c>
      <c r="BP113" s="233" t="e">
        <f aca="false">IF(AW113=0,NA(),IF(AS113=$AX$3,ROUND(DC113,0),NA()))</f>
        <v>#N/A</v>
      </c>
      <c r="BQ113" s="31" t="e">
        <f aca="false">IF(AW113=0,NA(),IF(AS113=$AX$4,ROUND(CC113,0),NA()))</f>
        <v>#N/A</v>
      </c>
      <c r="BR113" s="234" t="n">
        <f aca="false">+AW113</f>
        <v>0</v>
      </c>
      <c r="BS113" s="235" t="str">
        <f aca="false">IF(BR113=0,"", -0.00000000016128755327*CC113^6 + 0.00000006709386362421*CC113^5 - 0.0000106217678052217*CC113^4 + 0.00081068114193385*CC113^3 - 0.0314027378159951*CC113^2 + 0.649796593937842*CC113 + 13.7888866455022)</f>
        <v/>
      </c>
      <c r="BT113" s="235" t="str">
        <f aca="false">IF(BR113=0,"",-0.00000000014625939695*CC113^6 + 0.00000004971732060241*CC113^5 - 0.000006683744342031*CC113^4 + 0.0004563177378098*CC113^3 - 0.0171727530635803*CC113^2 + 0.444529932876435*CC113 + 15.6692518940565)</f>
        <v/>
      </c>
      <c r="BU113" s="236" t="str">
        <f aca="false">IF(BR113=0,"", -0.0000000008152265738*BR113^6 + 0.00000022764320256987*BR113^5 - 0.0000248205675927705*BR113^4 + 0.00133186623684865*BR113^3 - 0.0368442570441677*BR113^2 + 0.580111565569094*BR113 + 14.0417598296107)</f>
        <v/>
      </c>
      <c r="BV113" s="236" t="str">
        <f aca="false">IF(BR113=0,"", -0.00000000004321395721*BR113^6 + 0.00000002531844275498*BR113^5 - 0.00000369428022780862*BR113^4 + 0.00020283665900125*BR113^3 - 0.00462426256803268*BR113^2 + 0.139572935065453*BR113 + 15.4475338156923)</f>
        <v/>
      </c>
      <c r="BW113" s="236" t="str">
        <f aca="false">IF(BR113=0,"",-0.00000000033126390082*BR113^6 + 0.00000010463660614506*BR113^5 - 0.0000129629592998707*BR113^4 + 0.000803946335250767*BR113^3 - 0.0270257140395994*BR113^2 + 0.562590210721552*BR113+ 12.1254107606419)</f>
        <v/>
      </c>
      <c r="BX113" s="236" t="str">
        <f aca="false">IF(BR113=0,"",-0.00000000002593504955*BR113^6 + 0.00000002430495156704*BR113^5 - 0.00000386103271086364*BR113^4 + 0.000214416118986322*BR113^3 - 0.0047271462612021*BR113^2 + 0.156696175741135*BR113 + 15.4598891949502)</f>
        <v/>
      </c>
      <c r="BY113" s="234" t="str">
        <f aca="false">IF(BR113=0,"",$BS$2)</f>
        <v/>
      </c>
      <c r="BZ113" s="234" t="str">
        <f aca="false">IF(BR113=0,"",$BS$3)</f>
        <v/>
      </c>
      <c r="CA113" s="234" t="str">
        <f aca="false">IF(BR113=0,"",$BS$4)</f>
        <v/>
      </c>
      <c r="CB113" s="235" t="str">
        <f aca="false">IF(BR113=0,"",IF(AND(BO113&gt;=0,BO113&lt;4),0.75,IF(AND(BO113&gt;=4,BO113&lt;6),0.85,IF(AND(BO113&gt;=6,BO113&lt;=10),0.95,1))))</f>
        <v/>
      </c>
      <c r="CC113" s="234" t="str">
        <f aca="false">IF(BR113=0,"",BR113*BY113*BZ113*CA113*CB113/60)</f>
        <v/>
      </c>
      <c r="CD113" s="238" t="str">
        <f aca="false">IF(BR113=0,"",IF($S$12="NO","NO",IF($AD$12&lt;=BO113,"SI","NO")))</f>
        <v/>
      </c>
      <c r="CE113" s="235" t="n">
        <f aca="false">IF(BR113=0,0,AB113)</f>
        <v>0</v>
      </c>
      <c r="CF113" s="235" t="n">
        <f aca="false">IF(CE113&gt;0,BO113,0)</f>
        <v>0</v>
      </c>
      <c r="CG113" s="239" t="n">
        <f aca="false">IF(CF113=0,CF113+CG112,CF113)</f>
        <v>0</v>
      </c>
      <c r="CH113" s="239" t="n">
        <f aca="false">IF(CG113=CG112,CH112,ABS(CG113-CG112))</f>
        <v>0</v>
      </c>
      <c r="CI113" s="239" t="n">
        <f aca="false">+CE113*CH113</f>
        <v>0</v>
      </c>
      <c r="CJ113" s="239" t="n">
        <f aca="false">IF(CI113=0,CI113+CJ112,CI113)</f>
        <v>0</v>
      </c>
      <c r="CK113" s="239" t="n">
        <f aca="false">IF(CJ113=CJ112,CK112,ABS(CJ113+CK112))</f>
        <v>0</v>
      </c>
      <c r="CL113" s="241" t="n">
        <f aca="false">IF(CE113=0,0,CK113)</f>
        <v>0</v>
      </c>
      <c r="CM113" s="239" t="n">
        <f aca="false">IF(CE113=0,0,CH113*9.81)</f>
        <v>0</v>
      </c>
      <c r="CN113" s="239" t="n">
        <f aca="false">IF(CM113=0,CM113+CN112,CM113)</f>
        <v>0</v>
      </c>
      <c r="CO113" s="239" t="n">
        <f aca="false">IF(CN113=CN112,CO112,ABS(CN113+CO112))</f>
        <v>0</v>
      </c>
      <c r="CP113" s="241" t="n">
        <f aca="false">IF(CD113="NO",0,IF(CE113=0,0,CO113))</f>
        <v>0</v>
      </c>
      <c r="CQ113" s="244" t="str">
        <f aca="false">IF(BR113=0,"",CL113-CP113)</f>
        <v/>
      </c>
      <c r="CR113" s="244" t="str">
        <f aca="false">IF(BR113=0,"",CQ113/101.3)</f>
        <v/>
      </c>
      <c r="CS113" s="244" t="str">
        <f aca="false">IF(BR113=0,"",LOG(10/CR113))</f>
        <v/>
      </c>
      <c r="CT113" s="243" t="str">
        <f aca="false">IF(BR113=0,"",IF(SQRT(101.3/CQ113)&lt;=1.7,SQRT(101.3/CQ113),2.2/(1.2+(CQ113/101.3))))</f>
        <v/>
      </c>
      <c r="CU113" s="244" t="str">
        <f aca="false">IF(BR113=0,"",1.7/(0.7+CR113))</f>
        <v/>
      </c>
      <c r="CV113" s="244" t="str">
        <f aca="false">IF(BR113=0,"",IF(CR113&gt;=0.25,0.77*LOG(20/CR113),""))</f>
        <v/>
      </c>
      <c r="CW113" s="244" t="str">
        <f aca="false">IF(BR113=0,"",32.5/(10.2+20.3*CR113))</f>
        <v/>
      </c>
      <c r="CX113" s="244" t="str">
        <f aca="false">IF(BR113=0,"",1-1.25*LOG(CR113))</f>
        <v/>
      </c>
      <c r="CY113" s="244" t="str">
        <f aca="false">IF(BR113=0,"",IF(CR113&lt;1,1-1.41*LOG(CR113),1+0.92*LOG(CR113)))</f>
        <v/>
      </c>
      <c r="CZ113" s="244" t="str">
        <f aca="false">IF(BR113=0,"",2/(1+CR113))</f>
        <v/>
      </c>
      <c r="DA113" s="244" t="str">
        <f aca="false">IF(BR113=0,"",IF(CR113&lt;=0.75,4/(1+4*CR113),4/(3.25+CR113)))</f>
        <v/>
      </c>
      <c r="DB113" s="244" t="str">
        <f aca="false">IF(BR113=0,"",CT113)</f>
        <v/>
      </c>
      <c r="DC113" s="244" t="str">
        <f aca="false">IF(BR113=0,"",DB113*CC113)</f>
        <v/>
      </c>
      <c r="DD113" s="244"/>
      <c r="DE113" s="244" t="str">
        <f aca="false">IF(BR113=0,"",0.193*(CC113/(CQ113*0.001))^0.689)</f>
        <v/>
      </c>
      <c r="DF113" s="244" t="str">
        <f aca="false">IF(BR113=0,"",IF(AS113=$AX$4,(0.1348118*CC113 - 0.0383065)*98.0665,""))</f>
        <v/>
      </c>
      <c r="DG113" s="244" t="str">
        <f aca="false">IF(BR113=0,"",IF(AS113=$AX$4,DF113/2,""))</f>
        <v/>
      </c>
      <c r="DH113" s="244" t="str">
        <f aca="false">IF(BR113=0,"",IF(DC113&lt;=15,12*(DC113+6),40+12*(DC113-6)))</f>
        <v/>
      </c>
      <c r="DI113" s="244" t="str">
        <f aca="false">IF(BR113=0,"",IF(CD113="SI",5*(DC113+15),((3.3*(DC113+15))+(4*(DC113+12)))/2))</f>
        <v/>
      </c>
      <c r="DJ113" s="244" t="str">
        <f aca="false">IF(BR113=0,"",8*DC113)</f>
        <v/>
      </c>
      <c r="DK113" s="244" t="str">
        <f aca="false">IF(BR113=0,"",215+(10.6*DC113))</f>
        <v/>
      </c>
      <c r="DL113" s="244" t="str">
        <f aca="false">IF(BR113=0,"",10*(7.5+(0.5*DC113)))</f>
        <v/>
      </c>
      <c r="DM113" s="244" t="str">
        <f aca="false">IF(BR113=0,"",8*DC113)</f>
        <v/>
      </c>
      <c r="DN113" s="244" t="str">
        <f aca="false">IF(AW113=" "," ",IF(DC113=""," ",IF(DC113&lt;4,10*10.2,IF(DC113=4,12*10.2,IF(DC113&lt;10,17.5*10.5,IF(DC113=10,15*10.2,IF(DC113&lt;30,22.5*10.2,IF(DC113=30,35*10.2,IF(DC113&lt;50,40*10.2,IF(DC113=50,50*10.2,55*10.2))))))))))</f>
        <v> </v>
      </c>
      <c r="DO113" s="244" t="str">
        <f aca="false">IF(BR113=0,"",7*SQRT(DC113)*10.1972)</f>
        <v/>
      </c>
      <c r="DP113" s="244" t="str">
        <f aca="false">IF(BR113=0,"",IF(AS113=$AX$4,5*CC113,""))</f>
        <v/>
      </c>
      <c r="DQ113" s="244" t="str">
        <f aca="false">IF(AW113=" "," ",IF(DC113=""," ",IF(DC113&lt;2,4*10.2,IF(DC113=2,6*10.2,IF(DC113&lt;4,12*10.2,IF(DC113=4,20*10.2,IF(DC113&lt;8,30*10.2,IF(DC113=8,35*10.2,IF(DC113&lt;15,40*10.2,IF(DC113=15,42*10.2,IF(DC113&lt;30,45*10.2,IF(DC113=30,50*10.2,70*10.2))))))))))))</f>
        <v> </v>
      </c>
      <c r="DR113" s="244" t="str">
        <f aca="false">IF(BR113=0,"",IF(AS113=$AX$4,220*DP113*0.0101972,""))</f>
        <v/>
      </c>
      <c r="DS113" s="271" t="str">
        <f aca="false">IF(BR113=0,"",IF(AS113=$AX$7,(SUM(DH113:DO113)-MIN(DH113:DO113)-MAX(DH113:DO113))/6,(SUM(DO113:DR113)-MIN(DO113:DR113)-MAX(DO113:DR113))/2))</f>
        <v/>
      </c>
      <c r="DT113" s="244" t="str">
        <f aca="false">IF(AW113=" "," ",IF(DC113=""," ",IF(DC113&lt;4,0.2,IF(DC113=4,0.27,IF(DC113&lt;10,0.33,IF(DC113=10,0.35,IF(DC113&lt;30,0.36,IF(DC113=30,0.37,IF(DC113&lt;50,0.38,IF(DC113=50,0.4,0.45))))))))))</f>
        <v> </v>
      </c>
      <c r="DU113" s="272" t="str">
        <f aca="false">IF(AW113=" "," ",IF(CC113=""," ",IF(CC113&lt;2,0.2,IF(CC113=2,0.23,IF(CC113&lt;4,0.26,IF(CC113=4,0.29,IF(CC113&lt;8,0.32,IF(CC113=8,0.35,IF(CC113&lt;15,0.38,IF(CC113=15,0.41,IF(CC113&lt;30,0.44,IF(CC113=30,0.47,0.5))))))))))))</f>
        <v> </v>
      </c>
      <c r="DV113" s="244" t="str">
        <f aca="false">IF(BR113=0,"",IF(AS113=$AX$3,DT113,DU113))</f>
        <v/>
      </c>
      <c r="DW113" s="244" t="str">
        <f aca="false">IF(BR113=0,"",IF(DC113&gt;15,15+0.5*(DC113-15),DC113))</f>
        <v/>
      </c>
      <c r="DX113" s="244" t="str">
        <f aca="false">IF(BR113=0,"",IF($S$12="SI",IF(CD113="NO",IF($AD$12&gt;(BO113+1.5*$ED$15),1,0.5),0.5),1))</f>
        <v/>
      </c>
      <c r="DY113" s="244" t="str">
        <f aca="false">IF(BR113=0,"",IF($S$12="SI",IF(CD113="NO",IF($AD$12&gt;(BO113+1.5*$EE$15),1,0.5),0.5),1))</f>
        <v/>
      </c>
      <c r="DZ113" s="244" t="str">
        <f aca="false">IF(BR113=0,"",IF($S$12="SI",IF(CD113="NO",IF($AD$12&gt;(BO113+1.5*$EF$15),1,0.5),0.5),1))</f>
        <v/>
      </c>
      <c r="EA113" s="244" t="str">
        <f aca="false">IF(BR113=0,"",IF($S$12="SI",IF(CD113="NO",IF($AD$12&gt;(BO113+1.5*$ED$15),1,0.5),IF($AD$12=BO113,1,0.5)),1))</f>
        <v/>
      </c>
      <c r="EB113" s="244" t="str">
        <f aca="false">IF(BR113=0,"",IF($S$12="SI",IF(CD113="NO",IF($AD$12&gt;(BO113+1.5*$EE$15),1,0.5),IF($AD$12=BO113,1,0.5)),1))</f>
        <v/>
      </c>
      <c r="EC113" s="244" t="str">
        <f aca="false">IF(BR113=0,"",IF($S$12="SI",IF(CD113="NO",IF($AD$12&gt;(BO113+1.5*$EF$15),1,0.5),IF($AD$12=BO113,1,0.5)),1))</f>
        <v/>
      </c>
      <c r="ED113" s="244" t="str">
        <f aca="false">IF(BR113=0,"",(DW113*($ED$15/10)*(DX113+EA113*(BO113/$ED$15))*1)/3)</f>
        <v/>
      </c>
      <c r="EE113" s="244" t="str">
        <f aca="false">IF(BR113=0,"",(DW113*($EE$15/10)*(DY113+EB113*(BO113/$EE$15))*1)/3)</f>
        <v/>
      </c>
      <c r="EF113" s="244" t="str">
        <f aca="false">IF(BR113=0,"",(DW113*($EF$15/10)*(DZ113+EC113*(BO113/$EF$15))*1)/3)</f>
        <v/>
      </c>
      <c r="EG113" s="273" t="str">
        <f aca="false">IF(BR113=0,"",IF(CD113="SI",0.5,1))</f>
        <v/>
      </c>
      <c r="EH113" s="244" t="str">
        <f aca="false">IF(BR113=0,"",IF((1+0.33*(BO113/$ED$15))&lt;=1.33,(1+0.33*(BO113/$ED$15)),1.33))</f>
        <v/>
      </c>
      <c r="EI113" s="244" t="str">
        <f aca="false">IF(BR113=0,"",IF((1+0.33*(BO113/$EE$15))&lt;=1.33,(1+0.33*(BO113/$EE$15)),1.33))</f>
        <v/>
      </c>
      <c r="EJ113" s="244" t="str">
        <f aca="false">IF(BR113=0,"",IF((1+0.33*(BO113/$EF$15))&lt;=1.33,(1+0.33*(BO113/$EF$15)),1.33))</f>
        <v/>
      </c>
      <c r="EK113" s="244" t="str">
        <f aca="false">IF(BR113=0,"",IF($ED$15&lt;=1.2,((20*DC113*EG113*EH113)/3)*0.010197,((12.5*DC113*((($ED$15+0.3)^2)/$ED$15)*EG113*EH113)/3)*0.010197))</f>
        <v/>
      </c>
      <c r="EL113" s="244" t="str">
        <f aca="false">IF(BR113=0,"",IF($EE$15&lt;=1.2,((20*DC113*EG113*EI113)/3)*0.010197,((12.5*DC113*((($EE$15+0.3)^2)/$EE$15)*EG113*EI113)/3)*0.010197))</f>
        <v/>
      </c>
      <c r="EM113" s="244" t="str">
        <f aca="false">IF(BR113=0,"",IF($EF$15&lt;=1.2,((20*DC113*EG113*EJ113)/3)*0.010197,((12.5*DC113*((($EF$15+0.3)^2)/$EF$15)*EG113*EJ113)/3)*0.010197))</f>
        <v/>
      </c>
      <c r="EN113" s="248" t="str">
        <f aca="false">IF(BR113=0,"",SQRT(12*CC113)+25)</f>
        <v/>
      </c>
      <c r="EO113" s="248" t="str">
        <f aca="false">IF(BR113=0,"",28.5+0.25*CC113)</f>
        <v/>
      </c>
      <c r="EP113" s="248" t="str">
        <f aca="false">IF(BR113=0,"",SQRT(20*CC113)+15)</f>
        <v/>
      </c>
      <c r="EQ113" s="248" t="str">
        <f aca="false">IF(BR113=0,"",23.7+0.57*CC113-0.0006*CC113*CC113)</f>
        <v/>
      </c>
      <c r="ER113" s="248" t="str">
        <f aca="false">IF(BR113=0,"",15+SQRT(12.5*DC113))</f>
        <v/>
      </c>
      <c r="ES113" s="248" t="str">
        <f aca="false">IF(BR113=0,"",3.5*SQRT(CC113)+20)</f>
        <v/>
      </c>
      <c r="ET113" s="248" t="str">
        <f aca="false">IF(BR113=0,"",27.1+0.3*DC113-0.00054*DC113*DC113)</f>
        <v/>
      </c>
      <c r="EU113" s="248" t="str">
        <f aca="false">IF(BR113=0,"",SQRT(20*CC113)+20)</f>
        <v/>
      </c>
      <c r="EV113" s="248" t="str">
        <f aca="false">IF(BR113=0,"",12.79+SQRT(25.86*CC113))</f>
        <v/>
      </c>
      <c r="EW113" s="248" t="str">
        <f aca="false">IF(BR113=0,"",DEGREES(_xlfn.ACOT((CC113/(12.2+20.3*CR113))^0.34)))</f>
        <v/>
      </c>
      <c r="EX113" s="248" t="str">
        <f aca="false">IF(BR113=0,"",24+(5.77*LN(0.17*DC113)))</f>
        <v/>
      </c>
      <c r="EY113" s="248" t="str">
        <f aca="false">IF(BR113=0,"",(SUM(EN113:EX113)-MIN(EN113:EX113)-MAX(EN113:EX113))/9)</f>
        <v/>
      </c>
      <c r="EZ113" s="248" t="str">
        <f aca="false">IF(BR113=0,"", -0.0000000034*CC113^6 + 0.0000008305*CC113^5 - 0.0000741842*CC113^4 + 0.0030204278*CC113^3 - 0.0541594733*CC113^2 + 0.8083147848*CC113 - 0.6182191243)</f>
        <v/>
      </c>
      <c r="FA113" s="249" t="str">
        <f aca="false">IF(BR113=0,"",(0.134811827956989*CC113 - 0.0383064516129019)/2)</f>
        <v/>
      </c>
      <c r="FB113" s="249" t="str">
        <f aca="false">IF(BR113=0,"",CC113*0.065)</f>
        <v/>
      </c>
      <c r="FC113" s="249" t="str">
        <f aca="false">IF(BR113=0,"",(CC113*0.12*0.48)*SQRT((1+SIN(EZ113*((2*PI())/360))/(1-SIN(EZ113*((2*PI())/360))))))</f>
        <v/>
      </c>
      <c r="FD113" s="249" t="str">
        <f aca="false">IF(BR113=0,"",(CC113/8)/2)</f>
        <v/>
      </c>
      <c r="FE113" s="249" t="str">
        <f aca="false">IF(BR113=0,"",(SUM(FA113:FD113)-MIN(FA113:FD113)-MAX(FA113:FD113))/2)</f>
        <v/>
      </c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</row>
    <row r="114" customFormat="false" ht="9.75" hidden="false" customHeight="true" outlineLevel="0" collapsed="false">
      <c r="A114" s="197" t="n">
        <f aca="false">ROUND(A113+0.1,1)</f>
        <v>9.7</v>
      </c>
      <c r="B114" s="250"/>
      <c r="C114" s="251"/>
      <c r="D114" s="251"/>
      <c r="E114" s="199"/>
      <c r="F114" s="200"/>
      <c r="G114" s="254"/>
      <c r="H114" s="284"/>
      <c r="I114" s="285"/>
      <c r="J114" s="257"/>
      <c r="K114" s="258"/>
      <c r="L114" s="259"/>
      <c r="M114" s="313"/>
      <c r="N114" s="316"/>
      <c r="O114" s="317"/>
      <c r="P114" s="317"/>
      <c r="Q114" s="293"/>
      <c r="R114" s="314"/>
      <c r="S114" s="315"/>
      <c r="T114" s="295"/>
      <c r="U114" s="295"/>
      <c r="V114" s="296"/>
      <c r="W114" s="296"/>
      <c r="X114" s="296"/>
      <c r="Y114" s="296"/>
      <c r="Z114" s="296"/>
      <c r="AA114" s="296"/>
      <c r="AB114" s="297"/>
      <c r="AC114" s="298"/>
      <c r="AD114" s="299"/>
      <c r="AE114" s="298"/>
      <c r="AF114" s="300"/>
      <c r="AG114" s="267"/>
      <c r="AH114" s="267"/>
      <c r="AI114" s="241"/>
      <c r="AJ114" s="241"/>
      <c r="AK114" s="266"/>
      <c r="AL114" s="266"/>
      <c r="AM114" s="268"/>
      <c r="AN114" s="250"/>
      <c r="AO114" s="251"/>
      <c r="AP114" s="251"/>
      <c r="AQ114" s="199"/>
      <c r="AR114" s="200"/>
      <c r="AS114" s="269" t="s">
        <v>13</v>
      </c>
      <c r="AT114" s="221"/>
      <c r="AU114" s="269"/>
      <c r="AV114" s="269"/>
      <c r="AW114" s="270" t="n">
        <f aca="false">+K114+L114</f>
        <v>0</v>
      </c>
      <c r="AX114" s="270" t="str">
        <f aca="false">IF(AS114="&gt;50","CONSISTENCIA",IF(AS114="&lt;50","COMPACIDAD"," "))</f>
        <v>COMPACIDAD</v>
      </c>
      <c r="AY114" s="225" t="str">
        <f aca="false">IF(AS114="&gt;50",AZ114,IF(AS114="&lt;50",BA114," "))</f>
        <v> </v>
      </c>
      <c r="AZ114" s="224" t="str">
        <f aca="false">IF(AW114=" "," ",IF(CC114=""," ",IF(CC114&lt;2,"MUY BLANDA",IF(CC114=2,"MUY BLANDA A BLANDA",IF(CC114&lt;4,"BLANDA",IF(CC114=4,"BLANDA A MEDIA",IF(CC114&lt;8,"MEDIA",IF(CC114=8,"MEDIA A FIRME",IF(CC114&lt;15,"FIRME",IF(CC114=15,"FIRME A MUY FIRME",IF(CC114&lt;30,"MUY FIRME",IF(CC114=30,"MUY FIRME A DURA","DURA"))))))))))))</f>
        <v> </v>
      </c>
      <c r="BA114" s="225" t="str">
        <f aca="false">IF(AW114=" "," ",IF(DC114=""," ",IF(DC114&lt;4,"MUY SUELTA",IF(DC114=4,"MUY SUELTA A SUELTA",IF(DC114&lt;10,"SUELTA",IF(DC114=10,"SUELTA A MEDIA",IF(DC114&lt;30,"MEDIA",IF(DC114=30,"MEDIA A DENSO",IF(DC114&lt;50,"DENSO",IF(DC114=50,"DENSO MUY DENSO","MUY DENSO"))))))))))</f>
        <v> </v>
      </c>
      <c r="BB114" s="226" t="str">
        <f aca="false">IF(BR115=0,"",CQ115*0.0101972)</f>
        <v/>
      </c>
      <c r="BC114" s="227" t="n">
        <f aca="false">+BC113+0.1</f>
        <v>9.69999999999998</v>
      </c>
      <c r="BD114" s="227" t="str">
        <f aca="false">IF(BC114&lt;=$AN$10,BC114,"")</f>
        <v/>
      </c>
      <c r="BE114" s="228" t="n">
        <f aca="false">ISNUMBER(BD114)</f>
        <v>0</v>
      </c>
      <c r="BF114" s="229" t="str">
        <f aca="false">MID(M114,1,1)</f>
        <v/>
      </c>
      <c r="BG114" s="230" t="str">
        <f aca="false">IF(BF114="S","",IF(BF114="G","",MID(M114,2,1)))</f>
        <v/>
      </c>
      <c r="BH114" s="231" t="str">
        <f aca="false">CONCATENATE(BF114,BG114)</f>
        <v/>
      </c>
      <c r="BI114" s="6" t="str">
        <f aca="false">IF(BE114=FALSE(),"",IF(BH114="",BI113,BH114))</f>
        <v/>
      </c>
      <c r="BJ114" s="74" t="str">
        <f aca="false">IF(OR(BI114="S",BI114="G"),BI114,"X")</f>
        <v>X</v>
      </c>
      <c r="BK114" s="74" t="s">
        <v>274</v>
      </c>
      <c r="BL114" s="6" t="e">
        <f aca="false">INDEX(sim_0,MATCH($BJ$114,granular,0))</f>
        <v>#NAME?</v>
      </c>
      <c r="BM114" s="6"/>
      <c r="BN114" s="6"/>
      <c r="BO114" s="191" t="n">
        <f aca="false">BO113+0.1</f>
        <v>9.69999999999998</v>
      </c>
      <c r="BP114" s="233" t="e">
        <f aca="false">IF(AW114=0,NA(),IF(AS114=$AX$3,ROUND(DC114,0),NA()))</f>
        <v>#N/A</v>
      </c>
      <c r="BQ114" s="31" t="e">
        <f aca="false">IF(AW114=0,NA(),IF(AS114=$AX$4,ROUND(CC114,0),NA()))</f>
        <v>#N/A</v>
      </c>
      <c r="BR114" s="234" t="n">
        <f aca="false">+AW114</f>
        <v>0</v>
      </c>
      <c r="BS114" s="235" t="str">
        <f aca="false">IF(BR114=0,"", -0.00000000016128755327*CC114^6 + 0.00000006709386362421*CC114^5 - 0.0000106217678052217*CC114^4 + 0.00081068114193385*CC114^3 - 0.0314027378159951*CC114^2 + 0.649796593937842*CC114 + 13.7888866455022)</f>
        <v/>
      </c>
      <c r="BT114" s="235" t="str">
        <f aca="false">IF(BR114=0,"",-0.00000000014625939695*CC114^6 + 0.00000004971732060241*CC114^5 - 0.000006683744342031*CC114^4 + 0.0004563177378098*CC114^3 - 0.0171727530635803*CC114^2 + 0.444529932876435*CC114 + 15.6692518940565)</f>
        <v/>
      </c>
      <c r="BU114" s="236" t="str">
        <f aca="false">IF(BR114=0,"", -0.0000000008152265738*BR114^6 + 0.00000022764320256987*BR114^5 - 0.0000248205675927705*BR114^4 + 0.00133186623684865*BR114^3 - 0.0368442570441677*BR114^2 + 0.580111565569094*BR114 + 14.0417598296107)</f>
        <v/>
      </c>
      <c r="BV114" s="236" t="str">
        <f aca="false">IF(BR114=0,"", -0.00000000004321395721*BR114^6 + 0.00000002531844275498*BR114^5 - 0.00000369428022780862*BR114^4 + 0.00020283665900125*BR114^3 - 0.00462426256803268*BR114^2 + 0.139572935065453*BR114 + 15.4475338156923)</f>
        <v/>
      </c>
      <c r="BW114" s="236" t="str">
        <f aca="false">IF(BR114=0,"",-0.00000000033126390082*BR114^6 + 0.00000010463660614506*BR114^5 - 0.0000129629592998707*BR114^4 + 0.000803946335250767*BR114^3 - 0.0270257140395994*BR114^2 + 0.562590210721552*BR114+ 12.1254107606419)</f>
        <v/>
      </c>
      <c r="BX114" s="236" t="str">
        <f aca="false">IF(BR114=0,"",-0.00000000002593504955*BR114^6 + 0.00000002430495156704*BR114^5 - 0.00000386103271086364*BR114^4 + 0.000214416118986322*BR114^3 - 0.0047271462612021*BR114^2 + 0.156696175741135*BR114 + 15.4598891949502)</f>
        <v/>
      </c>
      <c r="BY114" s="234" t="str">
        <f aca="false">IF(BR114=0,"",$BS$2)</f>
        <v/>
      </c>
      <c r="BZ114" s="234" t="str">
        <f aca="false">IF(BR114=0,"",$BS$3)</f>
        <v/>
      </c>
      <c r="CA114" s="234" t="str">
        <f aca="false">IF(BR114=0,"",$BS$4)</f>
        <v/>
      </c>
      <c r="CB114" s="235" t="str">
        <f aca="false">IF(BR114=0,"",IF(AND(BO114&gt;=0,BO114&lt;4),0.75,IF(AND(BO114&gt;=4,BO114&lt;6),0.85,IF(AND(BO114&gt;=6,BO114&lt;=10),0.95,1))))</f>
        <v/>
      </c>
      <c r="CC114" s="234" t="str">
        <f aca="false">IF(BR114=0,"",BR114*BY114*BZ114*CA114*CB114/60)</f>
        <v/>
      </c>
      <c r="CD114" s="238" t="str">
        <f aca="false">IF(BR114=0,"",IF($S$12="NO","NO",IF($AD$12&lt;=BO114,"SI","NO")))</f>
        <v/>
      </c>
      <c r="CE114" s="235" t="n">
        <f aca="false">IF(BR114=0,0,AB114)</f>
        <v>0</v>
      </c>
      <c r="CF114" s="235" t="n">
        <f aca="false">IF(CE114&gt;0,BO114,0)</f>
        <v>0</v>
      </c>
      <c r="CG114" s="239" t="n">
        <f aca="false">IF(CF114=0,CF114+CG113,CF114)</f>
        <v>0</v>
      </c>
      <c r="CH114" s="239" t="n">
        <f aca="false">IF(CG114=CG113,CH113,ABS(CG114-CG113))</f>
        <v>0</v>
      </c>
      <c r="CI114" s="239" t="n">
        <f aca="false">+CE114*CH114</f>
        <v>0</v>
      </c>
      <c r="CJ114" s="239" t="n">
        <f aca="false">IF(CI114=0,CI114+CJ113,CI114)</f>
        <v>0</v>
      </c>
      <c r="CK114" s="239" t="n">
        <f aca="false">IF(CJ114=CJ113,CK113,ABS(CJ114+CK113))</f>
        <v>0</v>
      </c>
      <c r="CL114" s="241" t="n">
        <f aca="false">IF(CE114=0,0,CK114)</f>
        <v>0</v>
      </c>
      <c r="CM114" s="239" t="n">
        <f aca="false">IF(CE114=0,0,CH114*9.81)</f>
        <v>0</v>
      </c>
      <c r="CN114" s="239" t="n">
        <f aca="false">IF(CM114=0,CM114+CN113,CM114)</f>
        <v>0</v>
      </c>
      <c r="CO114" s="239" t="n">
        <f aca="false">IF(CN114=CN113,CO113,ABS(CN114+CO113))</f>
        <v>0</v>
      </c>
      <c r="CP114" s="241" t="n">
        <f aca="false">IF(CD114="NO",0,IF(CE114=0,0,CO114))</f>
        <v>0</v>
      </c>
      <c r="CQ114" s="244" t="str">
        <f aca="false">IF(BR114=0,"",CL114-CP114)</f>
        <v/>
      </c>
      <c r="CR114" s="244" t="str">
        <f aca="false">IF(BR114=0,"",CQ114/101.3)</f>
        <v/>
      </c>
      <c r="CS114" s="244" t="str">
        <f aca="false">IF(BR114=0,"",LOG(10/CR114))</f>
        <v/>
      </c>
      <c r="CT114" s="243" t="str">
        <f aca="false">IF(BR114=0,"",IF(SQRT(101.3/CQ114)&lt;=1.7,SQRT(101.3/CQ114),2.2/(1.2+(CQ114/101.3))))</f>
        <v/>
      </c>
      <c r="CU114" s="244" t="str">
        <f aca="false">IF(BR114=0,"",1.7/(0.7+CR114))</f>
        <v/>
      </c>
      <c r="CV114" s="244" t="str">
        <f aca="false">IF(BR114=0,"",IF(CR114&gt;=0.25,0.77*LOG(20/CR114),""))</f>
        <v/>
      </c>
      <c r="CW114" s="244" t="str">
        <f aca="false">IF(BR114=0,"",32.5/(10.2+20.3*CR114))</f>
        <v/>
      </c>
      <c r="CX114" s="244" t="str">
        <f aca="false">IF(BR114=0,"",1-1.25*LOG(CR114))</f>
        <v/>
      </c>
      <c r="CY114" s="244" t="str">
        <f aca="false">IF(BR114=0,"",IF(CR114&lt;1,1-1.41*LOG(CR114),1+0.92*LOG(CR114)))</f>
        <v/>
      </c>
      <c r="CZ114" s="244" t="str">
        <f aca="false">IF(BR114=0,"",2/(1+CR114))</f>
        <v/>
      </c>
      <c r="DA114" s="244" t="str">
        <f aca="false">IF(BR114=0,"",IF(CR114&lt;=0.75,4/(1+4*CR114),4/(3.25+CR114)))</f>
        <v/>
      </c>
      <c r="DB114" s="244" t="str">
        <f aca="false">IF(BR114=0,"",CT114)</f>
        <v/>
      </c>
      <c r="DC114" s="244" t="str">
        <f aca="false">IF(BR114=0,"",DB114*CC114)</f>
        <v/>
      </c>
      <c r="DD114" s="244"/>
      <c r="DE114" s="244" t="str">
        <f aca="false">IF(BR114=0,"",0.193*(CC114/(CQ114*0.001))^0.689)</f>
        <v/>
      </c>
      <c r="DF114" s="244" t="str">
        <f aca="false">IF(BR114=0,"",IF(AS114=$AX$4,(0.1348118*CC114 - 0.0383065)*98.0665,""))</f>
        <v/>
      </c>
      <c r="DG114" s="244" t="str">
        <f aca="false">IF(BR114=0,"",IF(AS114=$AX$4,DF114/2,""))</f>
        <v/>
      </c>
      <c r="DH114" s="244" t="str">
        <f aca="false">IF(BR114=0,"",IF(DC114&lt;=15,12*(DC114+6),40+12*(DC114-6)))</f>
        <v/>
      </c>
      <c r="DI114" s="244" t="str">
        <f aca="false">IF(BR114=0,"",IF(CD114="SI",5*(DC114+15),((3.3*(DC114+15))+(4*(DC114+12)))/2))</f>
        <v/>
      </c>
      <c r="DJ114" s="244" t="str">
        <f aca="false">IF(BR114=0,"",8*DC114)</f>
        <v/>
      </c>
      <c r="DK114" s="244" t="str">
        <f aca="false">IF(BR114=0,"",215+(10.6*DC114))</f>
        <v/>
      </c>
      <c r="DL114" s="244" t="str">
        <f aca="false">IF(BR114=0,"",10*(7.5+(0.5*DC114)))</f>
        <v/>
      </c>
      <c r="DM114" s="244" t="str">
        <f aca="false">IF(BR114=0,"",8*DC114)</f>
        <v/>
      </c>
      <c r="DN114" s="244" t="str">
        <f aca="false">IF(AW114=" "," ",IF(DC114=""," ",IF(DC114&lt;4,10*10.2,IF(DC114=4,12*10.2,IF(DC114&lt;10,17.5*10.5,IF(DC114=10,15*10.2,IF(DC114&lt;30,22.5*10.2,IF(DC114=30,35*10.2,IF(DC114&lt;50,40*10.2,IF(DC114=50,50*10.2,55*10.2))))))))))</f>
        <v> </v>
      </c>
      <c r="DO114" s="244" t="str">
        <f aca="false">IF(BR114=0,"",7*SQRT(DC114)*10.1972)</f>
        <v/>
      </c>
      <c r="DP114" s="244" t="str">
        <f aca="false">IF(BR114=0,"",IF(AS114=$AX$4,5*CC114,""))</f>
        <v/>
      </c>
      <c r="DQ114" s="244" t="str">
        <f aca="false">IF(AW114=" "," ",IF(DC114=""," ",IF(DC114&lt;2,4*10.2,IF(DC114=2,6*10.2,IF(DC114&lt;4,12*10.2,IF(DC114=4,20*10.2,IF(DC114&lt;8,30*10.2,IF(DC114=8,35*10.2,IF(DC114&lt;15,40*10.2,IF(DC114=15,42*10.2,IF(DC114&lt;30,45*10.2,IF(DC114=30,50*10.2,70*10.2))))))))))))</f>
        <v> </v>
      </c>
      <c r="DR114" s="244" t="str">
        <f aca="false">IF(BR114=0,"",IF(AS114=$AX$4,220*DP114*0.0101972,""))</f>
        <v/>
      </c>
      <c r="DS114" s="271" t="str">
        <f aca="false">IF(BR114=0,"",IF(AS114=$AX$7,(SUM(DH114:DO114)-MIN(DH114:DO114)-MAX(DH114:DO114))/6,(SUM(DO114:DR114)-MIN(DO114:DR114)-MAX(DO114:DR114))/2))</f>
        <v/>
      </c>
      <c r="DT114" s="244" t="str">
        <f aca="false">IF(AW114=" "," ",IF(DC114=""," ",IF(DC114&lt;4,0.2,IF(DC114=4,0.27,IF(DC114&lt;10,0.33,IF(DC114=10,0.35,IF(DC114&lt;30,0.36,IF(DC114=30,0.37,IF(DC114&lt;50,0.38,IF(DC114=50,0.4,0.45))))))))))</f>
        <v> </v>
      </c>
      <c r="DU114" s="272" t="str">
        <f aca="false">IF(AW114=" "," ",IF(CC114=""," ",IF(CC114&lt;2,0.2,IF(CC114=2,0.23,IF(CC114&lt;4,0.26,IF(CC114=4,0.29,IF(CC114&lt;8,0.32,IF(CC114=8,0.35,IF(CC114&lt;15,0.38,IF(CC114=15,0.41,IF(CC114&lt;30,0.44,IF(CC114=30,0.47,0.5))))))))))))</f>
        <v> </v>
      </c>
      <c r="DV114" s="244" t="str">
        <f aca="false">IF(BR114=0,"",IF(AS114=$AX$3,DT114,DU114))</f>
        <v/>
      </c>
      <c r="DW114" s="244" t="str">
        <f aca="false">IF(BR114=0,"",IF(DC114&gt;15,15+0.5*(DC114-15),DC114))</f>
        <v/>
      </c>
      <c r="DX114" s="244" t="str">
        <f aca="false">IF(BR114=0,"",IF($S$12="SI",IF(CD114="NO",IF($AD$12&gt;(BO114+1.5*$ED$15),1,0.5),0.5),1))</f>
        <v/>
      </c>
      <c r="DY114" s="244" t="str">
        <f aca="false">IF(BR114=0,"",IF($S$12="SI",IF(CD114="NO",IF($AD$12&gt;(BO114+1.5*$EE$15),1,0.5),0.5),1))</f>
        <v/>
      </c>
      <c r="DZ114" s="244" t="str">
        <f aca="false">IF(BR114=0,"",IF($S$12="SI",IF(CD114="NO",IF($AD$12&gt;(BO114+1.5*$EF$15),1,0.5),0.5),1))</f>
        <v/>
      </c>
      <c r="EA114" s="244" t="str">
        <f aca="false">IF(BR114=0,"",IF($S$12="SI",IF(CD114="NO",IF($AD$12&gt;(BO114+1.5*$ED$15),1,0.5),IF($AD$12=BO114,1,0.5)),1))</f>
        <v/>
      </c>
      <c r="EB114" s="244" t="str">
        <f aca="false">IF(BR114=0,"",IF($S$12="SI",IF(CD114="NO",IF($AD$12&gt;(BO114+1.5*$EE$15),1,0.5),IF($AD$12=BO114,1,0.5)),1))</f>
        <v/>
      </c>
      <c r="EC114" s="244" t="str">
        <f aca="false">IF(BR114=0,"",IF($S$12="SI",IF(CD114="NO",IF($AD$12&gt;(BO114+1.5*$EF$15),1,0.5),IF($AD$12=BO114,1,0.5)),1))</f>
        <v/>
      </c>
      <c r="ED114" s="244" t="str">
        <f aca="false">IF(BR114=0,"",(DW114*($ED$15/10)*(DX114+EA114*(BO114/$ED$15))*1)/3)</f>
        <v/>
      </c>
      <c r="EE114" s="244" t="str">
        <f aca="false">IF(BR114=0,"",(DW114*($EE$15/10)*(DY114+EB114*(BO114/$EE$15))*1)/3)</f>
        <v/>
      </c>
      <c r="EF114" s="244" t="str">
        <f aca="false">IF(BR114=0,"",(DW114*($EF$15/10)*(DZ114+EC114*(BO114/$EF$15))*1)/3)</f>
        <v/>
      </c>
      <c r="EG114" s="273" t="str">
        <f aca="false">IF(BR114=0,"",IF(CD114="SI",0.5,1))</f>
        <v/>
      </c>
      <c r="EH114" s="244" t="str">
        <f aca="false">IF(BR114=0,"",IF((1+0.33*(BO114/$ED$15))&lt;=1.33,(1+0.33*(BO114/$ED$15)),1.33))</f>
        <v/>
      </c>
      <c r="EI114" s="244" t="str">
        <f aca="false">IF(BR114=0,"",IF((1+0.33*(BO114/$EE$15))&lt;=1.33,(1+0.33*(BO114/$EE$15)),1.33))</f>
        <v/>
      </c>
      <c r="EJ114" s="244" t="str">
        <f aca="false">IF(BR114=0,"",IF((1+0.33*(BO114/$EF$15))&lt;=1.33,(1+0.33*(BO114/$EF$15)),1.33))</f>
        <v/>
      </c>
      <c r="EK114" s="244" t="str">
        <f aca="false">IF(BR114=0,"",IF($ED$15&lt;=1.2,((20*DC114*EG114*EH114)/3)*0.010197,((12.5*DC114*((($ED$15+0.3)^2)/$ED$15)*EG114*EH114)/3)*0.010197))</f>
        <v/>
      </c>
      <c r="EL114" s="244" t="str">
        <f aca="false">IF(BR114=0,"",IF($EE$15&lt;=1.2,((20*DC114*EG114*EI114)/3)*0.010197,((12.5*DC114*((($EE$15+0.3)^2)/$EE$15)*EG114*EI114)/3)*0.010197))</f>
        <v/>
      </c>
      <c r="EM114" s="244" t="str">
        <f aca="false">IF(BR114=0,"",IF($EF$15&lt;=1.2,((20*DC114*EG114*EJ114)/3)*0.010197,((12.5*DC114*((($EF$15+0.3)^2)/$EF$15)*EG114*EJ114)/3)*0.010197))</f>
        <v/>
      </c>
      <c r="EN114" s="248" t="str">
        <f aca="false">IF(BR114=0,"",SQRT(12*CC114)+25)</f>
        <v/>
      </c>
      <c r="EO114" s="248" t="str">
        <f aca="false">IF(BR114=0,"",28.5+0.25*CC114)</f>
        <v/>
      </c>
      <c r="EP114" s="248" t="str">
        <f aca="false">IF(BR114=0,"",SQRT(20*CC114)+15)</f>
        <v/>
      </c>
      <c r="EQ114" s="248" t="str">
        <f aca="false">IF(BR114=0,"",23.7+0.57*CC114-0.0006*CC114*CC114)</f>
        <v/>
      </c>
      <c r="ER114" s="248" t="str">
        <f aca="false">IF(BR114=0,"",15+SQRT(12.5*DC114))</f>
        <v/>
      </c>
      <c r="ES114" s="248" t="str">
        <f aca="false">IF(BR114=0,"",3.5*SQRT(CC114)+20)</f>
        <v/>
      </c>
      <c r="ET114" s="248" t="str">
        <f aca="false">IF(BR114=0,"",27.1+0.3*DC114-0.00054*DC114*DC114)</f>
        <v/>
      </c>
      <c r="EU114" s="248" t="str">
        <f aca="false">IF(BR114=0,"",SQRT(20*CC114)+20)</f>
        <v/>
      </c>
      <c r="EV114" s="248" t="str">
        <f aca="false">IF(BR114=0,"",12.79+SQRT(25.86*CC114))</f>
        <v/>
      </c>
      <c r="EW114" s="248" t="str">
        <f aca="false">IF(BR114=0,"",DEGREES(_xlfn.ACOT((CC114/(12.2+20.3*CR114))^0.34)))</f>
        <v/>
      </c>
      <c r="EX114" s="248" t="str">
        <f aca="false">IF(BR114=0,"",24+(5.77*LN(0.17*DC114)))</f>
        <v/>
      </c>
      <c r="EY114" s="248" t="str">
        <f aca="false">IF(BR114=0,"",(SUM(EN114:EX114)-MIN(EN114:EX114)-MAX(EN114:EX114))/9)</f>
        <v/>
      </c>
      <c r="EZ114" s="248" t="str">
        <f aca="false">IF(BR114=0,"", -0.0000000034*CC114^6 + 0.0000008305*CC114^5 - 0.0000741842*CC114^4 + 0.0030204278*CC114^3 - 0.0541594733*CC114^2 + 0.8083147848*CC114 - 0.6182191243)</f>
        <v/>
      </c>
      <c r="FA114" s="249" t="str">
        <f aca="false">IF(BR114=0,"",(0.134811827956989*CC114 - 0.0383064516129019)/2)</f>
        <v/>
      </c>
      <c r="FB114" s="249" t="str">
        <f aca="false">IF(BR114=0,"",CC114*0.065)</f>
        <v/>
      </c>
      <c r="FC114" s="249" t="str">
        <f aca="false">IF(BR114=0,"",(CC114*0.12*0.48)*SQRT((1+SIN(EZ114*((2*PI())/360))/(1-SIN(EZ114*((2*PI())/360))))))</f>
        <v/>
      </c>
      <c r="FD114" s="249" t="str">
        <f aca="false">IF(BR114=0,"",(CC114/8)/2)</f>
        <v/>
      </c>
      <c r="FE114" s="249" t="str">
        <f aca="false">IF(BR114=0,"",(SUM(FA114:FD114)-MIN(FA114:FD114)-MAX(FA114:FD114))/2)</f>
        <v/>
      </c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</row>
    <row r="115" customFormat="false" ht="9.75" hidden="false" customHeight="true" outlineLevel="0" collapsed="false">
      <c r="A115" s="197" t="n">
        <f aca="false">ROUND(A114+0.1,1)</f>
        <v>9.8</v>
      </c>
      <c r="B115" s="250" t="n">
        <f aca="false">+A115</f>
        <v>9.8</v>
      </c>
      <c r="C115" s="251"/>
      <c r="D115" s="251"/>
      <c r="E115" s="274"/>
      <c r="F115" s="253"/>
      <c r="G115" s="254"/>
      <c r="H115" s="284"/>
      <c r="I115" s="285"/>
      <c r="J115" s="257"/>
      <c r="K115" s="258"/>
      <c r="L115" s="259"/>
      <c r="M115" s="313"/>
      <c r="N115" s="319"/>
      <c r="O115" s="320"/>
      <c r="P115" s="320"/>
      <c r="Q115" s="293"/>
      <c r="R115" s="314"/>
      <c r="S115" s="315"/>
      <c r="T115" s="295"/>
      <c r="U115" s="295"/>
      <c r="V115" s="296"/>
      <c r="W115" s="296"/>
      <c r="X115" s="296"/>
      <c r="Y115" s="296"/>
      <c r="Z115" s="296"/>
      <c r="AA115" s="296"/>
      <c r="AB115" s="297"/>
      <c r="AC115" s="298"/>
      <c r="AD115" s="299"/>
      <c r="AE115" s="298"/>
      <c r="AF115" s="300"/>
      <c r="AG115" s="267"/>
      <c r="AH115" s="267"/>
      <c r="AI115" s="241"/>
      <c r="AJ115" s="241"/>
      <c r="AK115" s="266"/>
      <c r="AL115" s="266"/>
      <c r="AM115" s="268"/>
      <c r="AN115" s="250" t="n">
        <f aca="false">+AN113+0.2</f>
        <v>9.8</v>
      </c>
      <c r="AO115" s="251"/>
      <c r="AP115" s="251"/>
      <c r="AQ115" s="274"/>
      <c r="AR115" s="253"/>
      <c r="AS115" s="269" t="s">
        <v>13</v>
      </c>
      <c r="AT115" s="221"/>
      <c r="AU115" s="269"/>
      <c r="AV115" s="269"/>
      <c r="AW115" s="270" t="n">
        <f aca="false">+K115+L115</f>
        <v>0</v>
      </c>
      <c r="AX115" s="270" t="str">
        <f aca="false">IF(AS115="&gt;50","CONSISTENCIA",IF(AS115="&lt;50","COMPACIDAD"," "))</f>
        <v>COMPACIDAD</v>
      </c>
      <c r="AY115" s="225" t="str">
        <f aca="false">IF(AS115="&gt;50",AZ115,IF(AS115="&lt;50",BA115," "))</f>
        <v> </v>
      </c>
      <c r="AZ115" s="224" t="str">
        <f aca="false">IF(AW115=" "," ",IF(CC115=""," ",IF(CC115&lt;2,"MUY BLANDA",IF(CC115=2,"MUY BLANDA A BLANDA",IF(CC115&lt;4,"BLANDA",IF(CC115=4,"BLANDA A MEDIA",IF(CC115&lt;8,"MEDIA",IF(CC115=8,"MEDIA A FIRME",IF(CC115&lt;15,"FIRME",IF(CC115=15,"FIRME A MUY FIRME",IF(CC115&lt;30,"MUY FIRME",IF(CC115=30,"MUY FIRME A DURA","DURA"))))))))))))</f>
        <v> </v>
      </c>
      <c r="BA115" s="225" t="str">
        <f aca="false">IF(AW115=" "," ",IF(DC115=""," ",IF(DC115&lt;4,"MUY SUELTA",IF(DC115=4,"MUY SUELTA A SUELTA",IF(DC115&lt;10,"SUELTA",IF(DC115=10,"SUELTA A MEDIA",IF(DC115&lt;30,"MEDIA",IF(DC115=30,"MEDIA A DENSO",IF(DC115&lt;50,"DENSO",IF(DC115=50,"DENSO MUY DENSO","MUY DENSO"))))))))))</f>
        <v> </v>
      </c>
      <c r="BB115" s="226" t="str">
        <f aca="false">IF(BR116=0,"",CQ116*0.0101972)</f>
        <v/>
      </c>
      <c r="BC115" s="227" t="n">
        <f aca="false">+BC114+0.1</f>
        <v>9.79999999999998</v>
      </c>
      <c r="BD115" s="227" t="str">
        <f aca="false">IF(BC115&lt;=$AN$10,BC115,"")</f>
        <v/>
      </c>
      <c r="BE115" s="228" t="n">
        <f aca="false">ISNUMBER(BD115)</f>
        <v>0</v>
      </c>
      <c r="BF115" s="229" t="str">
        <f aca="false">MID(M115,1,1)</f>
        <v/>
      </c>
      <c r="BG115" s="230" t="str">
        <f aca="false">IF(BF115="S","",IF(BF115="G","",MID(M115,2,1)))</f>
        <v/>
      </c>
      <c r="BH115" s="231" t="str">
        <f aca="false">CONCATENATE(BF115,BG115)</f>
        <v/>
      </c>
      <c r="BI115" s="6" t="str">
        <f aca="false">IF(BE115=FALSE(),"",IF(BH115="",BI114,BH115))</f>
        <v/>
      </c>
      <c r="BJ115" s="74" t="str">
        <f aca="false">IF(OR(BI115="S",BI115="G"),BI115,"X")</f>
        <v>X</v>
      </c>
      <c r="BK115" s="74" t="s">
        <v>275</v>
      </c>
      <c r="BL115" s="6" t="e">
        <f aca="false">INDEX(sim_0,MATCH($BJ$115,granular,0))</f>
        <v>#NAME?</v>
      </c>
      <c r="BM115" s="6"/>
      <c r="BN115" s="6"/>
      <c r="BO115" s="191" t="n">
        <f aca="false">BO114+0.1</f>
        <v>9.79999999999998</v>
      </c>
      <c r="BP115" s="233" t="e">
        <f aca="false">IF(AW115=0,NA(),IF(AS115=$AX$3,ROUND(DC115,0),NA()))</f>
        <v>#N/A</v>
      </c>
      <c r="BQ115" s="31" t="e">
        <f aca="false">IF(AW115=0,NA(),IF(AS115=$AX$4,ROUND(CC115,0),NA()))</f>
        <v>#N/A</v>
      </c>
      <c r="BR115" s="234" t="n">
        <f aca="false">+AW115</f>
        <v>0</v>
      </c>
      <c r="BS115" s="235" t="str">
        <f aca="false">IF(BR115=0,"", -0.00000000016128755327*CC115^6 + 0.00000006709386362421*CC115^5 - 0.0000106217678052217*CC115^4 + 0.00081068114193385*CC115^3 - 0.0314027378159951*CC115^2 + 0.649796593937842*CC115 + 13.7888866455022)</f>
        <v/>
      </c>
      <c r="BT115" s="235" t="str">
        <f aca="false">IF(BR115=0,"",-0.00000000014625939695*CC115^6 + 0.00000004971732060241*CC115^5 - 0.000006683744342031*CC115^4 + 0.0004563177378098*CC115^3 - 0.0171727530635803*CC115^2 + 0.444529932876435*CC115 + 15.6692518940565)</f>
        <v/>
      </c>
      <c r="BU115" s="236" t="str">
        <f aca="false">IF(BR115=0,"", -0.0000000008152265738*BR115^6 + 0.00000022764320256987*BR115^5 - 0.0000248205675927705*BR115^4 + 0.00133186623684865*BR115^3 - 0.0368442570441677*BR115^2 + 0.580111565569094*BR115 + 14.0417598296107)</f>
        <v/>
      </c>
      <c r="BV115" s="236" t="str">
        <f aca="false">IF(BR115=0,"", -0.00000000004321395721*BR115^6 + 0.00000002531844275498*BR115^5 - 0.00000369428022780862*BR115^4 + 0.00020283665900125*BR115^3 - 0.00462426256803268*BR115^2 + 0.139572935065453*BR115 + 15.4475338156923)</f>
        <v/>
      </c>
      <c r="BW115" s="236" t="str">
        <f aca="false">IF(BR115=0,"",-0.00000000033126390082*BR115^6 + 0.00000010463660614506*BR115^5 - 0.0000129629592998707*BR115^4 + 0.000803946335250767*BR115^3 - 0.0270257140395994*BR115^2 + 0.562590210721552*BR115+ 12.1254107606419)</f>
        <v/>
      </c>
      <c r="BX115" s="236" t="str">
        <f aca="false">IF(BR115=0,"",-0.00000000002593504955*BR115^6 + 0.00000002430495156704*BR115^5 - 0.00000386103271086364*BR115^4 + 0.000214416118986322*BR115^3 - 0.0047271462612021*BR115^2 + 0.156696175741135*BR115 + 15.4598891949502)</f>
        <v/>
      </c>
      <c r="BY115" s="234" t="str">
        <f aca="false">IF(BR115=0,"",$BS$2)</f>
        <v/>
      </c>
      <c r="BZ115" s="234" t="str">
        <f aca="false">IF(BR115=0,"",$BS$3)</f>
        <v/>
      </c>
      <c r="CA115" s="234" t="str">
        <f aca="false">IF(BR115=0,"",$BS$4)</f>
        <v/>
      </c>
      <c r="CB115" s="235" t="str">
        <f aca="false">IF(BR115=0,"",IF(AND(BO115&gt;=0,BO115&lt;4),0.75,IF(AND(BO115&gt;=4,BO115&lt;6),0.85,IF(AND(BO115&gt;=6,BO115&lt;=10),0.95,1))))</f>
        <v/>
      </c>
      <c r="CC115" s="234" t="str">
        <f aca="false">IF(BR115=0,"",BR115*BY115*BZ115*CA115*CB115/60)</f>
        <v/>
      </c>
      <c r="CD115" s="238" t="str">
        <f aca="false">IF(BR115=0,"",IF($S$12="NO","NO",IF($AD$12&lt;=BO115,"SI","NO")))</f>
        <v/>
      </c>
      <c r="CE115" s="235" t="n">
        <f aca="false">IF(BR115=0,0,AB115)</f>
        <v>0</v>
      </c>
      <c r="CF115" s="235" t="n">
        <f aca="false">IF(CE115&gt;0,BO115,0)</f>
        <v>0</v>
      </c>
      <c r="CG115" s="239" t="n">
        <f aca="false">IF(CF115=0,CF115+CG114,CF115)</f>
        <v>0</v>
      </c>
      <c r="CH115" s="239" t="n">
        <f aca="false">IF(CG115=CG114,CH114,ABS(CG115-CG114))</f>
        <v>0</v>
      </c>
      <c r="CI115" s="239" t="n">
        <f aca="false">+CE115*CH115</f>
        <v>0</v>
      </c>
      <c r="CJ115" s="239" t="n">
        <f aca="false">IF(CI115=0,CI115+CJ114,CI115)</f>
        <v>0</v>
      </c>
      <c r="CK115" s="239" t="n">
        <f aca="false">IF(CJ115=CJ114,CK114,ABS(CJ115+CK114))</f>
        <v>0</v>
      </c>
      <c r="CL115" s="241" t="n">
        <f aca="false">IF(CE115=0,0,CK115)</f>
        <v>0</v>
      </c>
      <c r="CM115" s="239" t="n">
        <f aca="false">IF(CE115=0,0,CH115*9.81)</f>
        <v>0</v>
      </c>
      <c r="CN115" s="239" t="n">
        <f aca="false">IF(CM115=0,CM115+CN114,CM115)</f>
        <v>0</v>
      </c>
      <c r="CO115" s="239" t="n">
        <f aca="false">IF(CN115=CN114,CO114,ABS(CN115+CO114))</f>
        <v>0</v>
      </c>
      <c r="CP115" s="241" t="n">
        <f aca="false">IF(CD115="NO",0,IF(CE115=0,0,CO115))</f>
        <v>0</v>
      </c>
      <c r="CQ115" s="244" t="str">
        <f aca="false">IF(BR115=0,"",CL115-CP115)</f>
        <v/>
      </c>
      <c r="CR115" s="244" t="str">
        <f aca="false">IF(BR115=0,"",CQ115/101.3)</f>
        <v/>
      </c>
      <c r="CS115" s="244" t="str">
        <f aca="false">IF(BR115=0,"",LOG(10/CR115))</f>
        <v/>
      </c>
      <c r="CT115" s="243" t="str">
        <f aca="false">IF(BR115=0,"",IF(SQRT(101.3/CQ115)&lt;=1.7,SQRT(101.3/CQ115),2.2/(1.2+(CQ115/101.3))))</f>
        <v/>
      </c>
      <c r="CU115" s="244" t="str">
        <f aca="false">IF(BR115=0,"",1.7/(0.7+CR115))</f>
        <v/>
      </c>
      <c r="CV115" s="244" t="str">
        <f aca="false">IF(BR115=0,"",IF(CR115&gt;=0.25,0.77*LOG(20/CR115),""))</f>
        <v/>
      </c>
      <c r="CW115" s="244" t="str">
        <f aca="false">IF(BR115=0,"",32.5/(10.2+20.3*CR115))</f>
        <v/>
      </c>
      <c r="CX115" s="244" t="str">
        <f aca="false">IF(BR115=0,"",1-1.25*LOG(CR115))</f>
        <v/>
      </c>
      <c r="CY115" s="244" t="str">
        <f aca="false">IF(BR115=0,"",IF(CR115&lt;1,1-1.41*LOG(CR115),1+0.92*LOG(CR115)))</f>
        <v/>
      </c>
      <c r="CZ115" s="244" t="str">
        <f aca="false">IF(BR115=0,"",2/(1+CR115))</f>
        <v/>
      </c>
      <c r="DA115" s="244" t="str">
        <f aca="false">IF(BR115=0,"",IF(CR115&lt;=0.75,4/(1+4*CR115),4/(3.25+CR115)))</f>
        <v/>
      </c>
      <c r="DB115" s="244" t="str">
        <f aca="false">IF(BR115=0,"",CT115)</f>
        <v/>
      </c>
      <c r="DC115" s="244" t="str">
        <f aca="false">IF(BR115=0,"",DB115*CC115)</f>
        <v/>
      </c>
      <c r="DD115" s="244"/>
      <c r="DE115" s="244" t="str">
        <f aca="false">IF(BR115=0,"",0.193*(CC115/(CQ115*0.001))^0.689)</f>
        <v/>
      </c>
      <c r="DF115" s="244" t="str">
        <f aca="false">IF(BR115=0,"",IF(AS115=$AX$4,(0.1348118*CC115 - 0.0383065)*98.0665,""))</f>
        <v/>
      </c>
      <c r="DG115" s="244" t="str">
        <f aca="false">IF(BR115=0,"",IF(AS115=$AX$4,DF115/2,""))</f>
        <v/>
      </c>
      <c r="DH115" s="244" t="str">
        <f aca="false">IF(BR115=0,"",IF(DC115&lt;=15,12*(DC115+6),40+12*(DC115-6)))</f>
        <v/>
      </c>
      <c r="DI115" s="244" t="str">
        <f aca="false">IF(BR115=0,"",IF(CD115="SI",5*(DC115+15),((3.3*(DC115+15))+(4*(DC115+12)))/2))</f>
        <v/>
      </c>
      <c r="DJ115" s="244" t="str">
        <f aca="false">IF(BR115=0,"",8*DC115)</f>
        <v/>
      </c>
      <c r="DK115" s="244" t="str">
        <f aca="false">IF(BR115=0,"",215+(10.6*DC115))</f>
        <v/>
      </c>
      <c r="DL115" s="244" t="str">
        <f aca="false">IF(BR115=0,"",10*(7.5+(0.5*DC115)))</f>
        <v/>
      </c>
      <c r="DM115" s="244" t="str">
        <f aca="false">IF(BR115=0,"",8*DC115)</f>
        <v/>
      </c>
      <c r="DN115" s="244" t="str">
        <f aca="false">IF(AW115=" "," ",IF(DC115=""," ",IF(DC115&lt;4,10*10.2,IF(DC115=4,12*10.2,IF(DC115&lt;10,17.5*10.5,IF(DC115=10,15*10.2,IF(DC115&lt;30,22.5*10.2,IF(DC115=30,35*10.2,IF(DC115&lt;50,40*10.2,IF(DC115=50,50*10.2,55*10.2))))))))))</f>
        <v> </v>
      </c>
      <c r="DO115" s="244" t="str">
        <f aca="false">IF(BR115=0,"",7*SQRT(DC115)*10.1972)</f>
        <v/>
      </c>
      <c r="DP115" s="244" t="str">
        <f aca="false">IF(BR115=0,"",IF(AS115=$AX$4,5*CC115,""))</f>
        <v/>
      </c>
      <c r="DQ115" s="244" t="str">
        <f aca="false">IF(AW115=" "," ",IF(DC115=""," ",IF(DC115&lt;2,4*10.2,IF(DC115=2,6*10.2,IF(DC115&lt;4,12*10.2,IF(DC115=4,20*10.2,IF(DC115&lt;8,30*10.2,IF(DC115=8,35*10.2,IF(DC115&lt;15,40*10.2,IF(DC115=15,42*10.2,IF(DC115&lt;30,45*10.2,IF(DC115=30,50*10.2,70*10.2))))))))))))</f>
        <v> </v>
      </c>
      <c r="DR115" s="244" t="str">
        <f aca="false">IF(BR115=0,"",IF(AS115=$AX$4,220*DP115*0.0101972,""))</f>
        <v/>
      </c>
      <c r="DS115" s="271" t="str">
        <f aca="false">IF(BR115=0,"",IF(AS115=$AX$7,(SUM(DH115:DO115)-MIN(DH115:DO115)-MAX(DH115:DO115))/6,(SUM(DO115:DR115)-MIN(DO115:DR115)-MAX(DO115:DR115))/2))</f>
        <v/>
      </c>
      <c r="DT115" s="244" t="str">
        <f aca="false">IF(AW115=" "," ",IF(DC115=""," ",IF(DC115&lt;4,0.2,IF(DC115=4,0.27,IF(DC115&lt;10,0.33,IF(DC115=10,0.35,IF(DC115&lt;30,0.36,IF(DC115=30,0.37,IF(DC115&lt;50,0.38,IF(DC115=50,0.4,0.45))))))))))</f>
        <v> </v>
      </c>
      <c r="DU115" s="272" t="str">
        <f aca="false">IF(AW115=" "," ",IF(CC115=""," ",IF(CC115&lt;2,0.2,IF(CC115=2,0.23,IF(CC115&lt;4,0.26,IF(CC115=4,0.29,IF(CC115&lt;8,0.32,IF(CC115=8,0.35,IF(CC115&lt;15,0.38,IF(CC115=15,0.41,IF(CC115&lt;30,0.44,IF(CC115=30,0.47,0.5))))))))))))</f>
        <v> </v>
      </c>
      <c r="DV115" s="244" t="str">
        <f aca="false">IF(BR115=0,"",IF(AS115=$AX$3,DT115,DU115))</f>
        <v/>
      </c>
      <c r="DW115" s="244" t="str">
        <f aca="false">IF(BR115=0,"",IF(DC115&gt;15,15+0.5*(DC115-15),DC115))</f>
        <v/>
      </c>
      <c r="DX115" s="244" t="str">
        <f aca="false">IF(BR115=0,"",IF($S$12="SI",IF(CD115="NO",IF($AD$12&gt;(BO115+1.5*$ED$15),1,0.5),0.5),1))</f>
        <v/>
      </c>
      <c r="DY115" s="244" t="str">
        <f aca="false">IF(BR115=0,"",IF($S$12="SI",IF(CD115="NO",IF($AD$12&gt;(BO115+1.5*$EE$15),1,0.5),0.5),1))</f>
        <v/>
      </c>
      <c r="DZ115" s="244" t="str">
        <f aca="false">IF(BR115=0,"",IF($S$12="SI",IF(CD115="NO",IF($AD$12&gt;(BO115+1.5*$EF$15),1,0.5),0.5),1))</f>
        <v/>
      </c>
      <c r="EA115" s="244" t="str">
        <f aca="false">IF(BR115=0,"",IF($S$12="SI",IF(CD115="NO",IF($AD$12&gt;(BO115+1.5*$ED$15),1,0.5),IF($AD$12=BO115,1,0.5)),1))</f>
        <v/>
      </c>
      <c r="EB115" s="244" t="str">
        <f aca="false">IF(BR115=0,"",IF($S$12="SI",IF(CD115="NO",IF($AD$12&gt;(BO115+1.5*$EE$15),1,0.5),IF($AD$12=BO115,1,0.5)),1))</f>
        <v/>
      </c>
      <c r="EC115" s="244" t="str">
        <f aca="false">IF(BR115=0,"",IF($S$12="SI",IF(CD115="NO",IF($AD$12&gt;(BO115+1.5*$EF$15),1,0.5),IF($AD$12=BO115,1,0.5)),1))</f>
        <v/>
      </c>
      <c r="ED115" s="244" t="str">
        <f aca="false">IF(BR115=0,"",(DW115*($ED$15/10)*(DX115+EA115*(BO115/$ED$15))*1)/3)</f>
        <v/>
      </c>
      <c r="EE115" s="244" t="str">
        <f aca="false">IF(BR115=0,"",(DW115*($EE$15/10)*(DY115+EB115*(BO115/$EE$15))*1)/3)</f>
        <v/>
      </c>
      <c r="EF115" s="244" t="str">
        <f aca="false">IF(BR115=0,"",(DW115*($EF$15/10)*(DZ115+EC115*(BO115/$EF$15))*1)/3)</f>
        <v/>
      </c>
      <c r="EG115" s="273" t="str">
        <f aca="false">IF(BR115=0,"",IF(CD115="SI",0.5,1))</f>
        <v/>
      </c>
      <c r="EH115" s="244" t="str">
        <f aca="false">IF(BR115=0,"",IF((1+0.33*(BO115/$ED$15))&lt;=1.33,(1+0.33*(BO115/$ED$15)),1.33))</f>
        <v/>
      </c>
      <c r="EI115" s="244" t="str">
        <f aca="false">IF(BR115=0,"",IF((1+0.33*(BO115/$EE$15))&lt;=1.33,(1+0.33*(BO115/$EE$15)),1.33))</f>
        <v/>
      </c>
      <c r="EJ115" s="244" t="str">
        <f aca="false">IF(BR115=0,"",IF((1+0.33*(BO115/$EF$15))&lt;=1.33,(1+0.33*(BO115/$EF$15)),1.33))</f>
        <v/>
      </c>
      <c r="EK115" s="244" t="str">
        <f aca="false">IF(BR115=0,"",IF($ED$15&lt;=1.2,((20*DC115*EG115*EH115)/3)*0.010197,((12.5*DC115*((($ED$15+0.3)^2)/$ED$15)*EG115*EH115)/3)*0.010197))</f>
        <v/>
      </c>
      <c r="EL115" s="244" t="str">
        <f aca="false">IF(BR115=0,"",IF($EE$15&lt;=1.2,((20*DC115*EG115*EI115)/3)*0.010197,((12.5*DC115*((($EE$15+0.3)^2)/$EE$15)*EG115*EI115)/3)*0.010197))</f>
        <v/>
      </c>
      <c r="EM115" s="244" t="str">
        <f aca="false">IF(BR115=0,"",IF($EF$15&lt;=1.2,((20*DC115*EG115*EJ115)/3)*0.010197,((12.5*DC115*((($EF$15+0.3)^2)/$EF$15)*EG115*EJ115)/3)*0.010197))</f>
        <v/>
      </c>
      <c r="EN115" s="248" t="str">
        <f aca="false">IF(BR115=0,"",SQRT(12*CC115)+25)</f>
        <v/>
      </c>
      <c r="EO115" s="248" t="str">
        <f aca="false">IF(BR115=0,"",28.5+0.25*CC115)</f>
        <v/>
      </c>
      <c r="EP115" s="248" t="str">
        <f aca="false">IF(BR115=0,"",SQRT(20*CC115)+15)</f>
        <v/>
      </c>
      <c r="EQ115" s="248" t="str">
        <f aca="false">IF(BR115=0,"",23.7+0.57*CC115-0.0006*CC115*CC115)</f>
        <v/>
      </c>
      <c r="ER115" s="248" t="str">
        <f aca="false">IF(BR115=0,"",15+SQRT(12.5*DC115))</f>
        <v/>
      </c>
      <c r="ES115" s="248" t="str">
        <f aca="false">IF(BR115=0,"",3.5*SQRT(CC115)+20)</f>
        <v/>
      </c>
      <c r="ET115" s="248" t="str">
        <f aca="false">IF(BR115=0,"",27.1+0.3*DC115-0.00054*DC115*DC115)</f>
        <v/>
      </c>
      <c r="EU115" s="248" t="str">
        <f aca="false">IF(BR115=0,"",SQRT(20*CC115)+20)</f>
        <v/>
      </c>
      <c r="EV115" s="248" t="str">
        <f aca="false">IF(BR115=0,"",12.79+SQRT(25.86*CC115))</f>
        <v/>
      </c>
      <c r="EW115" s="248" t="str">
        <f aca="false">IF(BR115=0,"",DEGREES(_xlfn.ACOT((CC115/(12.2+20.3*CR115))^0.34)))</f>
        <v/>
      </c>
      <c r="EX115" s="248" t="str">
        <f aca="false">IF(BR115=0,"",24+(5.77*LN(0.17*DC115)))</f>
        <v/>
      </c>
      <c r="EY115" s="248" t="str">
        <f aca="false">IF(BR115=0,"",(SUM(EN115:EX115)-MIN(EN115:EX115)-MAX(EN115:EX115))/9)</f>
        <v/>
      </c>
      <c r="EZ115" s="248" t="str">
        <f aca="false">IF(BR115=0,"", -0.0000000034*CC115^6 + 0.0000008305*CC115^5 - 0.0000741842*CC115^4 + 0.0030204278*CC115^3 - 0.0541594733*CC115^2 + 0.8083147848*CC115 - 0.6182191243)</f>
        <v/>
      </c>
      <c r="FA115" s="249" t="str">
        <f aca="false">IF(BR115=0,"",(0.134811827956989*CC115 - 0.0383064516129019)/2)</f>
        <v/>
      </c>
      <c r="FB115" s="249" t="str">
        <f aca="false">IF(BR115=0,"",CC115*0.065)</f>
        <v/>
      </c>
      <c r="FC115" s="249" t="str">
        <f aca="false">IF(BR115=0,"",(CC115*0.12*0.48)*SQRT((1+SIN(EZ115*((2*PI())/360))/(1-SIN(EZ115*((2*PI())/360))))))</f>
        <v/>
      </c>
      <c r="FD115" s="249" t="str">
        <f aca="false">IF(BR115=0,"",(CC115/8)/2)</f>
        <v/>
      </c>
      <c r="FE115" s="249" t="str">
        <f aca="false">IF(BR115=0,"",(SUM(FA115:FD115)-MIN(FA115:FD115)-MAX(FA115:FD115))/2)</f>
        <v/>
      </c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</row>
    <row r="116" customFormat="false" ht="9.75" hidden="false" customHeight="true" outlineLevel="0" collapsed="false">
      <c r="A116" s="197" t="n">
        <f aca="false">ROUND(A115+0.1,1)</f>
        <v>9.9</v>
      </c>
      <c r="B116" s="250"/>
      <c r="C116" s="251"/>
      <c r="D116" s="251"/>
      <c r="E116" s="199"/>
      <c r="F116" s="200"/>
      <c r="G116" s="254"/>
      <c r="H116" s="284"/>
      <c r="I116" s="285"/>
      <c r="J116" s="257"/>
      <c r="K116" s="258"/>
      <c r="L116" s="259"/>
      <c r="M116" s="313"/>
      <c r="N116" s="319"/>
      <c r="O116" s="320"/>
      <c r="P116" s="320"/>
      <c r="Q116" s="293"/>
      <c r="R116" s="314"/>
      <c r="S116" s="315"/>
      <c r="T116" s="295"/>
      <c r="U116" s="295"/>
      <c r="V116" s="296"/>
      <c r="W116" s="296"/>
      <c r="X116" s="296"/>
      <c r="Y116" s="296"/>
      <c r="Z116" s="296"/>
      <c r="AA116" s="296"/>
      <c r="AB116" s="297"/>
      <c r="AC116" s="298"/>
      <c r="AD116" s="299"/>
      <c r="AE116" s="298"/>
      <c r="AF116" s="300"/>
      <c r="AG116" s="267"/>
      <c r="AH116" s="267"/>
      <c r="AI116" s="241"/>
      <c r="AJ116" s="241"/>
      <c r="AK116" s="266"/>
      <c r="AL116" s="266"/>
      <c r="AM116" s="268"/>
      <c r="AN116" s="250"/>
      <c r="AO116" s="251"/>
      <c r="AP116" s="251"/>
      <c r="AQ116" s="199"/>
      <c r="AR116" s="200"/>
      <c r="AS116" s="269" t="s">
        <v>13</v>
      </c>
      <c r="AT116" s="221"/>
      <c r="AU116" s="269"/>
      <c r="AV116" s="269"/>
      <c r="AW116" s="270" t="n">
        <f aca="false">+K116+L116</f>
        <v>0</v>
      </c>
      <c r="AX116" s="270" t="str">
        <f aca="false">IF(AS116="&gt;50","CONSISTENCIA",IF(AS116="&lt;50","COMPACIDAD"," "))</f>
        <v>COMPACIDAD</v>
      </c>
      <c r="AY116" s="225" t="str">
        <f aca="false">IF(AS116="&gt;50",AZ116,IF(AS116="&lt;50",BA116," "))</f>
        <v> </v>
      </c>
      <c r="AZ116" s="224" t="str">
        <f aca="false">IF(AW116=" "," ",IF(CC116=""," ",IF(CC116&lt;2,"MUY BLANDA",IF(CC116=2,"MUY BLANDA A BLANDA",IF(CC116&lt;4,"BLANDA",IF(CC116=4,"BLANDA A MEDIA",IF(CC116&lt;8,"MEDIA",IF(CC116=8,"MEDIA A FIRME",IF(CC116&lt;15,"FIRME",IF(CC116=15,"FIRME A MUY FIRME",IF(CC116&lt;30,"MUY FIRME",IF(CC116=30,"MUY FIRME A DURA","DURA"))))))))))))</f>
        <v> </v>
      </c>
      <c r="BA116" s="225" t="str">
        <f aca="false">IF(AW116=" "," ",IF(DC116=""," ",IF(DC116&lt;4,"MUY SUELTA",IF(DC116=4,"MUY SUELTA A SUELTA",IF(DC116&lt;10,"SUELTA",IF(DC116=10,"SUELTA A MEDIA",IF(DC116&lt;30,"MEDIA",IF(DC116=30,"MEDIA A DENSO",IF(DC116&lt;50,"DENSO",IF(DC116=50,"DENSO MUY DENSO","MUY DENSO"))))))))))</f>
        <v> </v>
      </c>
      <c r="BB116" s="321" t="str">
        <f aca="false">IF(BR117=0,"",CQ117*0.0101972)</f>
        <v/>
      </c>
      <c r="BC116" s="227" t="n">
        <f aca="false">+BC115+0.1</f>
        <v>9.89999999999998</v>
      </c>
      <c r="BD116" s="227" t="str">
        <f aca="false">IF(BC116&lt;=$AN$10,BC116,"")</f>
        <v/>
      </c>
      <c r="BE116" s="228" t="n">
        <f aca="false">ISNUMBER(BD116)</f>
        <v>0</v>
      </c>
      <c r="BF116" s="229" t="str">
        <f aca="false">MID(M116,1,1)</f>
        <v/>
      </c>
      <c r="BG116" s="230" t="str">
        <f aca="false">IF(BF116="S","",IF(BF116="G","",MID(M116,2,1)))</f>
        <v/>
      </c>
      <c r="BH116" s="231" t="str">
        <f aca="false">CONCATENATE(BF116,BG116)</f>
        <v/>
      </c>
      <c r="BI116" s="6" t="str">
        <f aca="false">IF(BE116=FALSE(),"",IF(BH116="",BI115,BH116))</f>
        <v/>
      </c>
      <c r="BJ116" s="74" t="str">
        <f aca="false">IF(OR(BI116="S",BI116="G"),BI116,"X")</f>
        <v>X</v>
      </c>
      <c r="BK116" s="74" t="s">
        <v>276</v>
      </c>
      <c r="BL116" s="6" t="e">
        <f aca="false">INDEX(sim_0,MATCH($BJ$116,granular,0))</f>
        <v>#NAME?</v>
      </c>
      <c r="BM116" s="6"/>
      <c r="BN116" s="6"/>
      <c r="BO116" s="191" t="n">
        <f aca="false">BO115+0.1</f>
        <v>9.89999999999998</v>
      </c>
      <c r="BP116" s="233" t="e">
        <f aca="false">IF(AW116=0,NA(),IF(AS116=$AX$3,ROUND(DC116,0),NA()))</f>
        <v>#N/A</v>
      </c>
      <c r="BQ116" s="31" t="e">
        <f aca="false">IF(AW116=0,NA(),IF(AS116=$AX$4,ROUND(CC116,0),NA()))</f>
        <v>#N/A</v>
      </c>
      <c r="BR116" s="234" t="n">
        <f aca="false">+AW116</f>
        <v>0</v>
      </c>
      <c r="BS116" s="235" t="str">
        <f aca="false">IF(BR116=0,"", -0.00000000016128755327*CC116^6 + 0.00000006709386362421*CC116^5 - 0.0000106217678052217*CC116^4 + 0.00081068114193385*CC116^3 - 0.0314027378159951*CC116^2 + 0.649796593937842*CC116 + 13.7888866455022)</f>
        <v/>
      </c>
      <c r="BT116" s="235" t="str">
        <f aca="false">IF(BR116=0,"",-0.00000000014625939695*CC116^6 + 0.00000004971732060241*CC116^5 - 0.000006683744342031*CC116^4 + 0.0004563177378098*CC116^3 - 0.0171727530635803*CC116^2 + 0.444529932876435*CC116 + 15.6692518940565)</f>
        <v/>
      </c>
      <c r="BU116" s="236" t="str">
        <f aca="false">IF(BR116=0,"", -0.0000000008152265738*BR116^6 + 0.00000022764320256987*BR116^5 - 0.0000248205675927705*BR116^4 + 0.00133186623684865*BR116^3 - 0.0368442570441677*BR116^2 + 0.580111565569094*BR116 + 14.0417598296107)</f>
        <v/>
      </c>
      <c r="BV116" s="236" t="str">
        <f aca="false">IF(BR116=0,"", -0.00000000004321395721*BR116^6 + 0.00000002531844275498*BR116^5 - 0.00000369428022780862*BR116^4 + 0.00020283665900125*BR116^3 - 0.00462426256803268*BR116^2 + 0.139572935065453*BR116 + 15.4475338156923)</f>
        <v/>
      </c>
      <c r="BW116" s="236" t="str">
        <f aca="false">IF(BR116=0,"",-0.00000000033126390082*BR116^6 + 0.00000010463660614506*BR116^5 - 0.0000129629592998707*BR116^4 + 0.000803946335250767*BR116^3 - 0.0270257140395994*BR116^2 + 0.562590210721552*BR116+ 12.1254107606419)</f>
        <v/>
      </c>
      <c r="BX116" s="236" t="str">
        <f aca="false">IF(BR116=0,"",-0.00000000002593504955*BR116^6 + 0.00000002430495156704*BR116^5 - 0.00000386103271086364*BR116^4 + 0.000214416118986322*BR116^3 - 0.0047271462612021*BR116^2 + 0.156696175741135*BR116 + 15.4598891949502)</f>
        <v/>
      </c>
      <c r="BY116" s="234" t="str">
        <f aca="false">IF(BR116=0,"",$BS$2)</f>
        <v/>
      </c>
      <c r="BZ116" s="234" t="str">
        <f aca="false">IF(BR116=0,"",$BS$3)</f>
        <v/>
      </c>
      <c r="CA116" s="234" t="str">
        <f aca="false">IF(BR116=0,"",$BS$4)</f>
        <v/>
      </c>
      <c r="CB116" s="235" t="str">
        <f aca="false">IF(BR116=0,"",IF(AND(BO116&gt;=0,BO116&lt;4),0.75,IF(AND(BO116&gt;=4,BO116&lt;6),0.85,IF(AND(BO116&gt;=6,BO116&lt;=10),0.95,1))))</f>
        <v/>
      </c>
      <c r="CC116" s="234" t="str">
        <f aca="false">IF(BR116=0,"",BR116*BY116*BZ116*CA116*CB116/60)</f>
        <v/>
      </c>
      <c r="CD116" s="238" t="str">
        <f aca="false">IF(BR116=0,"",IF($S$12="NO","NO",IF($AD$12&lt;=BO116,"SI","NO")))</f>
        <v/>
      </c>
      <c r="CE116" s="235" t="n">
        <f aca="false">IF(BR116=0,0,AB116)</f>
        <v>0</v>
      </c>
      <c r="CF116" s="235" t="n">
        <f aca="false">IF(CE116&gt;0,BO116,0)</f>
        <v>0</v>
      </c>
      <c r="CG116" s="239" t="n">
        <f aca="false">IF(CF116=0,CF116+CG115,CF116)</f>
        <v>0</v>
      </c>
      <c r="CH116" s="239" t="n">
        <f aca="false">IF(CG116=CG115,CH115,ABS(CG116-CG115))</f>
        <v>0</v>
      </c>
      <c r="CI116" s="239" t="n">
        <f aca="false">+CE116*CH116</f>
        <v>0</v>
      </c>
      <c r="CJ116" s="239" t="n">
        <f aca="false">IF(CI116=0,CI116+CJ115,CI116)</f>
        <v>0</v>
      </c>
      <c r="CK116" s="239" t="n">
        <f aca="false">IF(CJ116=CJ115,CK115,ABS(CJ116+CK115))</f>
        <v>0</v>
      </c>
      <c r="CL116" s="241" t="n">
        <f aca="false">IF(CE116=0,0,CK116)</f>
        <v>0</v>
      </c>
      <c r="CM116" s="239" t="n">
        <f aca="false">IF(CE116=0,0,CH116*9.81)</f>
        <v>0</v>
      </c>
      <c r="CN116" s="239" t="n">
        <f aca="false">IF(CM116=0,CM116+CN115,CM116)</f>
        <v>0</v>
      </c>
      <c r="CO116" s="239" t="n">
        <f aca="false">IF(CN116=CN115,CO115,ABS(CN116+CO115))</f>
        <v>0</v>
      </c>
      <c r="CP116" s="241" t="n">
        <f aca="false">IF(CD116="NO",0,IF(CE116=0,0,CO116))</f>
        <v>0</v>
      </c>
      <c r="CQ116" s="244" t="str">
        <f aca="false">IF(BR116=0,"",CL116-CP116)</f>
        <v/>
      </c>
      <c r="CR116" s="244" t="str">
        <f aca="false">IF(BR116=0,"",CQ116/101.3)</f>
        <v/>
      </c>
      <c r="CS116" s="244" t="str">
        <f aca="false">IF(BR116=0,"",LOG(10/CR116))</f>
        <v/>
      </c>
      <c r="CT116" s="243" t="str">
        <f aca="false">IF(BR116=0,"",IF(SQRT(101.3/CQ116)&lt;=1.7,SQRT(101.3/CQ116),2.2/(1.2+(CQ116/101.3))))</f>
        <v/>
      </c>
      <c r="CU116" s="244" t="str">
        <f aca="false">IF(BR116=0,"",1.7/(0.7+CR116))</f>
        <v/>
      </c>
      <c r="CV116" s="244" t="str">
        <f aca="false">IF(BR116=0,"",IF(CR116&gt;=0.25,0.77*LOG(20/CR116),""))</f>
        <v/>
      </c>
      <c r="CW116" s="244" t="str">
        <f aca="false">IF(BR116=0,"",32.5/(10.2+20.3*CR116))</f>
        <v/>
      </c>
      <c r="CX116" s="244" t="str">
        <f aca="false">IF(BR116=0,"",1-1.25*LOG(CR116))</f>
        <v/>
      </c>
      <c r="CY116" s="244" t="str">
        <f aca="false">IF(BR116=0,"",IF(CR116&lt;1,1-1.41*LOG(CR116),1+0.92*LOG(CR116)))</f>
        <v/>
      </c>
      <c r="CZ116" s="244" t="str">
        <f aca="false">IF(BR116=0,"",2/(1+CR116))</f>
        <v/>
      </c>
      <c r="DA116" s="244" t="str">
        <f aca="false">IF(BR116=0,"",IF(CR116&lt;=0.75,4/(1+4*CR116),4/(3.25+CR116)))</f>
        <v/>
      </c>
      <c r="DB116" s="244" t="str">
        <f aca="false">IF(BR116=0,"",CT116)</f>
        <v/>
      </c>
      <c r="DC116" s="244" t="str">
        <f aca="false">IF(BR116=0,"",DB116*CC116)</f>
        <v/>
      </c>
      <c r="DD116" s="244"/>
      <c r="DE116" s="244" t="str">
        <f aca="false">IF(BR116=0,"",0.193*(CC116/(CQ116*0.001))^0.689)</f>
        <v/>
      </c>
      <c r="DF116" s="244" t="str">
        <f aca="false">IF(BR116=0,"",IF(AS116=$AX$4,(0.1348118*CC116 - 0.0383065)*98.0665,""))</f>
        <v/>
      </c>
      <c r="DG116" s="244" t="str">
        <f aca="false">IF(BR116=0,"",IF(AS116=$AX$4,DF116/2,""))</f>
        <v/>
      </c>
      <c r="DH116" s="244" t="str">
        <f aca="false">IF(BR116=0,"",IF(DC116&lt;=15,12*(DC116+6),40+12*(DC116-6)))</f>
        <v/>
      </c>
      <c r="DI116" s="244" t="str">
        <f aca="false">IF(BR116=0,"",IF(CD116="SI",5*(DC116+15),((3.3*(DC116+15))+(4*(DC116+12)))/2))</f>
        <v/>
      </c>
      <c r="DJ116" s="244" t="str">
        <f aca="false">IF(BR116=0,"",8*DC116)</f>
        <v/>
      </c>
      <c r="DK116" s="244" t="str">
        <f aca="false">IF(BR116=0,"",215+(10.6*DC116))</f>
        <v/>
      </c>
      <c r="DL116" s="244" t="str">
        <f aca="false">IF(BR116=0,"",10*(7.5+(0.5*DC116)))</f>
        <v/>
      </c>
      <c r="DM116" s="244" t="str">
        <f aca="false">IF(BR116=0,"",8*DC116)</f>
        <v/>
      </c>
      <c r="DN116" s="244" t="str">
        <f aca="false">IF(AW116=" "," ",IF(DC116=""," ",IF(DC116&lt;4,10*10.2,IF(DC116=4,12*10.2,IF(DC116&lt;10,17.5*10.5,IF(DC116=10,15*10.2,IF(DC116&lt;30,22.5*10.2,IF(DC116=30,35*10.2,IF(DC116&lt;50,40*10.2,IF(DC116=50,50*10.2,55*10.2))))))))))</f>
        <v> </v>
      </c>
      <c r="DO116" s="244" t="str">
        <f aca="false">IF(BR116=0,"",7*SQRT(DC116)*10.1972)</f>
        <v/>
      </c>
      <c r="DP116" s="244" t="str">
        <f aca="false">IF(BR116=0,"",IF(AS116=$AX$4,5*CC116,""))</f>
        <v/>
      </c>
      <c r="DQ116" s="244" t="str">
        <f aca="false">IF(AW116=" "," ",IF(DC116=""," ",IF(DC116&lt;2,4*10.2,IF(DC116=2,6*10.2,IF(DC116&lt;4,12*10.2,IF(DC116=4,20*10.2,IF(DC116&lt;8,30*10.2,IF(DC116=8,35*10.2,IF(DC116&lt;15,40*10.2,IF(DC116=15,42*10.2,IF(DC116&lt;30,45*10.2,IF(DC116=30,50*10.2,70*10.2))))))))))))</f>
        <v> </v>
      </c>
      <c r="DR116" s="244" t="str">
        <f aca="false">IF(BR116=0,"",IF(AS116=$AX$4,220*DP116*0.0101972,""))</f>
        <v/>
      </c>
      <c r="DS116" s="271" t="str">
        <f aca="false">IF(BR116=0,"",IF(AS116=$AX$7,(SUM(DH116:DO116)-MIN(DH116:DO116)-MAX(DH116:DO116))/6,(SUM(DO116:DR116)-MIN(DO116:DR116)-MAX(DO116:DR116))/2))</f>
        <v/>
      </c>
      <c r="DT116" s="244" t="str">
        <f aca="false">IF(AW116=" "," ",IF(DC116=""," ",IF(DC116&lt;4,0.2,IF(DC116=4,0.27,IF(DC116&lt;10,0.33,IF(DC116=10,0.35,IF(DC116&lt;30,0.36,IF(DC116=30,0.37,IF(DC116&lt;50,0.38,IF(DC116=50,0.4,0.45))))))))))</f>
        <v> </v>
      </c>
      <c r="DU116" s="272" t="str">
        <f aca="false">IF(AW116=" "," ",IF(CC116=""," ",IF(CC116&lt;2,0.2,IF(CC116=2,0.23,IF(CC116&lt;4,0.26,IF(CC116=4,0.29,IF(CC116&lt;8,0.32,IF(CC116=8,0.35,IF(CC116&lt;15,0.38,IF(CC116=15,0.41,IF(CC116&lt;30,0.44,IF(CC116=30,0.47,0.5))))))))))))</f>
        <v> </v>
      </c>
      <c r="DV116" s="244" t="str">
        <f aca="false">IF(BR116=0,"",IF(AS116=$AX$3,DT116,DU116))</f>
        <v/>
      </c>
      <c r="DW116" s="244" t="str">
        <f aca="false">IF(BR116=0,"",IF(DC116&gt;15,15+0.5*(DC116-15),DC116))</f>
        <v/>
      </c>
      <c r="DX116" s="244" t="str">
        <f aca="false">IF(BR116=0,"",IF($S$12="SI",IF(CD116="NO",IF($AD$12&gt;(BO116+1.5*$ED$15),1,0.5),0.5),1))</f>
        <v/>
      </c>
      <c r="DY116" s="244" t="str">
        <f aca="false">IF(BR116=0,"",IF($S$12="SI",IF(CD116="NO",IF($AD$12&gt;(BO116+1.5*$EE$15),1,0.5),0.5),1))</f>
        <v/>
      </c>
      <c r="DZ116" s="244" t="str">
        <f aca="false">IF(BR116=0,"",IF($S$12="SI",IF(CD116="NO",IF($AD$12&gt;(BO116+1.5*$EF$15),1,0.5),0.5),1))</f>
        <v/>
      </c>
      <c r="EA116" s="244" t="str">
        <f aca="false">IF(BR116=0,"",IF($S$12="SI",IF(CD116="NO",IF($AD$12&gt;(BO116+1.5*$ED$15),1,0.5),IF($AD$12=BO116,1,0.5)),1))</f>
        <v/>
      </c>
      <c r="EB116" s="244" t="str">
        <f aca="false">IF(BR116=0,"",IF($S$12="SI",IF(CD116="NO",IF($AD$12&gt;(BO116+1.5*$EE$15),1,0.5),IF($AD$12=BO116,1,0.5)),1))</f>
        <v/>
      </c>
      <c r="EC116" s="244" t="str">
        <f aca="false">IF(BR116=0,"",IF($S$12="SI",IF(CD116="NO",IF($AD$12&gt;(BO116+1.5*$EF$15),1,0.5),IF($AD$12=BO116,1,0.5)),1))</f>
        <v/>
      </c>
      <c r="ED116" s="244" t="str">
        <f aca="false">IF(BR116=0,"",(DW116*($ED$15/10)*(DX116+EA116*(BO116/$ED$15))*1)/3)</f>
        <v/>
      </c>
      <c r="EE116" s="244" t="str">
        <f aca="false">IF(BR116=0,"",(DW116*($EE$15/10)*(DY116+EB116*(BO116/$EE$15))*1)/3)</f>
        <v/>
      </c>
      <c r="EF116" s="244" t="str">
        <f aca="false">IF(BR116=0,"",(DW116*($EF$15/10)*(DZ116+EC116*(BO116/$EF$15))*1)/3)</f>
        <v/>
      </c>
      <c r="EG116" s="273" t="str">
        <f aca="false">IF(BR116=0,"",IF(CD116="SI",0.5,1))</f>
        <v/>
      </c>
      <c r="EH116" s="244" t="str">
        <f aca="false">IF(BR116=0,"",IF((1+0.33*(BO116/$ED$15))&lt;=1.33,(1+0.33*(BO116/$ED$15)),1.33))</f>
        <v/>
      </c>
      <c r="EI116" s="244" t="str">
        <f aca="false">IF(BR116=0,"",IF((1+0.33*(BO116/$EE$15))&lt;=1.33,(1+0.33*(BO116/$EE$15)),1.33))</f>
        <v/>
      </c>
      <c r="EJ116" s="244" t="str">
        <f aca="false">IF(BR116=0,"",IF((1+0.33*(BO116/$EF$15))&lt;=1.33,(1+0.33*(BO116/$EF$15)),1.33))</f>
        <v/>
      </c>
      <c r="EK116" s="244" t="str">
        <f aca="false">IF(BR116=0,"",IF($ED$15&lt;=1.2,((20*DC116*EG116*EH116)/3)*0.010197,((12.5*DC116*((($ED$15+0.3)^2)/$ED$15)*EG116*EH116)/3)*0.010197))</f>
        <v/>
      </c>
      <c r="EL116" s="244" t="str">
        <f aca="false">IF(BR116=0,"",IF($EE$15&lt;=1.2,((20*DC116*EG116*EI116)/3)*0.010197,((12.5*DC116*((($EE$15+0.3)^2)/$EE$15)*EG116*EI116)/3)*0.010197))</f>
        <v/>
      </c>
      <c r="EM116" s="244" t="str">
        <f aca="false">IF(BR116=0,"",IF($EF$15&lt;=1.2,((20*DC116*EG116*EJ116)/3)*0.010197,((12.5*DC116*((($EF$15+0.3)^2)/$EF$15)*EG116*EJ116)/3)*0.010197))</f>
        <v/>
      </c>
      <c r="EN116" s="248" t="str">
        <f aca="false">IF(BR116=0,"",SQRT(12*CC116)+25)</f>
        <v/>
      </c>
      <c r="EO116" s="248" t="str">
        <f aca="false">IF(BR116=0,"",28.5+0.25*CC116)</f>
        <v/>
      </c>
      <c r="EP116" s="248" t="str">
        <f aca="false">IF(BR116=0,"",SQRT(20*CC116)+15)</f>
        <v/>
      </c>
      <c r="EQ116" s="248" t="str">
        <f aca="false">IF(BR116=0,"",23.7+0.57*CC116-0.0006*CC116*CC116)</f>
        <v/>
      </c>
      <c r="ER116" s="248" t="str">
        <f aca="false">IF(BR116=0,"",15+SQRT(12.5*DC116))</f>
        <v/>
      </c>
      <c r="ES116" s="248" t="str">
        <f aca="false">IF(BR116=0,"",3.5*SQRT(CC116)+20)</f>
        <v/>
      </c>
      <c r="ET116" s="248" t="str">
        <f aca="false">IF(BR116=0,"",27.1+0.3*DC116-0.00054*DC116*DC116)</f>
        <v/>
      </c>
      <c r="EU116" s="248" t="str">
        <f aca="false">IF(BR116=0,"",SQRT(20*CC116)+20)</f>
        <v/>
      </c>
      <c r="EV116" s="248" t="str">
        <f aca="false">IF(BR116=0,"",12.79+SQRT(25.86*CC116))</f>
        <v/>
      </c>
      <c r="EW116" s="248" t="str">
        <f aca="false">IF(BR116=0,"",DEGREES(_xlfn.ACOT((CC116/(12.2+20.3*CR116))^0.34)))</f>
        <v/>
      </c>
      <c r="EX116" s="248" t="str">
        <f aca="false">IF(BR116=0,"",24+(5.77*LN(0.17*DC116)))</f>
        <v/>
      </c>
      <c r="EY116" s="248" t="str">
        <f aca="false">IF(BR116=0,"",(SUM(EN116:EX116)-MIN(EN116:EX116)-MAX(EN116:EX116))/9)</f>
        <v/>
      </c>
      <c r="EZ116" s="248" t="str">
        <f aca="false">IF(BR116=0,"", -0.0000000034*CC116^6 + 0.0000008305*CC116^5 - 0.0000741842*CC116^4 + 0.0030204278*CC116^3 - 0.0541594733*CC116^2 + 0.8083147848*CC116 - 0.6182191243)</f>
        <v/>
      </c>
      <c r="FA116" s="249" t="str">
        <f aca="false">IF(BR116=0,"",(0.134811827956989*CC116 - 0.0383064516129019)/2)</f>
        <v/>
      </c>
      <c r="FB116" s="249" t="str">
        <f aca="false">IF(BR116=0,"",CC116*0.065)</f>
        <v/>
      </c>
      <c r="FC116" s="249" t="str">
        <f aca="false">IF(BR116=0,"",(CC116*0.12*0.48)*SQRT((1+SIN(EZ116*((2*PI())/360))/(1-SIN(EZ116*((2*PI())/360))))))</f>
        <v/>
      </c>
      <c r="FD116" s="249" t="str">
        <f aca="false">IF(BR116=0,"",(CC116/8)/2)</f>
        <v/>
      </c>
      <c r="FE116" s="249" t="str">
        <f aca="false">IF(BR116=0,"",(SUM(FA116:FD116)-MIN(FA116:FD116)-MAX(FA116:FD116))/2)</f>
        <v/>
      </c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</row>
    <row r="117" customFormat="false" ht="9.75" hidden="false" customHeight="true" outlineLevel="0" collapsed="false">
      <c r="A117" s="197" t="n">
        <f aca="false">ROUND(A116+0.1,1)</f>
        <v>10</v>
      </c>
      <c r="B117" s="185" t="n">
        <f aca="false">+A117</f>
        <v>10</v>
      </c>
      <c r="C117" s="291"/>
      <c r="D117" s="292"/>
      <c r="E117" s="252"/>
      <c r="F117" s="253"/>
      <c r="G117" s="254"/>
      <c r="H117" s="284"/>
      <c r="I117" s="285"/>
      <c r="J117" s="257"/>
      <c r="K117" s="258"/>
      <c r="L117" s="259"/>
      <c r="M117" s="313"/>
      <c r="N117" s="319"/>
      <c r="O117" s="320"/>
      <c r="P117" s="320"/>
      <c r="Q117" s="293"/>
      <c r="R117" s="314"/>
      <c r="S117" s="315"/>
      <c r="T117" s="295"/>
      <c r="U117" s="295"/>
      <c r="V117" s="296"/>
      <c r="W117" s="296"/>
      <c r="X117" s="296"/>
      <c r="Y117" s="296"/>
      <c r="Z117" s="296"/>
      <c r="AA117" s="296"/>
      <c r="AB117" s="297"/>
      <c r="AC117" s="298"/>
      <c r="AD117" s="299"/>
      <c r="AE117" s="298"/>
      <c r="AF117" s="300"/>
      <c r="AG117" s="267"/>
      <c r="AH117" s="267"/>
      <c r="AI117" s="241"/>
      <c r="AJ117" s="241"/>
      <c r="AK117" s="266"/>
      <c r="AL117" s="266"/>
      <c r="AM117" s="268"/>
      <c r="AN117" s="281" t="n">
        <f aca="false">+AN115+0.2</f>
        <v>10</v>
      </c>
      <c r="AO117" s="291"/>
      <c r="AP117" s="292"/>
      <c r="AQ117" s="252"/>
      <c r="AR117" s="253"/>
      <c r="AS117" s="322" t="s">
        <v>21</v>
      </c>
      <c r="AT117" s="221"/>
      <c r="AU117" s="322"/>
      <c r="AV117" s="322"/>
      <c r="AW117" s="323" t="n">
        <f aca="false">+K117+L117</f>
        <v>0</v>
      </c>
      <c r="AX117" s="323" t="str">
        <f aca="false">IF(AS117="&gt;50","CONSISTENCIA",IF(AS117="&lt;50","COMPACIDAD"," "))</f>
        <v>CONSISTENCIA</v>
      </c>
      <c r="AY117" s="324" t="str">
        <f aca="false">IF(AS117="&gt;50",AZ117,IF(AS117="&lt;50",BA117," "))</f>
        <v> </v>
      </c>
      <c r="AZ117" s="224" t="str">
        <f aca="false">IF(AW117=" "," ",IF(CC117=""," ",IF(CC117&lt;2,"MUY BLANDA",IF(CC117=2,"MUY BLANDA A BLANDA",IF(CC117&lt;4,"BLANDA",IF(CC117=4,"BLANDA A MEDIA",IF(CC117&lt;8,"MEDIA",IF(CC117=8,"MEDIA A FIRME",IF(CC117&lt;15,"FIRME",IF(CC117=15,"FIRME A MUY FIRME",IF(CC117&lt;30,"MUY FIRME",IF(CC117=30,"MUY FIRME A DURA","DURA"))))))))))))</f>
        <v> </v>
      </c>
      <c r="BA117" s="225" t="str">
        <f aca="false">IF(AW117=" "," ",IF(DC117=""," ",IF(DC117&lt;4,"MUY SUELTA",IF(DC117=4,"MUY SUELTA A SUELTA",IF(DC117&lt;10,"SUELTA",IF(DC117=10,"SUELTA A MEDIA",IF(DC117&lt;30,"MEDIA",IF(DC117=30,"MEDIA A DENSO",IF(DC117&lt;50,"DENSO",IF(DC117=50,"DENSO MUY DENSO","MUY DENSO"))))))))))</f>
        <v> </v>
      </c>
      <c r="BB117" s="325"/>
      <c r="BC117" s="227" t="n">
        <f aca="false">+BC116+0.1</f>
        <v>9.99999999999998</v>
      </c>
      <c r="BD117" s="227" t="str">
        <f aca="false">IF(BC117&lt;=$AN$10,BC117,"")</f>
        <v/>
      </c>
      <c r="BE117" s="228" t="n">
        <f aca="false">ISNUMBER(BD117)</f>
        <v>0</v>
      </c>
      <c r="BF117" s="229" t="str">
        <f aca="false">MID(M117,1,1)</f>
        <v/>
      </c>
      <c r="BG117" s="230" t="str">
        <f aca="false">IF(BF117="S","",IF(BF117="G","",MID(M117,2,1)))</f>
        <v/>
      </c>
      <c r="BH117" s="231" t="str">
        <f aca="false">CONCATENATE(BF117,BG117)</f>
        <v/>
      </c>
      <c r="BI117" s="6" t="str">
        <f aca="false">IF(BE117=FALSE(),"",IF(BH117="",BI116,BH117))</f>
        <v/>
      </c>
      <c r="BJ117" s="74" t="str">
        <f aca="false">IF(OR(BI117="S",BI117="G"),BI117,"X")</f>
        <v>X</v>
      </c>
      <c r="BK117" s="74" t="s">
        <v>277</v>
      </c>
      <c r="BL117" s="6" t="e">
        <f aca="false">INDEX(sim_0,MATCH($BJ$117,granular,0))</f>
        <v>#NAME?</v>
      </c>
      <c r="BM117" s="6"/>
      <c r="BN117" s="6"/>
      <c r="BO117" s="191" t="n">
        <f aca="false">BO116+0.1</f>
        <v>9.99999999999998</v>
      </c>
      <c r="BP117" s="233" t="e">
        <f aca="false">IF(AW117=0,NA(),IF(AS117=$AX$3,ROUND(DC117,0),NA()))</f>
        <v>#N/A</v>
      </c>
      <c r="BQ117" s="31" t="e">
        <f aca="false">IF(AW117=0,NA(),IF(AS117=$AX$4,ROUND(CC117,0),NA()))</f>
        <v>#N/A</v>
      </c>
      <c r="BR117" s="234" t="n">
        <f aca="false">+AW117</f>
        <v>0</v>
      </c>
      <c r="BS117" s="235" t="str">
        <f aca="false">IF(BR117=0,"", -0.00000000016128755327*CC117^6 + 0.00000006709386362421*CC117^5 - 0.0000106217678052217*CC117^4 + 0.00081068114193385*CC117^3 - 0.0314027378159951*CC117^2 + 0.649796593937842*CC117 + 13.7888866455022)</f>
        <v/>
      </c>
      <c r="BT117" s="235" t="str">
        <f aca="false">IF(BR117=0,"",-0.00000000014625939695*CC117^6 + 0.00000004971732060241*CC117^5 - 0.000006683744342031*CC117^4 + 0.0004563177378098*CC117^3 - 0.0171727530635803*CC117^2 + 0.444529932876435*CC117 + 15.6692518940565)</f>
        <v/>
      </c>
      <c r="BU117" s="236" t="str">
        <f aca="false">IF(BR117=0,"", -0.0000000008152265738*BR117^6 + 0.00000022764320256987*BR117^5 - 0.0000248205675927705*BR117^4 + 0.00133186623684865*BR117^3 - 0.0368442570441677*BR117^2 + 0.580111565569094*BR117 + 14.0417598296107)</f>
        <v/>
      </c>
      <c r="BV117" s="236" t="str">
        <f aca="false">IF(BR117=0,"", -0.00000000004321395721*BR117^6 + 0.00000002531844275498*BR117^5 - 0.00000369428022780862*BR117^4 + 0.00020283665900125*BR117^3 - 0.00462426256803268*BR117^2 + 0.139572935065453*BR117 + 15.4475338156923)</f>
        <v/>
      </c>
      <c r="BW117" s="236" t="str">
        <f aca="false">IF(BR117=0,"",-0.00000000033126390082*BR117^6 + 0.00000010463660614506*BR117^5 - 0.0000129629592998707*BR117^4 + 0.000803946335250767*BR117^3 - 0.0270257140395994*BR117^2 + 0.562590210721552*BR117+ 12.1254107606419)</f>
        <v/>
      </c>
      <c r="BX117" s="236" t="str">
        <f aca="false">IF(BR117=0,"",-0.00000000002593504955*BR117^6 + 0.00000002430495156704*BR117^5 - 0.00000386103271086364*BR117^4 + 0.000214416118986322*BR117^3 - 0.0047271462612021*BR117^2 + 0.156696175741135*BR117 + 15.4598891949502)</f>
        <v/>
      </c>
      <c r="BY117" s="234" t="str">
        <f aca="false">IF(BR117=0,"",$BS$2)</f>
        <v/>
      </c>
      <c r="BZ117" s="234" t="str">
        <f aca="false">IF(BR117=0,"",$BS$3)</f>
        <v/>
      </c>
      <c r="CA117" s="234" t="str">
        <f aca="false">IF(BR117=0,"",$BS$4)</f>
        <v/>
      </c>
      <c r="CB117" s="235" t="str">
        <f aca="false">IF(BR117=0,"",IF(AND(BO117&gt;=0,BO117&lt;4),0.75,IF(AND(BO117&gt;=4,BO117&lt;6),0.85,IF(AND(BO117&gt;=6,BO117&lt;=10),0.95,1))))</f>
        <v/>
      </c>
      <c r="CC117" s="234" t="str">
        <f aca="false">IF(BR117=0,"",BR117*BY117*BZ117*CA117*CB117/60)</f>
        <v/>
      </c>
      <c r="CD117" s="238" t="str">
        <f aca="false">IF(BR117=0,"",IF($S$12="NO","NO",IF($AD$12&lt;=BO117,"SI","NO")))</f>
        <v/>
      </c>
      <c r="CE117" s="235" t="n">
        <f aca="false">IF(BR117=0,0,AB117)</f>
        <v>0</v>
      </c>
      <c r="CF117" s="235" t="n">
        <f aca="false">IF(CE117&gt;0,BO117,0)</f>
        <v>0</v>
      </c>
      <c r="CG117" s="239" t="n">
        <f aca="false">IF(CF117=0,CF117+CG116,CF117)</f>
        <v>0</v>
      </c>
      <c r="CH117" s="239" t="n">
        <f aca="false">IF(CG117=CG116,CH116,ABS(CG117-CG116))</f>
        <v>0</v>
      </c>
      <c r="CI117" s="239" t="n">
        <f aca="false">+CE117*CH117</f>
        <v>0</v>
      </c>
      <c r="CJ117" s="239" t="n">
        <f aca="false">IF(CI117=0,CI117+CJ116,CI117)</f>
        <v>0</v>
      </c>
      <c r="CK117" s="239" t="n">
        <f aca="false">IF(CJ117=CJ116,CK116,ABS(CJ117+CK116))</f>
        <v>0</v>
      </c>
      <c r="CL117" s="236" t="n">
        <f aca="false">IF(CE117=0,0,CK117)</f>
        <v>0</v>
      </c>
      <c r="CM117" s="239" t="n">
        <f aca="false">IF(CE117=0,0,CH117*9.81)</f>
        <v>0</v>
      </c>
      <c r="CN117" s="239" t="n">
        <f aca="false">IF(CM117=0,CM117+CN116,CM117)</f>
        <v>0</v>
      </c>
      <c r="CO117" s="239" t="n">
        <f aca="false">IF(CN117=CN116,CO116,ABS(CN117+CO116))</f>
        <v>0</v>
      </c>
      <c r="CP117" s="236" t="n">
        <f aca="false">IF(CD117="NO",0,IF(CE117=0,0,CO117))</f>
        <v>0</v>
      </c>
      <c r="CQ117" s="194" t="str">
        <f aca="false">IF(BR117=0,"",CL117-CP117)</f>
        <v/>
      </c>
      <c r="CR117" s="194" t="str">
        <f aca="false">IF(BR117=0,"",CQ117/101.3)</f>
        <v/>
      </c>
      <c r="CS117" s="194" t="str">
        <f aca="false">IF(BR117=0,"",LOG(10/CR117))</f>
        <v/>
      </c>
      <c r="CT117" s="243" t="str">
        <f aca="false">IF(BR117=0,"",IF(SQRT(101.3/CQ117)&lt;=1.7,SQRT(101.3/CQ117),2.2/(1.2+(CQ117/101.3))))</f>
        <v/>
      </c>
      <c r="CU117" s="194" t="str">
        <f aca="false">IF(BR117=0,"",1.7/(0.7+CR117))</f>
        <v/>
      </c>
      <c r="CV117" s="194" t="str">
        <f aca="false">IF(BR117=0,"",IF(CR117&gt;=0.25,0.77*LOG(20/CR117),""))</f>
        <v/>
      </c>
      <c r="CW117" s="194" t="str">
        <f aca="false">IF(BR117=0,"",32.5/(10.2+20.3*CR117))</f>
        <v/>
      </c>
      <c r="CX117" s="194" t="str">
        <f aca="false">IF(BR117=0,"",1-1.25*LOG(CR117))</f>
        <v/>
      </c>
      <c r="CY117" s="194" t="str">
        <f aca="false">IF(BR117=0,"",IF(CR117&lt;1,1-1.41*LOG(CR117),1+0.92*LOG(CR117)))</f>
        <v/>
      </c>
      <c r="CZ117" s="194" t="str">
        <f aca="false">IF(BR117=0,"",2/(1+CR117))</f>
        <v/>
      </c>
      <c r="DA117" s="194" t="str">
        <f aca="false">IF(BR117=0,"",IF(CR117&lt;=0.75,4/(1+4*CR117),4/(3.25+CR117)))</f>
        <v/>
      </c>
      <c r="DB117" s="244" t="str">
        <f aca="false">IF(BR117=0,"",CT117)</f>
        <v/>
      </c>
      <c r="DC117" s="194" t="str">
        <f aca="false">IF(BR117=0,"",DB117*CC117)</f>
        <v/>
      </c>
      <c r="DD117" s="194"/>
      <c r="DE117" s="194" t="str">
        <f aca="false">IF(BR117=0,"",0.193*(CC117/(CQ117*0.001))^0.689)</f>
        <v/>
      </c>
      <c r="DF117" s="194" t="str">
        <f aca="false">IF(BR117=0,"",IF(AS117=$AX$4,(0.1348118*CC117 - 0.0383065)*98.0665,""))</f>
        <v/>
      </c>
      <c r="DG117" s="194" t="str">
        <f aca="false">IF(BR117=0,"",IF(AS117=$AX$4,DF117/2,""))</f>
        <v/>
      </c>
      <c r="DH117" s="244" t="str">
        <f aca="false">IF(BR117=0,"",IF(DC117&lt;=15,12*(DC117+6),40+12*(DC117-6)))</f>
        <v/>
      </c>
      <c r="DI117" s="244" t="str">
        <f aca="false">IF(BR117=0,"",IF(CD117="SI",5*(DC117+15),((3.3*(DC117+15))+(4*(DC117+12)))/2))</f>
        <v/>
      </c>
      <c r="DJ117" s="244" t="str">
        <f aca="false">IF(BR117=0,"",8*DC117)</f>
        <v/>
      </c>
      <c r="DK117" s="194" t="str">
        <f aca="false">IF(BR117=0,"",215+(10.6*DC117))</f>
        <v/>
      </c>
      <c r="DL117" s="194" t="str">
        <f aca="false">IF(BR117=0,"",10*(7.5+(0.5*DC117)))</f>
        <v/>
      </c>
      <c r="DM117" s="194" t="str">
        <f aca="false">IF(BR117=0,"",8*DC117)</f>
        <v/>
      </c>
      <c r="DN117" s="194" t="str">
        <f aca="false">IF(AW117=" "," ",IF(DC117=""," ",IF(DC117&lt;4,10*10.2,IF(DC117=4,12*10.2,IF(DC117&lt;10,17.5*10.5,IF(DC117=10,15*10.2,IF(DC117&lt;30,22.5*10.2,IF(DC117=30,35*10.2,IF(DC117&lt;50,40*10.2,IF(DC117=50,50*10.2,55*10.2))))))))))</f>
        <v> </v>
      </c>
      <c r="DO117" s="194" t="str">
        <f aca="false">IF(BR117=0,"",7*SQRT(DC117)*10.1972)</f>
        <v/>
      </c>
      <c r="DP117" s="194" t="str">
        <f aca="false">IF(BR117=0,"",IF(AS117=$AX$4,5*CC117,""))</f>
        <v/>
      </c>
      <c r="DQ117" s="244" t="str">
        <f aca="false">IF(AW117=" "," ",IF(DC117=""," ",IF(DC117&lt;2,4*10.2,IF(DC117=2,6*10.2,IF(DC117&lt;4,12*10.2,IF(DC117=4,20*10.2,IF(DC117&lt;8,30*10.2,IF(DC117=8,35*10.2,IF(DC117&lt;15,40*10.2,IF(DC117=15,42*10.2,IF(DC117&lt;30,45*10.2,IF(DC117=30,50*10.2,70*10.2))))))))))))</f>
        <v> </v>
      </c>
      <c r="DR117" s="194" t="str">
        <f aca="false">IF(BR117=0,"",IF(AS117=$AX$4,220*DP117*0.0101972,""))</f>
        <v/>
      </c>
      <c r="DS117" s="326" t="str">
        <f aca="false">IF(BR117=0,"",IF(AS117=$AX$7,(SUM(DH117:DO117)-MIN(DH117:DO117)-MAX(DH117:DO117))/6,(SUM(DO117:DR117)-MIN(DO117:DR117)-MAX(DO117:DR117))/2))</f>
        <v/>
      </c>
      <c r="DT117" s="194" t="str">
        <f aca="false">IF(AW117=" "," ",IF(DC117=""," ",IF(DC117&lt;4,0.2,IF(DC117=4,0.27,IF(DC117&lt;10,0.33,IF(DC117=10,0.35,IF(DC117&lt;30,0.36,IF(DC117=30,0.37,IF(DC117&lt;50,0.38,IF(DC117=50,0.4,0.45))))))))))</f>
        <v> </v>
      </c>
      <c r="DU117" s="327" t="str">
        <f aca="false">IF(AW117=" "," ",IF(CC117=""," ",IF(CC117&lt;2,0.2,IF(CC117=2,0.23,IF(CC117&lt;4,0.26,IF(CC117=4,0.29,IF(CC117&lt;8,0.32,IF(CC117=8,0.35,IF(CC117&lt;15,0.38,IF(CC117=15,0.41,IF(CC117&lt;30,0.44,IF(CC117=30,0.47,0.5))))))))))))</f>
        <v> </v>
      </c>
      <c r="DV117" s="194" t="str">
        <f aca="false">IF(BR117=0,"",IF(AS117=$AX$3,DT117,DU117))</f>
        <v/>
      </c>
      <c r="DW117" s="194" t="str">
        <f aca="false">IF(BR117=0,"",IF(DC117&gt;15,15+0.5*(DC117-15),DC117))</f>
        <v/>
      </c>
      <c r="DX117" s="194" t="str">
        <f aca="false">IF(BR117=0,"",IF($S$12="SI",IF(CD117="NO",IF($AD$12&gt;(BO117+1.5*$ED$15),1,0.5),0.5),1))</f>
        <v/>
      </c>
      <c r="DY117" s="194" t="str">
        <f aca="false">IF(BR117=0,"",IF($S$12="SI",IF(CD117="NO",IF($AD$12&gt;(BO117+1.5*$EE$15),1,0.5),0.5),1))</f>
        <v/>
      </c>
      <c r="DZ117" s="194" t="str">
        <f aca="false">IF(BR117=0,"",IF($S$12="SI",IF(CD117="NO",IF($AD$12&gt;(BO117+1.5*$EF$15),1,0.5),0.5),1))</f>
        <v/>
      </c>
      <c r="EA117" s="194" t="str">
        <f aca="false">IF(BR117=0,"",IF($S$12="SI",IF(CD117="NO",IF($AD$12&gt;(BO117+1.5*$ED$15),1,0.5),IF($AD$12=BO117,1,0.5)),1))</f>
        <v/>
      </c>
      <c r="EB117" s="194" t="str">
        <f aca="false">IF(BR117=0,"",IF($S$12="SI",IF(CD117="NO",IF($AD$12&gt;(BO117+1.5*$EE$15),1,0.5),IF($AD$12=BO117,1,0.5)),1))</f>
        <v/>
      </c>
      <c r="EC117" s="194" t="str">
        <f aca="false">IF(BR117=0,"",IF($S$12="SI",IF(CD117="NO",IF($AD$12&gt;(BO117+1.5*$EF$15),1,0.5),IF($AD$12=BO117,1,0.5)),1))</f>
        <v/>
      </c>
      <c r="ED117" s="194" t="str">
        <f aca="false">IF(BR117=0,"",(DW117*($ED$15/10)*(DX117+EA117*(BO117/$ED$15))*1)/3)</f>
        <v/>
      </c>
      <c r="EE117" s="194" t="str">
        <f aca="false">IF(BR117=0,"",(DW117*($EE$15/10)*(DY117+EB117*(BO117/$EE$15))*1)/3)</f>
        <v/>
      </c>
      <c r="EF117" s="194" t="str">
        <f aca="false">IF(BR117=0,"",(DW117*($EF$15/10)*(DZ117+EC117*(BO117/$EF$15))*1)/3)</f>
        <v/>
      </c>
      <c r="EG117" s="195" t="str">
        <f aca="false">IF(BR117=0,"",IF(CD117="SI",0.5,1))</f>
        <v/>
      </c>
      <c r="EH117" s="194" t="str">
        <f aca="false">IF(BR117=0,"",IF((1+0.33*(BO117/$ED$15))&lt;=1.33,(1+0.33*(BO117/$ED$15)),1.33))</f>
        <v/>
      </c>
      <c r="EI117" s="194" t="str">
        <f aca="false">IF(BR117=0,"",IF((1+0.33*(BO117/$EE$15))&lt;=1.33,(1+0.33*(BO117/$EE$15)),1.33))</f>
        <v/>
      </c>
      <c r="EJ117" s="194" t="str">
        <f aca="false">IF(BR117=0,"",IF((1+0.33*(BO117/$EF$15))&lt;=1.33,(1+0.33*(BO117/$EF$15)),1.33))</f>
        <v/>
      </c>
      <c r="EK117" s="194" t="str">
        <f aca="false">IF(BR117=0,"",IF($ED$15&lt;=1.2,((20*DC117*EG117*EH117)/3)*0.010197,((12.5*DC117*((($ED$15+0.3)^2)/$ED$15)*EG117*EH117)/3)*0.010197))</f>
        <v/>
      </c>
      <c r="EL117" s="194" t="str">
        <f aca="false">IF(BR117=0,"",IF($EE$15&lt;=1.2,((20*DC117*EG117*EI117)/3)*0.010197,((12.5*DC117*((($EE$15+0.3)^2)/$EE$15)*EG117*EI117)/3)*0.010197))</f>
        <v/>
      </c>
      <c r="EM117" s="194" t="str">
        <f aca="false">IF(BR117=0,"",IF($EF$15&lt;=1.2,((20*DC117*EG117*EJ117)/3)*0.010197,((12.5*DC117*((($EF$15+0.3)^2)/$EF$15)*EG117*EJ117)/3)*0.010197))</f>
        <v/>
      </c>
      <c r="EN117" s="248" t="str">
        <f aca="false">IF(BR117=0,"",SQRT(12*CC117)+25)</f>
        <v/>
      </c>
      <c r="EO117" s="248" t="str">
        <f aca="false">IF(BR117=0,"",28.5+0.25*CC117)</f>
        <v/>
      </c>
      <c r="EP117" s="248" t="str">
        <f aca="false">IF(BR117=0,"",SQRT(20*CC117)+15)</f>
        <v/>
      </c>
      <c r="EQ117" s="248" t="str">
        <f aca="false">IF(BR117=0,"",23.7+0.57*CC117-0.0006*CC117*CC117)</f>
        <v/>
      </c>
      <c r="ER117" s="248" t="str">
        <f aca="false">IF(BR117=0,"",15+SQRT(12.5*DC117))</f>
        <v/>
      </c>
      <c r="ES117" s="248" t="str">
        <f aca="false">IF(BR117=0,"",3.5*SQRT(CC117)+20)</f>
        <v/>
      </c>
      <c r="ET117" s="248" t="str">
        <f aca="false">IF(BR117=0,"",27.1+0.3*DC117-0.00054*DC117*DC117)</f>
        <v/>
      </c>
      <c r="EU117" s="248" t="str">
        <f aca="false">IF(BR117=0,"",SQRT(20*CC117)+20)</f>
        <v/>
      </c>
      <c r="EV117" s="248" t="str">
        <f aca="false">IF(BR117=0,"",12.79+SQRT(25.86*CC117))</f>
        <v/>
      </c>
      <c r="EW117" s="248" t="str">
        <f aca="false">IF(BR117=0,"",DEGREES(_xlfn.ACOT((CC117/(12.2+20.3*CR117))^0.34)))</f>
        <v/>
      </c>
      <c r="EX117" s="248" t="str">
        <f aca="false">IF(BR117=0,"",24+(5.77*LN(0.17*DC117)))</f>
        <v/>
      </c>
      <c r="EY117" s="248" t="str">
        <f aca="false">IF(BR117=0,"",(SUM(EN117:EX117)-MIN(EN117:EX117)-MAX(EN117:EX117))/9)</f>
        <v/>
      </c>
      <c r="EZ117" s="248" t="str">
        <f aca="false">IF(BR117=0,"", -0.0000000034*CC117^6 + 0.0000008305*CC117^5 - 0.0000741842*CC117^4 + 0.0030204278*CC117^3 - 0.0541594733*CC117^2 + 0.8083147848*CC117 - 0.6182191243)</f>
        <v/>
      </c>
      <c r="FA117" s="249" t="str">
        <f aca="false">IF(BR117=0,"",(0.134811827956989*CC117 - 0.0383064516129019)/2)</f>
        <v/>
      </c>
      <c r="FB117" s="249" t="str">
        <f aca="false">IF(BR117=0,"",CC117*0.065)</f>
        <v/>
      </c>
      <c r="FC117" s="249" t="str">
        <f aca="false">IF(BR117=0,"",(CC117*0.12*0.48)*SQRT((1+SIN(EZ117*((2*PI())/360))/(1-SIN(EZ117*((2*PI())/360))))))</f>
        <v/>
      </c>
      <c r="FD117" s="249" t="str">
        <f aca="false">IF(BR117=0,"",(CC117/8)/2)</f>
        <v/>
      </c>
      <c r="FE117" s="249" t="str">
        <f aca="false">IF(BR117=0,"",(SUM(FA117:FD117)-MIN(FA117:FD117)-MAX(FA117:FD117))/2)</f>
        <v/>
      </c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</row>
    <row r="118" customFormat="false" ht="4.5" hidden="false" customHeight="true" outlineLevel="0" collapsed="false">
      <c r="A118" s="328"/>
      <c r="B118" s="185"/>
      <c r="C118" s="329"/>
      <c r="D118" s="329"/>
      <c r="E118" s="173"/>
      <c r="F118" s="173"/>
      <c r="G118" s="330"/>
      <c r="H118" s="330"/>
      <c r="I118" s="330"/>
      <c r="J118" s="173"/>
      <c r="K118" s="173"/>
      <c r="L118" s="173"/>
      <c r="M118" s="173"/>
      <c r="N118" s="173"/>
      <c r="O118" s="173"/>
      <c r="P118" s="173"/>
      <c r="Q118" s="331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332"/>
      <c r="AM118" s="333"/>
      <c r="AN118" s="281"/>
      <c r="AO118" s="329"/>
      <c r="AP118" s="329"/>
      <c r="AQ118" s="173"/>
      <c r="AR118" s="173"/>
      <c r="AS118" s="334"/>
      <c r="AT118" s="334"/>
      <c r="AU118" s="334"/>
      <c r="AV118" s="335"/>
      <c r="AW118" s="8"/>
      <c r="AX118" s="9"/>
      <c r="AY118" s="9"/>
      <c r="AZ118" s="9"/>
      <c r="BA118" s="9"/>
      <c r="BB118" s="9"/>
      <c r="BC118" s="200"/>
      <c r="BD118" s="200"/>
      <c r="BE118" s="200"/>
      <c r="BF118" s="200"/>
      <c r="BG118" s="200"/>
      <c r="BH118" s="6"/>
      <c r="BI118" s="6"/>
      <c r="BJ118" s="6"/>
      <c r="BK118" s="6"/>
      <c r="BL118" s="6"/>
      <c r="BM118" s="6"/>
      <c r="BN118" s="6"/>
      <c r="BO118" s="191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235" t="n">
        <f aca="false">IF(BR118=0,0,AB118)</f>
        <v>0</v>
      </c>
      <c r="CF118" s="6"/>
      <c r="CG118" s="336"/>
      <c r="CH118" s="239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337"/>
      <c r="DG118" s="338"/>
      <c r="DH118" s="339"/>
      <c r="DI118" s="339"/>
      <c r="DJ118" s="339"/>
      <c r="DK118" s="338"/>
      <c r="DL118" s="338"/>
      <c r="DM118" s="338"/>
      <c r="DN118" s="338"/>
      <c r="DO118" s="338"/>
      <c r="DP118" s="338"/>
      <c r="DQ118" s="338"/>
      <c r="DR118" s="338"/>
      <c r="DS118" s="338"/>
      <c r="DT118" s="338"/>
      <c r="DU118" s="340" t="str">
        <f aca="false">IF(BR118=0,"",IF(AS118=AX104,DT118,#REF!))</f>
        <v/>
      </c>
      <c r="DV118" s="340"/>
      <c r="DW118" s="340"/>
      <c r="DX118" s="340"/>
      <c r="DY118" s="340"/>
      <c r="DZ118" s="340"/>
      <c r="EA118" s="340"/>
      <c r="EB118" s="340"/>
      <c r="EC118" s="340"/>
      <c r="ED118" s="341" t="str">
        <f aca="false">IF(BR118=0,"",IF(CD118="NO",(IF($AD$12&gt;BO118+1.5*$ED$15,(DC118*($ED$15/10)*(1+1*(BO118/$ED$15))*1)/3,(DC118*($ED$15/10)*(0.5+1*(BO118/$ED$15))*1)/3)),IF(CD118="SI",IF($AD$12=BO118,(DC118*($ED$15/10)*(0.5+1*(BO118/$ED$15))*1)/3,(DC118*($ED$15/10)*(0.5+0.5*(BO118/$ED$15))*1)/3))))</f>
        <v/>
      </c>
      <c r="EE118" s="338"/>
      <c r="EF118" s="338"/>
      <c r="EG118" s="338"/>
      <c r="EH118" s="338"/>
      <c r="EI118" s="338"/>
      <c r="EJ118" s="339"/>
      <c r="EK118" s="338"/>
      <c r="EL118" s="338"/>
      <c r="EM118" s="338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</row>
    <row r="119" customFormat="false" ht="11.25" hidden="false" customHeight="true" outlineLevel="0" collapsed="false">
      <c r="A119" s="6"/>
      <c r="B119" s="342" t="s">
        <v>278</v>
      </c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 t="s">
        <v>279</v>
      </c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  <c r="AJ119" s="342"/>
      <c r="AK119" s="342"/>
      <c r="AL119" s="342"/>
      <c r="AM119" s="333"/>
      <c r="AN119" s="6"/>
      <c r="AO119" s="6"/>
      <c r="AP119" s="6"/>
      <c r="AQ119" s="6"/>
      <c r="AR119" s="6"/>
      <c r="AS119" s="343"/>
      <c r="AT119" s="343"/>
      <c r="AU119" s="343"/>
      <c r="AV119" s="8"/>
      <c r="AW119" s="8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6"/>
      <c r="BO119" s="10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344"/>
      <c r="DI119" s="344"/>
      <c r="DJ119" s="344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344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</row>
    <row r="120" customFormat="false" ht="21.75" hidden="false" customHeight="true" outlineLevel="0" collapsed="false">
      <c r="A120" s="6"/>
      <c r="B120" s="345" t="s">
        <v>280</v>
      </c>
      <c r="C120" s="345"/>
      <c r="D120" s="345"/>
      <c r="E120" s="345"/>
      <c r="F120" s="345"/>
      <c r="G120" s="345"/>
      <c r="H120" s="345"/>
      <c r="I120" s="345"/>
      <c r="J120" s="345"/>
      <c r="K120" s="346" t="n">
        <v>60</v>
      </c>
      <c r="L120" s="347" t="s">
        <v>281</v>
      </c>
      <c r="M120" s="347"/>
      <c r="N120" s="347"/>
      <c r="O120" s="348" t="n">
        <v>63.5</v>
      </c>
      <c r="P120" s="347" t="s">
        <v>282</v>
      </c>
      <c r="Q120" s="347"/>
      <c r="R120" s="349" t="n">
        <v>0.76</v>
      </c>
      <c r="S120" s="349"/>
      <c r="T120" s="350" t="s">
        <v>283</v>
      </c>
      <c r="U120" s="351" t="s">
        <v>284</v>
      </c>
      <c r="V120" s="351"/>
      <c r="W120" s="352" t="s">
        <v>285</v>
      </c>
      <c r="X120" s="351" t="s">
        <v>286</v>
      </c>
      <c r="Y120" s="351"/>
      <c r="Z120" s="351"/>
      <c r="AA120" s="351"/>
      <c r="AB120" s="351"/>
      <c r="AC120" s="352" t="s">
        <v>287</v>
      </c>
      <c r="AD120" s="351" t="s">
        <v>288</v>
      </c>
      <c r="AE120" s="351"/>
      <c r="AF120" s="351"/>
      <c r="AG120" s="351"/>
      <c r="AH120" s="353" t="s">
        <v>289</v>
      </c>
      <c r="AI120" s="353"/>
      <c r="AJ120" s="353"/>
      <c r="AK120" s="353"/>
      <c r="AL120" s="354" t="s">
        <v>290</v>
      </c>
      <c r="AM120" s="355"/>
      <c r="AN120" s="6"/>
      <c r="AO120" s="6"/>
      <c r="AP120" s="6"/>
      <c r="AQ120" s="6"/>
      <c r="AR120" s="6"/>
      <c r="AS120" s="8"/>
      <c r="AT120" s="8"/>
      <c r="AU120" s="8"/>
      <c r="AV120" s="8"/>
      <c r="AW120" s="8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6"/>
      <c r="BO120" s="10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344"/>
      <c r="DI120" s="344"/>
      <c r="DJ120" s="344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344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</row>
    <row r="121" customFormat="false" ht="4.5" hidden="false" customHeight="true" outlineLevel="0" collapsed="false">
      <c r="A121" s="6"/>
      <c r="B121" s="356"/>
      <c r="C121" s="357"/>
      <c r="D121" s="357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  <c r="AB121" s="358"/>
      <c r="AC121" s="358"/>
      <c r="AD121" s="358"/>
      <c r="AE121" s="358"/>
      <c r="AF121" s="358"/>
      <c r="AG121" s="358"/>
      <c r="AH121" s="358"/>
      <c r="AI121" s="358"/>
      <c r="AJ121" s="358"/>
      <c r="AK121" s="358"/>
      <c r="AL121" s="359"/>
      <c r="AM121" s="358"/>
      <c r="AN121" s="6"/>
      <c r="AO121" s="6"/>
      <c r="AP121" s="6"/>
      <c r="AQ121" s="6"/>
      <c r="AR121" s="6"/>
      <c r="AS121" s="8"/>
      <c r="AT121" s="8"/>
      <c r="AU121" s="8"/>
      <c r="AV121" s="8"/>
      <c r="AW121" s="8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6"/>
      <c r="BO121" s="10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</row>
    <row r="122" customFormat="false" ht="19.5" hidden="false" customHeight="true" outlineLevel="0" collapsed="false">
      <c r="A122" s="6"/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1"/>
      <c r="N122" s="361"/>
      <c r="O122" s="361"/>
      <c r="P122" s="361"/>
      <c r="Q122" s="361"/>
      <c r="R122" s="361"/>
      <c r="S122" s="361"/>
      <c r="T122" s="362"/>
      <c r="U122" s="363" t="s">
        <v>291</v>
      </c>
      <c r="V122" s="363"/>
      <c r="W122" s="363"/>
      <c r="X122" s="363"/>
      <c r="Y122" s="363"/>
      <c r="Z122" s="363"/>
      <c r="AA122" s="364"/>
      <c r="AB122" s="365" t="s">
        <v>292</v>
      </c>
      <c r="AC122" s="366"/>
      <c r="AD122" s="365"/>
      <c r="AE122" s="367"/>
      <c r="AF122" s="368" t="s">
        <v>293</v>
      </c>
      <c r="AG122" s="368"/>
      <c r="AH122" s="368"/>
      <c r="AI122" s="368"/>
      <c r="AJ122" s="368"/>
      <c r="AK122" s="368"/>
      <c r="AL122" s="368"/>
      <c r="AM122" s="369"/>
      <c r="AN122" s="6"/>
      <c r="AO122" s="6"/>
      <c r="AP122" s="6"/>
      <c r="AQ122" s="6"/>
      <c r="AR122" s="6"/>
      <c r="AS122" s="8"/>
      <c r="AT122" s="8"/>
      <c r="AU122" s="8"/>
      <c r="AV122" s="8"/>
      <c r="AW122" s="8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6"/>
      <c r="BO122" s="10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</row>
    <row r="123" customFormat="false" ht="19.5" hidden="false" customHeight="true" outlineLevel="0" collapsed="false">
      <c r="A123" s="6"/>
      <c r="B123" s="360"/>
      <c r="C123" s="360"/>
      <c r="D123" s="360"/>
      <c r="E123" s="360"/>
      <c r="F123" s="360"/>
      <c r="G123" s="360"/>
      <c r="H123" s="360"/>
      <c r="I123" s="360"/>
      <c r="J123" s="360"/>
      <c r="K123" s="360"/>
      <c r="L123" s="360"/>
      <c r="M123" s="361"/>
      <c r="N123" s="361"/>
      <c r="O123" s="361"/>
      <c r="P123" s="361"/>
      <c r="Q123" s="361"/>
      <c r="R123" s="361"/>
      <c r="S123" s="361"/>
      <c r="T123" s="362"/>
      <c r="U123" s="370" t="s">
        <v>294</v>
      </c>
      <c r="V123" s="370"/>
      <c r="W123" s="370"/>
      <c r="X123" s="370"/>
      <c r="Y123" s="370"/>
      <c r="Z123" s="370"/>
      <c r="AA123" s="371"/>
      <c r="AB123" s="372" t="s">
        <v>295</v>
      </c>
      <c r="AC123" s="373"/>
      <c r="AD123" s="372"/>
      <c r="AE123" s="374"/>
      <c r="AF123" s="368"/>
      <c r="AG123" s="368"/>
      <c r="AH123" s="368"/>
      <c r="AI123" s="368"/>
      <c r="AJ123" s="368"/>
      <c r="AK123" s="368"/>
      <c r="AL123" s="368"/>
      <c r="AM123" s="369"/>
      <c r="AN123" s="6"/>
      <c r="AO123" s="6"/>
      <c r="AP123" s="6"/>
      <c r="AQ123" s="6"/>
      <c r="AR123" s="6"/>
      <c r="AS123" s="8"/>
      <c r="AT123" s="8"/>
      <c r="AU123" s="8"/>
      <c r="AV123" s="8"/>
      <c r="AW123" s="8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6"/>
      <c r="BO123" s="10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</row>
    <row r="124" customFormat="false" ht="23.25" hidden="false" customHeight="true" outlineLevel="0" collapsed="false">
      <c r="A124" s="6"/>
      <c r="B124" s="375" t="s">
        <v>296</v>
      </c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6" t="s">
        <v>297</v>
      </c>
      <c r="N124" s="376"/>
      <c r="O124" s="376"/>
      <c r="P124" s="376"/>
      <c r="Q124" s="376"/>
      <c r="R124" s="376"/>
      <c r="S124" s="376"/>
      <c r="T124" s="377"/>
      <c r="U124" s="378" t="s">
        <v>298</v>
      </c>
      <c r="V124" s="378"/>
      <c r="W124" s="378"/>
      <c r="X124" s="378"/>
      <c r="Y124" s="378"/>
      <c r="Z124" s="379" t="s">
        <v>299</v>
      </c>
      <c r="AA124" s="379"/>
      <c r="AB124" s="379"/>
      <c r="AC124" s="379"/>
      <c r="AD124" s="379"/>
      <c r="AE124" s="379"/>
      <c r="AF124" s="368"/>
      <c r="AG124" s="368"/>
      <c r="AH124" s="368"/>
      <c r="AI124" s="368"/>
      <c r="AJ124" s="368"/>
      <c r="AK124" s="368"/>
      <c r="AL124" s="368"/>
      <c r="AM124" s="369"/>
      <c r="AN124" s="6"/>
      <c r="AO124" s="6"/>
      <c r="AP124" s="6"/>
      <c r="AQ124" s="6"/>
      <c r="AR124" s="6"/>
      <c r="AS124" s="8"/>
      <c r="AT124" s="8"/>
      <c r="AU124" s="8"/>
      <c r="AV124" s="8"/>
      <c r="AW124" s="8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6"/>
      <c r="BO124" s="10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</row>
    <row r="125" customFormat="false" ht="9.75" hidden="false" customHeight="true" outlineLevel="0" collapsed="false">
      <c r="A125" s="6"/>
      <c r="B125" s="380"/>
      <c r="C125" s="380"/>
      <c r="D125" s="380"/>
      <c r="E125" s="380"/>
      <c r="F125" s="380"/>
      <c r="G125" s="380"/>
      <c r="H125" s="380"/>
      <c r="I125" s="380"/>
      <c r="J125" s="380"/>
      <c r="K125" s="380"/>
      <c r="L125" s="380"/>
      <c r="M125" s="380"/>
      <c r="N125" s="380"/>
      <c r="O125" s="380"/>
      <c r="P125" s="380"/>
      <c r="Q125" s="380"/>
      <c r="R125" s="380"/>
      <c r="S125" s="380"/>
      <c r="T125" s="380"/>
      <c r="U125" s="380"/>
      <c r="V125" s="380"/>
      <c r="W125" s="380"/>
      <c r="X125" s="380"/>
      <c r="Y125" s="380"/>
      <c r="Z125" s="380"/>
      <c r="AA125" s="380"/>
      <c r="AB125" s="380"/>
      <c r="AC125" s="380"/>
      <c r="AD125" s="380"/>
      <c r="AE125" s="380"/>
      <c r="AF125" s="380"/>
      <c r="AG125" s="380"/>
      <c r="AH125" s="380"/>
      <c r="AI125" s="380"/>
      <c r="AJ125" s="380"/>
      <c r="AK125" s="380"/>
      <c r="AL125" s="380"/>
      <c r="AM125" s="380"/>
      <c r="AN125" s="6"/>
      <c r="AO125" s="6"/>
      <c r="AP125" s="6"/>
      <c r="AQ125" s="6"/>
      <c r="AR125" s="6"/>
      <c r="AS125" s="8"/>
      <c r="AT125" s="8"/>
      <c r="AU125" s="8"/>
      <c r="AV125" s="8"/>
      <c r="AW125" s="8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6"/>
      <c r="BO125" s="10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</row>
    <row r="126" customFormat="false" ht="9.75" hidden="false" customHeight="true" outlineLevel="0" collapsed="false">
      <c r="A126" s="6"/>
      <c r="B126" s="380"/>
      <c r="C126" s="380"/>
      <c r="D126" s="380"/>
      <c r="E126" s="380"/>
      <c r="F126" s="380"/>
      <c r="G126" s="380"/>
      <c r="H126" s="380"/>
      <c r="I126" s="380"/>
      <c r="J126" s="380"/>
      <c r="K126" s="380"/>
      <c r="L126" s="380"/>
      <c r="M126" s="380"/>
      <c r="N126" s="380"/>
      <c r="O126" s="380"/>
      <c r="P126" s="380"/>
      <c r="Q126" s="380"/>
      <c r="R126" s="380"/>
      <c r="S126" s="380"/>
      <c r="T126" s="380"/>
      <c r="U126" s="380"/>
      <c r="V126" s="380"/>
      <c r="W126" s="380"/>
      <c r="X126" s="380"/>
      <c r="Y126" s="380"/>
      <c r="Z126" s="380"/>
      <c r="AA126" s="380"/>
      <c r="AB126" s="380"/>
      <c r="AC126" s="380"/>
      <c r="AD126" s="380"/>
      <c r="AE126" s="380"/>
      <c r="AF126" s="380"/>
      <c r="AG126" s="380"/>
      <c r="AH126" s="380"/>
      <c r="AI126" s="380"/>
      <c r="AJ126" s="380"/>
      <c r="AK126" s="380"/>
      <c r="AL126" s="380"/>
      <c r="AM126" s="380"/>
      <c r="AN126" s="6"/>
      <c r="AO126" s="6"/>
      <c r="AP126" s="6"/>
      <c r="AQ126" s="6"/>
      <c r="AR126" s="6"/>
      <c r="AS126" s="8"/>
      <c r="AT126" s="8"/>
      <c r="AU126" s="8"/>
      <c r="AV126" s="8"/>
      <c r="AW126" s="8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6"/>
      <c r="BO126" s="10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</row>
    <row r="127" customFormat="false" ht="9.75" hidden="false" customHeight="true" outlineLevel="0" collapsed="false">
      <c r="A127" s="6"/>
      <c r="B127" s="7"/>
      <c r="C127" s="7"/>
      <c r="D127" s="7"/>
      <c r="E127" s="6"/>
      <c r="F127" s="6"/>
      <c r="G127" s="6"/>
      <c r="H127" s="6"/>
      <c r="I127" s="6"/>
      <c r="J127" s="6"/>
      <c r="K127" s="381"/>
      <c r="L127" s="381"/>
      <c r="M127" s="381"/>
      <c r="N127" s="381"/>
      <c r="O127" s="381"/>
      <c r="P127" s="381"/>
      <c r="Q127" s="381"/>
      <c r="R127" s="382"/>
      <c r="S127" s="383"/>
      <c r="T127" s="384" t="s">
        <v>300</v>
      </c>
      <c r="U127" s="384"/>
      <c r="V127" s="384"/>
      <c r="W127" s="384"/>
      <c r="X127" s="384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8"/>
      <c r="AT127" s="8"/>
      <c r="AU127" s="8"/>
      <c r="AV127" s="8"/>
      <c r="AW127" s="8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6"/>
      <c r="BO127" s="10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</row>
    <row r="128" customFormat="false" ht="9.75" hidden="false" customHeight="true" outlineLevel="0" collapsed="false">
      <c r="A128" s="6"/>
      <c r="B128" s="7"/>
      <c r="C128" s="7"/>
      <c r="D128" s="7"/>
      <c r="E128" s="6"/>
      <c r="F128" s="6"/>
      <c r="G128" s="6"/>
      <c r="H128" s="6"/>
      <c r="I128" s="6"/>
      <c r="J128" s="6"/>
      <c r="K128" s="381"/>
      <c r="L128" s="381"/>
      <c r="M128" s="381"/>
      <c r="N128" s="381"/>
      <c r="O128" s="381"/>
      <c r="P128" s="381"/>
      <c r="Q128" s="381"/>
      <c r="R128" s="382"/>
      <c r="S128" s="383"/>
      <c r="T128" s="384"/>
      <c r="U128" s="384"/>
      <c r="V128" s="384"/>
      <c r="W128" s="384"/>
      <c r="X128" s="384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8"/>
      <c r="AT128" s="8"/>
      <c r="AU128" s="8"/>
      <c r="AV128" s="8"/>
      <c r="AW128" s="385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6"/>
      <c r="BO128" s="10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</row>
    <row r="129" customFormat="false" ht="9.75" hidden="false" customHeight="true" outlineLevel="0" collapsed="false">
      <c r="A129" s="6"/>
      <c r="B129" s="7"/>
      <c r="C129" s="7"/>
      <c r="D129" s="7"/>
      <c r="E129" s="6"/>
      <c r="F129" s="6"/>
      <c r="G129" s="6"/>
      <c r="H129" s="6"/>
      <c r="I129" s="6"/>
      <c r="J129" s="6"/>
      <c r="K129" s="381"/>
      <c r="L129" s="381"/>
      <c r="M129" s="381"/>
      <c r="N129" s="381"/>
      <c r="O129" s="381"/>
      <c r="P129" s="381"/>
      <c r="Q129" s="381"/>
      <c r="R129" s="382"/>
      <c r="S129" s="383"/>
      <c r="T129" s="384"/>
      <c r="U129" s="384"/>
      <c r="V129" s="384"/>
      <c r="W129" s="384"/>
      <c r="X129" s="384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8"/>
      <c r="AT129" s="8"/>
      <c r="AU129" s="8"/>
      <c r="AV129" s="8"/>
      <c r="AW129" s="385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6"/>
      <c r="BO129" s="10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</row>
    <row r="130" customFormat="false" ht="9.75" hidden="false" customHeight="true" outlineLevel="0" collapsed="false">
      <c r="A130" s="6"/>
      <c r="B130" s="7"/>
      <c r="C130" s="7"/>
      <c r="D130" s="7"/>
      <c r="E130" s="6"/>
      <c r="F130" s="6"/>
      <c r="G130" s="6"/>
      <c r="H130" s="6"/>
      <c r="I130" s="6"/>
      <c r="J130" s="6"/>
      <c r="K130" s="381"/>
      <c r="L130" s="381"/>
      <c r="M130" s="381"/>
      <c r="N130" s="381"/>
      <c r="O130" s="381"/>
      <c r="P130" s="381"/>
      <c r="Q130" s="381"/>
      <c r="R130" s="382"/>
      <c r="S130" s="383"/>
      <c r="T130" s="384"/>
      <c r="U130" s="384"/>
      <c r="V130" s="384"/>
      <c r="W130" s="384"/>
      <c r="X130" s="384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8"/>
      <c r="AT130" s="8"/>
      <c r="AU130" s="8"/>
      <c r="AV130" s="8"/>
      <c r="AW130" s="385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6"/>
      <c r="BO130" s="10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</row>
    <row r="131" customFormat="false" ht="9.75" hidden="false" customHeight="true" outlineLevel="0" collapsed="false">
      <c r="A131" s="6"/>
      <c r="B131" s="7"/>
      <c r="C131" s="7"/>
      <c r="D131" s="7"/>
      <c r="E131" s="6"/>
      <c r="F131" s="6"/>
      <c r="G131" s="6"/>
      <c r="H131" s="6"/>
      <c r="I131" s="6"/>
      <c r="J131" s="6"/>
      <c r="K131" s="381"/>
      <c r="L131" s="381"/>
      <c r="M131" s="381"/>
      <c r="N131" s="381"/>
      <c r="O131" s="381"/>
      <c r="P131" s="381"/>
      <c r="Q131" s="381"/>
      <c r="R131" s="382"/>
      <c r="S131" s="383"/>
      <c r="T131" s="384"/>
      <c r="U131" s="384"/>
      <c r="V131" s="384"/>
      <c r="W131" s="384"/>
      <c r="X131" s="384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8"/>
      <c r="AT131" s="8"/>
      <c r="AU131" s="8"/>
      <c r="AV131" s="8"/>
      <c r="AW131" s="385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6"/>
      <c r="BO131" s="10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</row>
    <row r="132" customFormat="false" ht="9.75" hidden="false" customHeight="true" outlineLevel="0" collapsed="false">
      <c r="A132" s="6"/>
      <c r="B132" s="7"/>
      <c r="C132" s="7"/>
      <c r="D132" s="7"/>
      <c r="E132" s="6"/>
      <c r="F132" s="6"/>
      <c r="G132" s="6"/>
      <c r="H132" s="6"/>
      <c r="I132" s="6"/>
      <c r="J132" s="6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8"/>
      <c r="AT132" s="8"/>
      <c r="AU132" s="8"/>
      <c r="AV132" s="8"/>
      <c r="AW132" s="385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6"/>
      <c r="BO132" s="10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</row>
    <row r="133" customFormat="false" ht="9.75" hidden="false" customHeight="true" outlineLevel="0" collapsed="false">
      <c r="A133" s="6"/>
      <c r="B133" s="7"/>
      <c r="C133" s="7"/>
      <c r="D133" s="7"/>
      <c r="E133" s="6"/>
      <c r="F133" s="6"/>
      <c r="G133" s="6"/>
      <c r="H133" s="6"/>
      <c r="I133" s="6"/>
      <c r="J133" s="6"/>
      <c r="K133" s="381"/>
      <c r="L133" s="381"/>
      <c r="M133" s="381"/>
      <c r="N133" s="381"/>
      <c r="O133" s="381"/>
      <c r="P133" s="381"/>
      <c r="Q133" s="381"/>
      <c r="R133" s="386"/>
      <c r="S133" s="387"/>
      <c r="T133" s="384" t="s">
        <v>301</v>
      </c>
      <c r="U133" s="384"/>
      <c r="V133" s="384"/>
      <c r="W133" s="384"/>
      <c r="X133" s="384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8"/>
      <c r="AT133" s="8"/>
      <c r="AU133" s="8"/>
      <c r="AV133" s="8"/>
      <c r="AW133" s="385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6"/>
      <c r="BO133" s="10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</row>
    <row r="134" customFormat="false" ht="9.75" hidden="false" customHeight="true" outlineLevel="0" collapsed="false">
      <c r="A134" s="6"/>
      <c r="B134" s="7"/>
      <c r="C134" s="7"/>
      <c r="D134" s="7"/>
      <c r="E134" s="6"/>
      <c r="F134" s="6"/>
      <c r="G134" s="6"/>
      <c r="H134" s="6"/>
      <c r="I134" s="6"/>
      <c r="J134" s="6"/>
      <c r="K134" s="381"/>
      <c r="L134" s="381"/>
      <c r="M134" s="381"/>
      <c r="N134" s="381"/>
      <c r="O134" s="381"/>
      <c r="P134" s="381"/>
      <c r="Q134" s="381"/>
      <c r="R134" s="386"/>
      <c r="S134" s="387"/>
      <c r="T134" s="384"/>
      <c r="U134" s="384"/>
      <c r="V134" s="384"/>
      <c r="W134" s="384"/>
      <c r="X134" s="384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8"/>
      <c r="AT134" s="8"/>
      <c r="AU134" s="8"/>
      <c r="AV134" s="8"/>
      <c r="AW134" s="385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6"/>
      <c r="BO134" s="10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</row>
    <row r="135" customFormat="false" ht="9.75" hidden="false" customHeight="true" outlineLevel="0" collapsed="false">
      <c r="A135" s="6"/>
      <c r="B135" s="7"/>
      <c r="C135" s="7"/>
      <c r="D135" s="7"/>
      <c r="E135" s="6"/>
      <c r="F135" s="6"/>
      <c r="G135" s="6"/>
      <c r="H135" s="6"/>
      <c r="I135" s="6"/>
      <c r="J135" s="6"/>
      <c r="K135" s="381"/>
      <c r="L135" s="381"/>
      <c r="M135" s="381"/>
      <c r="N135" s="381"/>
      <c r="O135" s="381"/>
      <c r="P135" s="381"/>
      <c r="Q135" s="381"/>
      <c r="R135" s="386"/>
      <c r="S135" s="387"/>
      <c r="T135" s="384"/>
      <c r="U135" s="384"/>
      <c r="V135" s="384"/>
      <c r="W135" s="384"/>
      <c r="X135" s="384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8"/>
      <c r="AT135" s="8"/>
      <c r="AU135" s="8"/>
      <c r="AV135" s="8"/>
      <c r="AW135" s="385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6"/>
      <c r="BO135" s="10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</row>
    <row r="136" customFormat="false" ht="9.75" hidden="false" customHeight="true" outlineLevel="0" collapsed="false">
      <c r="A136" s="6"/>
      <c r="B136" s="7"/>
      <c r="C136" s="7"/>
      <c r="D136" s="7"/>
      <c r="E136" s="6"/>
      <c r="F136" s="6"/>
      <c r="G136" s="6"/>
      <c r="H136" s="6"/>
      <c r="I136" s="6"/>
      <c r="J136" s="6"/>
      <c r="K136" s="381"/>
      <c r="L136" s="381"/>
      <c r="M136" s="381"/>
      <c r="N136" s="381"/>
      <c r="O136" s="381"/>
      <c r="P136" s="381"/>
      <c r="Q136" s="381"/>
      <c r="R136" s="386"/>
      <c r="S136" s="387"/>
      <c r="T136" s="384"/>
      <c r="U136" s="384"/>
      <c r="V136" s="384"/>
      <c r="W136" s="384"/>
      <c r="X136" s="384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8"/>
      <c r="AT136" s="8"/>
      <c r="AU136" s="8"/>
      <c r="AV136" s="8"/>
      <c r="AW136" s="385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6"/>
      <c r="BO136" s="10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</row>
    <row r="137" customFormat="false" ht="9.75" hidden="false" customHeight="true" outlineLevel="0" collapsed="false">
      <c r="A137" s="6"/>
      <c r="B137" s="7"/>
      <c r="C137" s="7"/>
      <c r="D137" s="7"/>
      <c r="E137" s="6"/>
      <c r="F137" s="6"/>
      <c r="G137" s="6"/>
      <c r="H137" s="6"/>
      <c r="I137" s="6"/>
      <c r="J137" s="6"/>
      <c r="K137" s="381"/>
      <c r="L137" s="381"/>
      <c r="M137" s="381"/>
      <c r="N137" s="381"/>
      <c r="O137" s="381"/>
      <c r="P137" s="381"/>
      <c r="Q137" s="381"/>
      <c r="R137" s="386"/>
      <c r="S137" s="387"/>
      <c r="T137" s="384"/>
      <c r="U137" s="384"/>
      <c r="V137" s="384"/>
      <c r="W137" s="384"/>
      <c r="X137" s="384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8"/>
      <c r="AT137" s="8"/>
      <c r="AU137" s="8"/>
      <c r="AV137" s="8"/>
      <c r="AW137" s="385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6"/>
      <c r="BO137" s="10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</row>
    <row r="138" customFormat="false" ht="9.75" hidden="false" customHeight="true" outlineLevel="0" collapsed="false">
      <c r="A138" s="6"/>
      <c r="B138" s="7"/>
      <c r="C138" s="7"/>
      <c r="D138" s="7"/>
      <c r="E138" s="6"/>
      <c r="F138" s="6"/>
      <c r="G138" s="6"/>
      <c r="H138" s="6"/>
      <c r="I138" s="6"/>
      <c r="J138" s="6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8"/>
      <c r="AT138" s="8"/>
      <c r="AU138" s="8"/>
      <c r="AV138" s="8"/>
      <c r="AW138" s="385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6"/>
      <c r="BO138" s="10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</row>
    <row r="139" customFormat="false" ht="9.75" hidden="false" customHeight="true" outlineLevel="0" collapsed="false">
      <c r="A139" s="6"/>
      <c r="B139" s="7"/>
      <c r="C139" s="7"/>
      <c r="D139" s="7"/>
      <c r="E139" s="6"/>
      <c r="F139" s="6"/>
      <c r="G139" s="6"/>
      <c r="H139" s="6"/>
      <c r="I139" s="6"/>
      <c r="J139" s="6"/>
      <c r="K139" s="381"/>
      <c r="L139" s="381"/>
      <c r="M139" s="381"/>
      <c r="N139" s="381"/>
      <c r="O139" s="381"/>
      <c r="P139" s="381"/>
      <c r="Q139" s="381"/>
      <c r="R139" s="388"/>
      <c r="S139" s="389"/>
      <c r="T139" s="384" t="s">
        <v>302</v>
      </c>
      <c r="U139" s="384"/>
      <c r="V139" s="384"/>
      <c r="W139" s="384"/>
      <c r="X139" s="384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8"/>
      <c r="AT139" s="8"/>
      <c r="AU139" s="8"/>
      <c r="AV139" s="8"/>
      <c r="AW139" s="385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6"/>
      <c r="BO139" s="10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</row>
    <row r="140" customFormat="false" ht="9.75" hidden="false" customHeight="true" outlineLevel="0" collapsed="false">
      <c r="A140" s="6"/>
      <c r="B140" s="7"/>
      <c r="C140" s="7"/>
      <c r="D140" s="7"/>
      <c r="E140" s="6"/>
      <c r="F140" s="6"/>
      <c r="G140" s="6"/>
      <c r="H140" s="6"/>
      <c r="I140" s="6"/>
      <c r="J140" s="6"/>
      <c r="K140" s="381"/>
      <c r="L140" s="381"/>
      <c r="M140" s="381"/>
      <c r="N140" s="381"/>
      <c r="O140" s="381"/>
      <c r="P140" s="381"/>
      <c r="Q140" s="381"/>
      <c r="R140" s="388"/>
      <c r="S140" s="389"/>
      <c r="T140" s="384"/>
      <c r="U140" s="384"/>
      <c r="V140" s="384"/>
      <c r="W140" s="384"/>
      <c r="X140" s="384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8"/>
      <c r="AT140" s="8"/>
      <c r="AU140" s="8"/>
      <c r="AV140" s="8"/>
      <c r="AW140" s="385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6"/>
      <c r="BO140" s="10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</row>
    <row r="141" customFormat="false" ht="9.75" hidden="false" customHeight="true" outlineLevel="0" collapsed="false">
      <c r="A141" s="6"/>
      <c r="B141" s="7"/>
      <c r="C141" s="7"/>
      <c r="D141" s="7"/>
      <c r="E141" s="6"/>
      <c r="F141" s="6"/>
      <c r="G141" s="6"/>
      <c r="H141" s="6"/>
      <c r="I141" s="6"/>
      <c r="J141" s="6"/>
      <c r="K141" s="381"/>
      <c r="L141" s="381"/>
      <c r="M141" s="381"/>
      <c r="N141" s="381"/>
      <c r="O141" s="381"/>
      <c r="P141" s="381"/>
      <c r="Q141" s="381"/>
      <c r="R141" s="388"/>
      <c r="S141" s="389"/>
      <c r="T141" s="384"/>
      <c r="U141" s="384"/>
      <c r="V141" s="384"/>
      <c r="W141" s="384"/>
      <c r="X141" s="384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8"/>
      <c r="AT141" s="8"/>
      <c r="AU141" s="8"/>
      <c r="AV141" s="8"/>
      <c r="AW141" s="385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6"/>
      <c r="BO141" s="10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</row>
    <row r="142" customFormat="false" ht="9.75" hidden="false" customHeight="true" outlineLevel="0" collapsed="false">
      <c r="A142" s="6"/>
      <c r="B142" s="7"/>
      <c r="C142" s="7"/>
      <c r="D142" s="7"/>
      <c r="E142" s="6"/>
      <c r="F142" s="6"/>
      <c r="G142" s="6"/>
      <c r="H142" s="6"/>
      <c r="I142" s="6"/>
      <c r="J142" s="6"/>
      <c r="K142" s="381"/>
      <c r="L142" s="381"/>
      <c r="M142" s="381"/>
      <c r="N142" s="381"/>
      <c r="O142" s="381"/>
      <c r="P142" s="381"/>
      <c r="Q142" s="381"/>
      <c r="R142" s="388"/>
      <c r="S142" s="389"/>
      <c r="T142" s="384"/>
      <c r="U142" s="384"/>
      <c r="V142" s="384"/>
      <c r="W142" s="384"/>
      <c r="X142" s="384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8"/>
      <c r="AT142" s="8"/>
      <c r="AU142" s="8"/>
      <c r="AV142" s="8"/>
      <c r="AW142" s="385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6"/>
      <c r="BO142" s="10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</row>
    <row r="143" customFormat="false" ht="9.75" hidden="false" customHeight="true" outlineLevel="0" collapsed="false">
      <c r="A143" s="6"/>
      <c r="B143" s="7"/>
      <c r="C143" s="7"/>
      <c r="D143" s="7"/>
      <c r="E143" s="6"/>
      <c r="F143" s="6"/>
      <c r="G143" s="6"/>
      <c r="H143" s="6"/>
      <c r="I143" s="6"/>
      <c r="J143" s="6"/>
      <c r="K143" s="381"/>
      <c r="L143" s="381"/>
      <c r="M143" s="381"/>
      <c r="N143" s="381"/>
      <c r="O143" s="381"/>
      <c r="P143" s="381"/>
      <c r="Q143" s="381"/>
      <c r="R143" s="388"/>
      <c r="S143" s="389"/>
      <c r="T143" s="384"/>
      <c r="U143" s="384"/>
      <c r="V143" s="384"/>
      <c r="W143" s="384"/>
      <c r="X143" s="384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8"/>
      <c r="AT143" s="8"/>
      <c r="AU143" s="8"/>
      <c r="AV143" s="8"/>
      <c r="AW143" s="385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6"/>
      <c r="BO143" s="10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</row>
    <row r="144" customFormat="false" ht="9.75" hidden="false" customHeight="true" outlineLevel="0" collapsed="false">
      <c r="A144" s="6"/>
      <c r="B144" s="7"/>
      <c r="C144" s="7"/>
      <c r="D144" s="7"/>
      <c r="E144" s="6"/>
      <c r="F144" s="6"/>
      <c r="G144" s="6"/>
      <c r="H144" s="6"/>
      <c r="I144" s="6"/>
      <c r="J144" s="6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8"/>
      <c r="AT144" s="8"/>
      <c r="AU144" s="8"/>
      <c r="AV144" s="8"/>
      <c r="AW144" s="385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6"/>
      <c r="BO144" s="10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</row>
    <row r="145" customFormat="false" ht="9.75" hidden="false" customHeight="true" outlineLevel="0" collapsed="false">
      <c r="A145" s="6"/>
      <c r="B145" s="7"/>
      <c r="C145" s="7"/>
      <c r="D145" s="7"/>
      <c r="E145" s="6"/>
      <c r="F145" s="6"/>
      <c r="G145" s="6"/>
      <c r="H145" s="6"/>
      <c r="I145" s="6"/>
      <c r="J145" s="6"/>
      <c r="K145" s="381"/>
      <c r="L145" s="381"/>
      <c r="M145" s="381"/>
      <c r="N145" s="381"/>
      <c r="O145" s="381"/>
      <c r="P145" s="381"/>
      <c r="Q145" s="381"/>
      <c r="R145" s="390"/>
      <c r="S145" s="391"/>
      <c r="T145" s="384" t="s">
        <v>303</v>
      </c>
      <c r="U145" s="384"/>
      <c r="V145" s="384"/>
      <c r="W145" s="384"/>
      <c r="X145" s="384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8"/>
      <c r="AT145" s="8"/>
      <c r="AU145" s="8"/>
      <c r="AV145" s="8"/>
      <c r="AW145" s="385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6"/>
      <c r="BO145" s="10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</row>
    <row r="146" customFormat="false" ht="9.75" hidden="false" customHeight="true" outlineLevel="0" collapsed="false">
      <c r="A146" s="6"/>
      <c r="B146" s="7"/>
      <c r="C146" s="7"/>
      <c r="D146" s="7"/>
      <c r="E146" s="6"/>
      <c r="F146" s="6"/>
      <c r="G146" s="6"/>
      <c r="H146" s="6"/>
      <c r="I146" s="6"/>
      <c r="J146" s="6"/>
      <c r="K146" s="381"/>
      <c r="L146" s="381"/>
      <c r="M146" s="381"/>
      <c r="N146" s="381"/>
      <c r="O146" s="381"/>
      <c r="P146" s="381"/>
      <c r="Q146" s="381"/>
      <c r="R146" s="390"/>
      <c r="S146" s="391"/>
      <c r="T146" s="384"/>
      <c r="U146" s="384"/>
      <c r="V146" s="384"/>
      <c r="W146" s="384"/>
      <c r="X146" s="384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8"/>
      <c r="AT146" s="8"/>
      <c r="AU146" s="8"/>
      <c r="AV146" s="8"/>
      <c r="AW146" s="385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6"/>
      <c r="BO146" s="10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</row>
    <row r="147" customFormat="false" ht="9.75" hidden="false" customHeight="true" outlineLevel="0" collapsed="false">
      <c r="A147" s="6"/>
      <c r="B147" s="7"/>
      <c r="C147" s="7"/>
      <c r="D147" s="7"/>
      <c r="E147" s="6"/>
      <c r="F147" s="6"/>
      <c r="G147" s="6"/>
      <c r="H147" s="6"/>
      <c r="I147" s="6"/>
      <c r="J147" s="6"/>
      <c r="K147" s="381"/>
      <c r="L147" s="381"/>
      <c r="M147" s="381"/>
      <c r="N147" s="381"/>
      <c r="O147" s="381"/>
      <c r="P147" s="381"/>
      <c r="Q147" s="381"/>
      <c r="R147" s="390"/>
      <c r="S147" s="391"/>
      <c r="T147" s="384"/>
      <c r="U147" s="384"/>
      <c r="V147" s="384"/>
      <c r="W147" s="384"/>
      <c r="X147" s="384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8"/>
      <c r="AT147" s="8"/>
      <c r="AU147" s="8"/>
      <c r="AV147" s="8"/>
      <c r="AW147" s="385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6"/>
      <c r="BO147" s="10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392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</row>
    <row r="148" customFormat="false" ht="9.75" hidden="false" customHeight="true" outlineLevel="0" collapsed="false">
      <c r="A148" s="6"/>
      <c r="B148" s="7"/>
      <c r="C148" s="7"/>
      <c r="D148" s="7"/>
      <c r="E148" s="6"/>
      <c r="F148" s="6"/>
      <c r="G148" s="6"/>
      <c r="H148" s="6"/>
      <c r="I148" s="6"/>
      <c r="J148" s="6"/>
      <c r="K148" s="381"/>
      <c r="L148" s="381"/>
      <c r="M148" s="381"/>
      <c r="N148" s="381"/>
      <c r="O148" s="381"/>
      <c r="P148" s="381"/>
      <c r="Q148" s="381"/>
      <c r="R148" s="390"/>
      <c r="S148" s="391"/>
      <c r="T148" s="384"/>
      <c r="U148" s="384"/>
      <c r="V148" s="384"/>
      <c r="W148" s="384"/>
      <c r="X148" s="384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8"/>
      <c r="AT148" s="8"/>
      <c r="AU148" s="8"/>
      <c r="AV148" s="8"/>
      <c r="AW148" s="385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6"/>
      <c r="BO148" s="10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393"/>
      <c r="FF148" s="393"/>
      <c r="FG148" s="392"/>
      <c r="FH148" s="393"/>
      <c r="FI148" s="393"/>
      <c r="FJ148" s="393"/>
      <c r="FK148" s="393"/>
      <c r="FL148" s="393"/>
      <c r="FM148" s="393"/>
      <c r="FN148" s="6"/>
      <c r="FO148" s="6"/>
      <c r="FP148" s="6"/>
      <c r="FQ148" s="6"/>
      <c r="FR148" s="6"/>
      <c r="FS148" s="6"/>
      <c r="FT148" s="6"/>
      <c r="FU148" s="6"/>
      <c r="FV148" s="6"/>
      <c r="FW148" s="6"/>
    </row>
    <row r="149" customFormat="false" ht="9.75" hidden="false" customHeight="true" outlineLevel="0" collapsed="false">
      <c r="A149" s="6"/>
      <c r="B149" s="7"/>
      <c r="C149" s="7"/>
      <c r="D149" s="7"/>
      <c r="E149" s="6"/>
      <c r="F149" s="6"/>
      <c r="G149" s="6"/>
      <c r="H149" s="6"/>
      <c r="I149" s="6"/>
      <c r="J149" s="6"/>
      <c r="K149" s="381"/>
      <c r="L149" s="381"/>
      <c r="M149" s="381"/>
      <c r="N149" s="381"/>
      <c r="O149" s="381"/>
      <c r="P149" s="381"/>
      <c r="Q149" s="381"/>
      <c r="R149" s="390"/>
      <c r="S149" s="391"/>
      <c r="T149" s="384"/>
      <c r="U149" s="384"/>
      <c r="V149" s="384"/>
      <c r="W149" s="384"/>
      <c r="X149" s="384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8"/>
      <c r="AT149" s="8"/>
      <c r="AU149" s="8"/>
      <c r="AV149" s="8"/>
      <c r="AW149" s="385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6"/>
      <c r="BO149" s="10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393"/>
      <c r="FF149" s="393"/>
      <c r="FG149" s="392"/>
      <c r="FH149" s="393"/>
      <c r="FI149" s="393"/>
      <c r="FJ149" s="393"/>
      <c r="FK149" s="393"/>
      <c r="FL149" s="393"/>
      <c r="FM149" s="393"/>
      <c r="FN149" s="6"/>
      <c r="FO149" s="6"/>
      <c r="FP149" s="6"/>
      <c r="FQ149" s="6"/>
      <c r="FR149" s="6"/>
      <c r="FS149" s="6"/>
      <c r="FT149" s="6"/>
      <c r="FU149" s="6"/>
      <c r="FV149" s="6"/>
      <c r="FW149" s="6"/>
    </row>
    <row r="150" customFormat="false" ht="9.75" hidden="false" customHeight="true" outlineLevel="0" collapsed="false">
      <c r="A150" s="6"/>
      <c r="B150" s="7"/>
      <c r="C150" s="7"/>
      <c r="D150" s="7"/>
      <c r="E150" s="6"/>
      <c r="F150" s="6"/>
      <c r="G150" s="6"/>
      <c r="H150" s="6"/>
      <c r="I150" s="6"/>
      <c r="J150" s="6"/>
      <c r="K150" s="381"/>
      <c r="L150" s="381"/>
      <c r="M150" s="381"/>
      <c r="N150" s="381"/>
      <c r="O150" s="381"/>
      <c r="P150" s="381"/>
      <c r="Q150" s="394"/>
      <c r="R150" s="394"/>
      <c r="S150" s="394"/>
      <c r="T150" s="394"/>
      <c r="U150" s="381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8"/>
      <c r="AT150" s="8"/>
      <c r="AU150" s="8"/>
      <c r="AV150" s="8"/>
      <c r="AW150" s="385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6"/>
      <c r="BO150" s="10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393"/>
      <c r="FF150" s="6"/>
      <c r="FG150" s="392"/>
      <c r="FH150" s="393"/>
      <c r="FI150" s="393"/>
      <c r="FJ150" s="393"/>
      <c r="FK150" s="393"/>
      <c r="FL150" s="393"/>
      <c r="FM150" s="393"/>
      <c r="FN150" s="6"/>
      <c r="FO150" s="6"/>
      <c r="FP150" s="6"/>
      <c r="FQ150" s="6"/>
      <c r="FR150" s="6"/>
      <c r="FS150" s="6"/>
      <c r="FT150" s="6"/>
      <c r="FU150" s="6"/>
      <c r="FV150" s="6"/>
      <c r="FW150" s="6"/>
    </row>
    <row r="151" customFormat="false" ht="9.75" hidden="false" customHeight="true" outlineLevel="0" collapsed="false">
      <c r="A151" s="6"/>
      <c r="B151" s="7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395" t="s">
        <v>304</v>
      </c>
      <c r="S151" s="395"/>
      <c r="T151" s="384" t="s">
        <v>305</v>
      </c>
      <c r="U151" s="384"/>
      <c r="V151" s="384"/>
      <c r="W151" s="384"/>
      <c r="X151" s="384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8"/>
      <c r="AT151" s="8"/>
      <c r="AU151" s="8"/>
      <c r="AV151" s="8"/>
      <c r="AW151" s="385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6"/>
      <c r="BO151" s="10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393"/>
      <c r="FF151" s="6"/>
      <c r="FG151" s="392"/>
      <c r="FH151" s="393"/>
      <c r="FI151" s="393"/>
      <c r="FJ151" s="393"/>
      <c r="FK151" s="393"/>
      <c r="FL151" s="393"/>
      <c r="FM151" s="393"/>
      <c r="FN151" s="6"/>
      <c r="FO151" s="6"/>
      <c r="FP151" s="6"/>
      <c r="FQ151" s="6"/>
      <c r="FR151" s="6"/>
      <c r="FS151" s="6"/>
      <c r="FT151" s="6"/>
      <c r="FU151" s="6"/>
      <c r="FV151" s="6"/>
      <c r="FW151" s="6"/>
    </row>
    <row r="152" customFormat="false" ht="9.75" hidden="false" customHeight="true" outlineLevel="0" collapsed="false">
      <c r="A152" s="6"/>
      <c r="B152" s="7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395" t="s">
        <v>304</v>
      </c>
      <c r="S152" s="395"/>
      <c r="T152" s="384"/>
      <c r="U152" s="384"/>
      <c r="V152" s="384"/>
      <c r="W152" s="384"/>
      <c r="X152" s="384"/>
      <c r="Y152" s="393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8"/>
      <c r="AT152" s="8"/>
      <c r="AU152" s="8"/>
      <c r="AV152" s="8"/>
      <c r="AW152" s="385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6"/>
      <c r="BO152" s="10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393"/>
      <c r="FF152" s="6"/>
      <c r="FG152" s="392"/>
      <c r="FH152" s="393"/>
      <c r="FI152" s="393"/>
      <c r="FJ152" s="393"/>
      <c r="FK152" s="393"/>
      <c r="FL152" s="393"/>
      <c r="FM152" s="393"/>
      <c r="FN152" s="6"/>
      <c r="FO152" s="6"/>
      <c r="FP152" s="6"/>
      <c r="FQ152" s="6"/>
      <c r="FR152" s="6"/>
      <c r="FS152" s="6"/>
      <c r="FT152" s="6"/>
      <c r="FU152" s="6"/>
      <c r="FV152" s="6"/>
      <c r="FW152" s="6"/>
    </row>
    <row r="153" customFormat="false" ht="9.75" hidden="false" customHeight="true" outlineLevel="0" collapsed="false">
      <c r="A153" s="6"/>
      <c r="B153" s="7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395" t="s">
        <v>304</v>
      </c>
      <c r="S153" s="395"/>
      <c r="T153" s="384"/>
      <c r="U153" s="384"/>
      <c r="V153" s="384"/>
      <c r="W153" s="384"/>
      <c r="X153" s="384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8"/>
      <c r="AT153" s="8"/>
      <c r="AU153" s="8"/>
      <c r="AV153" s="8"/>
      <c r="AW153" s="385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6"/>
      <c r="BO153" s="10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393"/>
      <c r="FF153" s="6"/>
      <c r="FG153" s="396"/>
      <c r="FH153" s="393"/>
      <c r="FI153" s="393"/>
      <c r="FJ153" s="393"/>
      <c r="FK153" s="393"/>
      <c r="FL153" s="393"/>
      <c r="FM153" s="393"/>
      <c r="FN153" s="6"/>
      <c r="FO153" s="6"/>
      <c r="FP153" s="6"/>
      <c r="FQ153" s="6"/>
      <c r="FR153" s="6"/>
      <c r="FS153" s="6"/>
      <c r="FT153" s="6"/>
      <c r="FU153" s="6"/>
      <c r="FV153" s="6"/>
      <c r="FW153" s="6"/>
    </row>
    <row r="154" customFormat="false" ht="9.75" hidden="false" customHeight="true" outlineLevel="0" collapsed="false">
      <c r="A154" s="6"/>
      <c r="B154" s="7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395" t="s">
        <v>304</v>
      </c>
      <c r="S154" s="395"/>
      <c r="T154" s="384"/>
      <c r="U154" s="384"/>
      <c r="V154" s="384"/>
      <c r="W154" s="384"/>
      <c r="X154" s="384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8"/>
      <c r="AT154" s="8"/>
      <c r="AU154" s="8"/>
      <c r="AV154" s="8"/>
      <c r="AW154" s="385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6"/>
      <c r="BO154" s="10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393"/>
      <c r="FF154" s="393"/>
      <c r="FG154" s="393"/>
      <c r="FH154" s="393"/>
      <c r="FI154" s="393"/>
      <c r="FJ154" s="393"/>
      <c r="FK154" s="393"/>
      <c r="FL154" s="393"/>
      <c r="FM154" s="393"/>
      <c r="FN154" s="6"/>
      <c r="FO154" s="6"/>
      <c r="FP154" s="6"/>
      <c r="FQ154" s="6"/>
      <c r="FR154" s="6"/>
      <c r="FS154" s="6"/>
      <c r="FT154" s="6"/>
      <c r="FU154" s="6"/>
      <c r="FV154" s="6"/>
      <c r="FW154" s="6"/>
    </row>
    <row r="155" customFormat="false" ht="9.75" hidden="false" customHeight="true" outlineLevel="0" collapsed="false">
      <c r="A155" s="6"/>
      <c r="B155" s="7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395" t="s">
        <v>304</v>
      </c>
      <c r="S155" s="395"/>
      <c r="T155" s="384"/>
      <c r="U155" s="384"/>
      <c r="V155" s="384"/>
      <c r="W155" s="384"/>
      <c r="X155" s="384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8"/>
      <c r="AT155" s="8"/>
      <c r="AU155" s="8"/>
      <c r="AV155" s="8"/>
      <c r="AW155" s="385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6"/>
      <c r="BO155" s="10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393"/>
      <c r="FF155" s="393"/>
      <c r="FG155" s="393"/>
      <c r="FH155" s="393"/>
      <c r="FI155" s="393"/>
      <c r="FJ155" s="393"/>
      <c r="FK155" s="393"/>
      <c r="FL155" s="393"/>
      <c r="FM155" s="393"/>
      <c r="FN155" s="6"/>
      <c r="FO155" s="6"/>
      <c r="FP155" s="6"/>
      <c r="FQ155" s="6"/>
      <c r="FR155" s="6"/>
      <c r="FS155" s="6"/>
      <c r="FT155" s="6"/>
      <c r="FU155" s="6"/>
      <c r="FV155" s="6"/>
      <c r="FW155" s="6"/>
    </row>
    <row r="156" customFormat="false" ht="9.75" hidden="false" customHeight="true" outlineLevel="0" collapsed="false">
      <c r="A156" s="6"/>
      <c r="B156" s="7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8"/>
      <c r="AT156" s="8"/>
      <c r="AU156" s="8"/>
      <c r="AV156" s="8"/>
      <c r="AW156" s="385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6"/>
      <c r="BO156" s="10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397" t="s">
        <v>81</v>
      </c>
      <c r="FF156" s="6" t="s">
        <v>306</v>
      </c>
      <c r="FG156" s="393"/>
      <c r="FH156" s="393"/>
      <c r="FI156" s="393"/>
      <c r="FJ156" s="393"/>
      <c r="FK156" s="393"/>
      <c r="FL156" s="393"/>
      <c r="FM156" s="393"/>
      <c r="FN156" s="6"/>
      <c r="FO156" s="6"/>
      <c r="FP156" s="6"/>
      <c r="FQ156" s="6"/>
      <c r="FR156" s="6"/>
      <c r="FS156" s="6"/>
      <c r="FT156" s="6"/>
      <c r="FU156" s="6"/>
      <c r="FV156" s="6"/>
      <c r="FW156" s="6"/>
    </row>
    <row r="157" customFormat="false" ht="9.75" hidden="false" customHeight="true" outlineLevel="0" collapsed="false">
      <c r="A157" s="6"/>
      <c r="B157" s="7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398" t="s">
        <v>304</v>
      </c>
      <c r="S157" s="398"/>
      <c r="T157" s="384" t="s">
        <v>307</v>
      </c>
      <c r="U157" s="384"/>
      <c r="V157" s="384"/>
      <c r="W157" s="384"/>
      <c r="X157" s="384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8"/>
      <c r="AT157" s="8"/>
      <c r="AU157" s="8"/>
      <c r="AV157" s="8"/>
      <c r="AW157" s="385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6"/>
      <c r="BO157" s="10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397" t="s">
        <v>308</v>
      </c>
      <c r="FF157" s="396"/>
      <c r="FG157" s="393"/>
      <c r="FH157" s="393"/>
      <c r="FI157" s="6"/>
      <c r="FJ157" s="393"/>
      <c r="FK157" s="393"/>
      <c r="FL157" s="393"/>
      <c r="FM157" s="393"/>
      <c r="FN157" s="6"/>
      <c r="FO157" s="6"/>
      <c r="FP157" s="6"/>
      <c r="FQ157" s="6"/>
      <c r="FR157" s="6"/>
      <c r="FS157" s="6"/>
      <c r="FT157" s="6"/>
      <c r="FU157" s="6"/>
      <c r="FV157" s="6"/>
      <c r="FW157" s="6"/>
    </row>
    <row r="158" customFormat="false" ht="9.75" hidden="false" customHeight="true" outlineLevel="0" collapsed="false">
      <c r="A158" s="6"/>
      <c r="B158" s="7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398" t="s">
        <v>304</v>
      </c>
      <c r="S158" s="398"/>
      <c r="T158" s="384"/>
      <c r="U158" s="384"/>
      <c r="V158" s="384"/>
      <c r="W158" s="384"/>
      <c r="X158" s="384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8"/>
      <c r="AT158" s="8"/>
      <c r="AU158" s="8"/>
      <c r="AV158" s="8"/>
      <c r="AW158" s="385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6"/>
      <c r="BO158" s="10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397" t="s">
        <v>309</v>
      </c>
      <c r="FF158" s="396"/>
      <c r="FG158" s="393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</row>
    <row r="159" customFormat="false" ht="9.75" hidden="false" customHeight="true" outlineLevel="0" collapsed="false">
      <c r="A159" s="6"/>
      <c r="B159" s="7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398" t="s">
        <v>304</v>
      </c>
      <c r="S159" s="398"/>
      <c r="T159" s="384"/>
      <c r="U159" s="384"/>
      <c r="V159" s="384"/>
      <c r="W159" s="384"/>
      <c r="X159" s="384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8"/>
      <c r="AT159" s="8"/>
      <c r="AU159" s="8"/>
      <c r="AV159" s="8"/>
      <c r="AW159" s="385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6"/>
      <c r="BO159" s="10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397" t="s">
        <v>310</v>
      </c>
      <c r="FF159" s="396"/>
      <c r="FG159" s="393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</row>
    <row r="160" customFormat="false" ht="9.75" hidden="false" customHeight="true" outlineLevel="0" collapsed="false">
      <c r="A160" s="6"/>
      <c r="B160" s="7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398" t="s">
        <v>304</v>
      </c>
      <c r="S160" s="398"/>
      <c r="T160" s="384"/>
      <c r="U160" s="384"/>
      <c r="V160" s="384"/>
      <c r="W160" s="384"/>
      <c r="X160" s="384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8"/>
      <c r="AT160" s="8"/>
      <c r="AU160" s="8"/>
      <c r="AV160" s="8"/>
      <c r="AW160" s="385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6"/>
      <c r="BO160" s="10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393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</row>
    <row r="161" customFormat="false" ht="9.75" hidden="false" customHeight="true" outlineLevel="0" collapsed="false">
      <c r="A161" s="6"/>
      <c r="B161" s="7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398" t="s">
        <v>304</v>
      </c>
      <c r="S161" s="398"/>
      <c r="T161" s="384"/>
      <c r="U161" s="384"/>
      <c r="V161" s="384"/>
      <c r="W161" s="384"/>
      <c r="X161" s="384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8"/>
      <c r="AT161" s="8"/>
      <c r="AU161" s="8"/>
      <c r="AV161" s="8"/>
      <c r="AW161" s="385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6"/>
      <c r="BO161" s="10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</row>
    <row r="162" customFormat="false" ht="9.75" hidden="false" customHeight="true" outlineLevel="0" collapsed="false">
      <c r="A162" s="6"/>
      <c r="B162" s="7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8"/>
      <c r="AT162" s="8"/>
      <c r="AU162" s="8"/>
      <c r="AV162" s="8"/>
      <c r="AW162" s="385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6"/>
      <c r="BO162" s="10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</row>
    <row r="163" customFormat="false" ht="9.75" hidden="false" customHeight="true" outlineLevel="0" collapsed="false">
      <c r="A163" s="6"/>
      <c r="B163" s="7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32" t="s">
        <v>311</v>
      </c>
      <c r="S163" s="32"/>
      <c r="T163" s="384" t="s">
        <v>312</v>
      </c>
      <c r="U163" s="384"/>
      <c r="V163" s="384"/>
      <c r="W163" s="384"/>
      <c r="X163" s="384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8"/>
      <c r="AT163" s="8"/>
      <c r="AU163" s="8"/>
      <c r="AV163" s="8"/>
      <c r="AW163" s="385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6"/>
      <c r="BO163" s="10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</row>
    <row r="164" customFormat="false" ht="9.75" hidden="false" customHeight="true" outlineLevel="0" collapsed="false">
      <c r="A164" s="6"/>
      <c r="B164" s="7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32" t="s">
        <v>311</v>
      </c>
      <c r="S164" s="32"/>
      <c r="T164" s="384"/>
      <c r="U164" s="384"/>
      <c r="V164" s="384"/>
      <c r="W164" s="384"/>
      <c r="X164" s="384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8"/>
      <c r="AT164" s="8"/>
      <c r="AU164" s="8"/>
      <c r="AV164" s="8"/>
      <c r="AW164" s="385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6"/>
      <c r="BO164" s="10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</row>
    <row r="165" customFormat="false" ht="9.75" hidden="false" customHeight="true" outlineLevel="0" collapsed="false">
      <c r="A165" s="6"/>
      <c r="B165" s="7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32" t="s">
        <v>311</v>
      </c>
      <c r="S165" s="32"/>
      <c r="T165" s="384"/>
      <c r="U165" s="384"/>
      <c r="V165" s="384"/>
      <c r="W165" s="384"/>
      <c r="X165" s="384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8"/>
      <c r="AT165" s="8"/>
      <c r="AU165" s="8"/>
      <c r="AV165" s="8"/>
      <c r="AW165" s="385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6"/>
      <c r="BO165" s="10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</row>
    <row r="166" customFormat="false" ht="9.75" hidden="false" customHeight="true" outlineLevel="0" collapsed="false">
      <c r="A166" s="6"/>
      <c r="B166" s="7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32" t="s">
        <v>311</v>
      </c>
      <c r="S166" s="32"/>
      <c r="T166" s="384"/>
      <c r="U166" s="384"/>
      <c r="V166" s="384"/>
      <c r="W166" s="384"/>
      <c r="X166" s="384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8"/>
      <c r="AT166" s="8"/>
      <c r="AU166" s="8"/>
      <c r="AV166" s="8"/>
      <c r="AW166" s="385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6"/>
      <c r="BO166" s="10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</row>
    <row r="167" customFormat="false" ht="9.75" hidden="false" customHeight="true" outlineLevel="0" collapsed="false">
      <c r="A167" s="6"/>
      <c r="B167" s="7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32" t="s">
        <v>311</v>
      </c>
      <c r="S167" s="32"/>
      <c r="T167" s="384"/>
      <c r="U167" s="384"/>
      <c r="V167" s="384"/>
      <c r="W167" s="384"/>
      <c r="X167" s="384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8"/>
      <c r="AT167" s="8"/>
      <c r="AU167" s="8"/>
      <c r="AV167" s="8"/>
      <c r="AW167" s="385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6"/>
      <c r="BO167" s="10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</row>
    <row r="168" customFormat="false" ht="9.75" hidden="false" customHeight="true" outlineLevel="0" collapsed="false">
      <c r="A168" s="6"/>
      <c r="B168" s="7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8"/>
      <c r="AT168" s="8"/>
      <c r="AU168" s="8"/>
      <c r="AV168" s="8"/>
      <c r="AW168" s="385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6"/>
      <c r="BO168" s="10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</row>
    <row r="169" customFormat="false" ht="9.75" hidden="false" customHeight="true" outlineLevel="0" collapsed="false">
      <c r="A169" s="6"/>
      <c r="B169" s="7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399" t="s">
        <v>313</v>
      </c>
      <c r="S169" s="399"/>
      <c r="T169" s="384" t="s">
        <v>314</v>
      </c>
      <c r="U169" s="384"/>
      <c r="V169" s="384"/>
      <c r="W169" s="384"/>
      <c r="X169" s="384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8"/>
      <c r="AT169" s="8"/>
      <c r="AU169" s="8"/>
      <c r="AV169" s="8"/>
      <c r="AW169" s="385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6"/>
      <c r="BO169" s="10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</row>
    <row r="170" customFormat="false" ht="9.75" hidden="false" customHeight="true" outlineLevel="0" collapsed="false">
      <c r="A170" s="6"/>
      <c r="B170" s="7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399" t="s">
        <v>313</v>
      </c>
      <c r="S170" s="399"/>
      <c r="T170" s="384"/>
      <c r="U170" s="384"/>
      <c r="V170" s="384"/>
      <c r="W170" s="384"/>
      <c r="X170" s="384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8"/>
      <c r="AT170" s="8"/>
      <c r="AU170" s="8"/>
      <c r="AV170" s="8"/>
      <c r="AW170" s="385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6"/>
      <c r="BO170" s="10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</row>
    <row r="171" customFormat="false" ht="9.75" hidden="false" customHeight="true" outlineLevel="0" collapsed="false">
      <c r="A171" s="6"/>
      <c r="B171" s="7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399" t="s">
        <v>313</v>
      </c>
      <c r="S171" s="399"/>
      <c r="T171" s="384"/>
      <c r="U171" s="384"/>
      <c r="V171" s="384"/>
      <c r="W171" s="384"/>
      <c r="X171" s="384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8"/>
      <c r="AT171" s="8"/>
      <c r="AU171" s="8"/>
      <c r="AV171" s="8"/>
      <c r="AW171" s="385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6"/>
      <c r="BO171" s="10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</row>
    <row r="172" customFormat="false" ht="9.75" hidden="false" customHeight="true" outlineLevel="0" collapsed="false">
      <c r="A172" s="6"/>
      <c r="B172" s="7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399" t="s">
        <v>313</v>
      </c>
      <c r="S172" s="399"/>
      <c r="T172" s="384"/>
      <c r="U172" s="384"/>
      <c r="V172" s="384"/>
      <c r="W172" s="384"/>
      <c r="X172" s="384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8"/>
      <c r="AT172" s="8"/>
      <c r="AU172" s="8"/>
      <c r="AV172" s="8"/>
      <c r="AW172" s="385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6"/>
      <c r="BO172" s="10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</row>
    <row r="173" customFormat="false" ht="9.75" hidden="false" customHeight="true" outlineLevel="0" collapsed="false">
      <c r="A173" s="6"/>
      <c r="B173" s="7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399" t="s">
        <v>313</v>
      </c>
      <c r="S173" s="399"/>
      <c r="T173" s="384"/>
      <c r="U173" s="384"/>
      <c r="V173" s="384"/>
      <c r="W173" s="384"/>
      <c r="X173" s="384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8"/>
      <c r="AT173" s="8"/>
      <c r="AU173" s="8"/>
      <c r="AV173" s="8"/>
      <c r="AW173" s="385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6"/>
      <c r="BO173" s="10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</row>
    <row r="174" customFormat="false" ht="9.75" hidden="false" customHeight="true" outlineLevel="0" collapsed="false">
      <c r="A174" s="6"/>
      <c r="B174" s="7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8"/>
      <c r="AT174" s="8"/>
      <c r="AU174" s="8"/>
      <c r="AV174" s="8"/>
      <c r="AW174" s="385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6"/>
      <c r="BO174" s="10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</row>
    <row r="175" customFormat="false" ht="9.75" hidden="false" customHeight="true" outlineLevel="0" collapsed="false">
      <c r="A175" s="6"/>
      <c r="B175" s="7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400" t="s">
        <v>315</v>
      </c>
      <c r="S175" s="400"/>
      <c r="T175" s="384" t="s">
        <v>316</v>
      </c>
      <c r="U175" s="384"/>
      <c r="V175" s="384"/>
      <c r="W175" s="384"/>
      <c r="X175" s="384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8"/>
      <c r="AT175" s="8"/>
      <c r="AU175" s="8"/>
      <c r="AV175" s="8"/>
      <c r="AW175" s="385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6"/>
      <c r="BO175" s="10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</row>
    <row r="176" customFormat="false" ht="9.75" hidden="false" customHeight="true" outlineLevel="0" collapsed="false">
      <c r="A176" s="6"/>
      <c r="B176" s="7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400" t="s">
        <v>315</v>
      </c>
      <c r="S176" s="400"/>
      <c r="T176" s="384"/>
      <c r="U176" s="384"/>
      <c r="V176" s="384"/>
      <c r="W176" s="384"/>
      <c r="X176" s="384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8"/>
      <c r="AT176" s="8"/>
      <c r="AU176" s="8"/>
      <c r="AV176" s="8"/>
      <c r="AW176" s="385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6"/>
      <c r="BO176" s="10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</row>
    <row r="177" customFormat="false" ht="9.75" hidden="false" customHeight="true" outlineLevel="0" collapsed="false">
      <c r="A177" s="6"/>
      <c r="B177" s="7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400" t="s">
        <v>315</v>
      </c>
      <c r="S177" s="400"/>
      <c r="T177" s="384"/>
      <c r="U177" s="384"/>
      <c r="V177" s="384"/>
      <c r="W177" s="384"/>
      <c r="X177" s="384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8"/>
      <c r="AT177" s="8"/>
      <c r="AU177" s="8"/>
      <c r="AV177" s="8"/>
      <c r="AW177" s="385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6"/>
      <c r="BO177" s="10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</row>
    <row r="178" customFormat="false" ht="9.75" hidden="false" customHeight="true" outlineLevel="0" collapsed="false">
      <c r="A178" s="6"/>
      <c r="B178" s="7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400" t="s">
        <v>315</v>
      </c>
      <c r="S178" s="400"/>
      <c r="T178" s="384"/>
      <c r="U178" s="384"/>
      <c r="V178" s="384"/>
      <c r="W178" s="384"/>
      <c r="X178" s="384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8"/>
      <c r="AT178" s="8"/>
      <c r="AU178" s="8"/>
      <c r="AV178" s="8"/>
      <c r="AW178" s="8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6"/>
      <c r="BO178" s="10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</row>
    <row r="179" customFormat="false" ht="9.75" hidden="false" customHeight="true" outlineLevel="0" collapsed="false">
      <c r="A179" s="6"/>
      <c r="B179" s="7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400" t="s">
        <v>315</v>
      </c>
      <c r="S179" s="400"/>
      <c r="T179" s="384"/>
      <c r="U179" s="384"/>
      <c r="V179" s="384"/>
      <c r="W179" s="384"/>
      <c r="X179" s="384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8"/>
      <c r="AT179" s="8"/>
      <c r="AU179" s="8"/>
      <c r="AV179" s="8"/>
      <c r="AW179" s="8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6"/>
      <c r="BO179" s="10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</row>
    <row r="180" customFormat="false" ht="14.25" hidden="false" customHeight="false" outlineLevel="0" collapsed="false">
      <c r="A180" s="6"/>
      <c r="B180" s="7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8"/>
      <c r="AT180" s="8"/>
      <c r="AU180" s="8"/>
      <c r="AV180" s="8"/>
      <c r="AW180" s="8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6"/>
      <c r="BO180" s="10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</row>
    <row r="181" customFormat="false" ht="14.25" hidden="false" customHeight="false" outlineLevel="0" collapsed="false">
      <c r="A181" s="6"/>
      <c r="B181" s="7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8"/>
      <c r="AT181" s="8"/>
      <c r="AU181" s="8"/>
      <c r="AV181" s="8"/>
      <c r="AW181" s="8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6"/>
      <c r="BO181" s="10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</row>
    <row r="182" customFormat="false" ht="14.25" hidden="false" customHeight="false" outlineLevel="0" collapsed="false">
      <c r="A182" s="6"/>
      <c r="B182" s="7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8"/>
      <c r="AT182" s="8"/>
      <c r="AU182" s="8"/>
      <c r="AV182" s="8"/>
      <c r="AW182" s="8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6"/>
      <c r="BO182" s="10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</row>
    <row r="183" customFormat="false" ht="14.25" hidden="false" customHeight="false" outlineLevel="0" collapsed="false">
      <c r="A183" s="6"/>
      <c r="B183" s="7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8"/>
      <c r="AT183" s="8"/>
      <c r="AU183" s="8"/>
      <c r="AV183" s="8"/>
      <c r="AW183" s="8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6"/>
      <c r="BO183" s="10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</row>
    <row r="184" customFormat="false" ht="14.25" hidden="false" customHeight="false" outlineLevel="0" collapsed="false">
      <c r="A184" s="6"/>
      <c r="B184" s="7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8"/>
      <c r="AT184" s="8"/>
      <c r="AU184" s="8"/>
      <c r="AV184" s="8"/>
      <c r="AW184" s="8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6"/>
      <c r="BO184" s="10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</row>
    <row r="185" customFormat="false" ht="14.25" hidden="false" customHeight="false" outlineLevel="0" collapsed="false">
      <c r="A185" s="6"/>
      <c r="B185" s="7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8"/>
      <c r="AT185" s="8"/>
      <c r="AU185" s="8"/>
      <c r="AV185" s="8"/>
      <c r="AW185" s="8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6"/>
      <c r="BO185" s="10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</row>
    <row r="186" customFormat="false" ht="14.25" hidden="false" customHeight="false" outlineLevel="0" collapsed="false">
      <c r="A186" s="6"/>
      <c r="B186" s="7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8"/>
      <c r="AT186" s="8"/>
      <c r="AU186" s="8"/>
      <c r="AV186" s="8"/>
      <c r="AW186" s="8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6"/>
      <c r="BO186" s="10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</row>
    <row r="187" customFormat="false" ht="14.25" hidden="false" customHeight="false" outlineLevel="0" collapsed="false">
      <c r="A187" s="6"/>
      <c r="B187" s="7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8"/>
      <c r="AT187" s="8"/>
      <c r="AU187" s="8"/>
      <c r="AV187" s="8"/>
      <c r="AW187" s="8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6"/>
      <c r="BO187" s="10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</row>
    <row r="188" customFormat="false" ht="14.25" hidden="false" customHeight="false" outlineLevel="0" collapsed="false">
      <c r="A188" s="6"/>
      <c r="B188" s="7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8"/>
      <c r="AT188" s="8"/>
      <c r="AU188" s="8"/>
      <c r="AV188" s="8"/>
      <c r="AW188" s="8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6"/>
      <c r="BO188" s="10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</row>
    <row r="189" customFormat="false" ht="14.25" hidden="false" customHeight="false" outlineLevel="0" collapsed="false">
      <c r="A189" s="6"/>
      <c r="B189" s="7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8"/>
      <c r="AT189" s="8"/>
      <c r="AU189" s="8"/>
      <c r="AV189" s="8"/>
      <c r="AW189" s="8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6"/>
      <c r="BO189" s="10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</row>
    <row r="190" customFormat="false" ht="14.25" hidden="false" customHeight="false" outlineLevel="0" collapsed="false">
      <c r="A190" s="6"/>
      <c r="B190" s="7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8"/>
      <c r="AT190" s="8"/>
      <c r="AU190" s="8"/>
      <c r="AV190" s="8"/>
      <c r="AW190" s="8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6"/>
      <c r="BO190" s="10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</row>
    <row r="191" customFormat="false" ht="14.25" hidden="false" customHeight="false" outlineLevel="0" collapsed="false">
      <c r="A191" s="6"/>
      <c r="B191" s="7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8"/>
      <c r="AT191" s="8"/>
      <c r="AU191" s="8"/>
      <c r="AV191" s="8"/>
      <c r="AW191" s="8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6"/>
      <c r="BO191" s="10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</row>
    <row r="192" customFormat="false" ht="14.25" hidden="false" customHeight="false" outlineLevel="0" collapsed="false">
      <c r="A192" s="6"/>
      <c r="B192" s="7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8"/>
      <c r="AT192" s="8"/>
      <c r="AU192" s="8"/>
      <c r="AV192" s="8"/>
      <c r="AW192" s="8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6"/>
      <c r="BO192" s="10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</row>
    <row r="193" customFormat="false" ht="14.25" hidden="false" customHeight="false" outlineLevel="0" collapsed="false">
      <c r="A193" s="6"/>
      <c r="B193" s="7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8"/>
      <c r="AT193" s="8"/>
      <c r="AU193" s="8"/>
      <c r="AV193" s="8"/>
      <c r="AW193" s="8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6"/>
      <c r="BO193" s="10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</row>
    <row r="194" customFormat="false" ht="14.25" hidden="false" customHeight="false" outlineLevel="0" collapsed="false">
      <c r="A194" s="6"/>
      <c r="B194" s="7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8"/>
      <c r="AT194" s="8"/>
      <c r="AU194" s="8"/>
      <c r="AV194" s="8"/>
      <c r="AW194" s="8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6"/>
      <c r="BO194" s="10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</row>
    <row r="195" customFormat="false" ht="14.25" hidden="false" customHeight="false" outlineLevel="0" collapsed="false">
      <c r="A195" s="6"/>
      <c r="B195" s="7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8"/>
      <c r="AT195" s="8"/>
      <c r="AU195" s="8"/>
      <c r="AV195" s="8"/>
      <c r="AW195" s="8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6"/>
      <c r="BO195" s="10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</row>
    <row r="196" customFormat="false" ht="14.25" hidden="false" customHeight="false" outlineLevel="0" collapsed="false">
      <c r="A196" s="6"/>
      <c r="B196" s="7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8"/>
      <c r="AT196" s="8"/>
      <c r="AU196" s="8"/>
      <c r="AV196" s="8"/>
      <c r="AW196" s="8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6"/>
      <c r="BO196" s="10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</row>
    <row r="197" customFormat="false" ht="14.25" hidden="false" customHeight="false" outlineLevel="0" collapsed="false">
      <c r="A197" s="6"/>
      <c r="B197" s="7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8"/>
      <c r="AT197" s="8"/>
      <c r="AU197" s="8"/>
      <c r="AV197" s="8"/>
      <c r="AW197" s="8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6"/>
      <c r="BO197" s="10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</row>
  </sheetData>
  <mergeCells count="770">
    <mergeCell ref="B2:G5"/>
    <mergeCell ref="H2:AG3"/>
    <mergeCell ref="AH2:AI2"/>
    <mergeCell ref="AJ2:AL2"/>
    <mergeCell ref="AH3:AI3"/>
    <mergeCell ref="AJ3:AL3"/>
    <mergeCell ref="AS3:AS12"/>
    <mergeCell ref="AT3:AT12"/>
    <mergeCell ref="AU3:AV8"/>
    <mergeCell ref="H4:AG4"/>
    <mergeCell ref="AH4:AI4"/>
    <mergeCell ref="AJ4:AL4"/>
    <mergeCell ref="H5:AG5"/>
    <mergeCell ref="AH5:AL5"/>
    <mergeCell ref="BS5:BT5"/>
    <mergeCell ref="B7:G7"/>
    <mergeCell ref="AE7:AH7"/>
    <mergeCell ref="AI7:AL7"/>
    <mergeCell ref="B8:G8"/>
    <mergeCell ref="AE8:AH9"/>
    <mergeCell ref="AI8:AL9"/>
    <mergeCell ref="B9:G9"/>
    <mergeCell ref="AU9:AV12"/>
    <mergeCell ref="EN9:EY9"/>
    <mergeCell ref="EZ9:EZ13"/>
    <mergeCell ref="FA9:FE9"/>
    <mergeCell ref="B10:G10"/>
    <mergeCell ref="AE10:AH10"/>
    <mergeCell ref="AI10:AL10"/>
    <mergeCell ref="BS10:BX11"/>
    <mergeCell ref="EN10:EN13"/>
    <mergeCell ref="EO10:EO13"/>
    <mergeCell ref="EP10:EP13"/>
    <mergeCell ref="EQ10:EQ13"/>
    <mergeCell ref="ER10:ER13"/>
    <mergeCell ref="ES10:ES13"/>
    <mergeCell ref="ET10:ET13"/>
    <mergeCell ref="EU10:EU13"/>
    <mergeCell ref="EV10:EV13"/>
    <mergeCell ref="EX10:EX13"/>
    <mergeCell ref="EY10:EY13"/>
    <mergeCell ref="FA10:FA13"/>
    <mergeCell ref="FB10:FB13"/>
    <mergeCell ref="FC10:FC13"/>
    <mergeCell ref="FD10:FD13"/>
    <mergeCell ref="FE10:FE13"/>
    <mergeCell ref="B12:H12"/>
    <mergeCell ref="I12:L12"/>
    <mergeCell ref="M12:N12"/>
    <mergeCell ref="O12:Q12"/>
    <mergeCell ref="T12:W12"/>
    <mergeCell ref="X12:Y12"/>
    <mergeCell ref="Z12:AC12"/>
    <mergeCell ref="AE12:AH12"/>
    <mergeCell ref="AI12:AL12"/>
    <mergeCell ref="BS12:BT14"/>
    <mergeCell ref="BU12:BX12"/>
    <mergeCell ref="DX12:EF13"/>
    <mergeCell ref="EG12:EM13"/>
    <mergeCell ref="AS13:AS15"/>
    <mergeCell ref="AU13:AU15"/>
    <mergeCell ref="AV13:AV14"/>
    <mergeCell ref="AW13:AW15"/>
    <mergeCell ref="AX13:AY15"/>
    <mergeCell ref="AZ13:AZ15"/>
    <mergeCell ref="BA13:BA15"/>
    <mergeCell ref="BU13:BV14"/>
    <mergeCell ref="BW13:BX14"/>
    <mergeCell ref="B14:F16"/>
    <mergeCell ref="G14:G16"/>
    <mergeCell ref="H14:I16"/>
    <mergeCell ref="J14:L14"/>
    <mergeCell ref="M14:M16"/>
    <mergeCell ref="N14:P16"/>
    <mergeCell ref="Q14:Q16"/>
    <mergeCell ref="R14:S16"/>
    <mergeCell ref="T14:T16"/>
    <mergeCell ref="U14:U16"/>
    <mergeCell ref="V14:AA15"/>
    <mergeCell ref="AB14:AB16"/>
    <mergeCell ref="AC14:AC16"/>
    <mergeCell ref="AD14:AD16"/>
    <mergeCell ref="AE14:AE16"/>
    <mergeCell ref="AF14:AF16"/>
    <mergeCell ref="AG14:AL15"/>
    <mergeCell ref="AN14:AR15"/>
    <mergeCell ref="CS14:DB14"/>
    <mergeCell ref="DH14:DS14"/>
    <mergeCell ref="ED14:EF14"/>
    <mergeCell ref="EG14:EG16"/>
    <mergeCell ref="EH14:EJ14"/>
    <mergeCell ref="EK14:EM14"/>
    <mergeCell ref="EN14:EN17"/>
    <mergeCell ref="EO14:EO17"/>
    <mergeCell ref="EP14:EP17"/>
    <mergeCell ref="EQ14:EQ17"/>
    <mergeCell ref="ER14:ER17"/>
    <mergeCell ref="ES14:ES17"/>
    <mergeCell ref="ET14:ET17"/>
    <mergeCell ref="EU14:EU17"/>
    <mergeCell ref="EV14:EV17"/>
    <mergeCell ref="EW14:EW17"/>
    <mergeCell ref="EX14:EX17"/>
    <mergeCell ref="EY14:EY17"/>
    <mergeCell ref="EZ14:EZ17"/>
    <mergeCell ref="FA14:FA17"/>
    <mergeCell ref="FB14:FB17"/>
    <mergeCell ref="FC14:FC17"/>
    <mergeCell ref="FD14:FD17"/>
    <mergeCell ref="FE14:FE17"/>
    <mergeCell ref="J15:J16"/>
    <mergeCell ref="K15:K16"/>
    <mergeCell ref="L15:L16"/>
    <mergeCell ref="BS15:BS17"/>
    <mergeCell ref="BT15:BT17"/>
    <mergeCell ref="BU15:BU17"/>
    <mergeCell ref="BV15:BV17"/>
    <mergeCell ref="BW15:BW17"/>
    <mergeCell ref="BX15:BX17"/>
    <mergeCell ref="BY15:BY17"/>
    <mergeCell ref="BZ15:BZ17"/>
    <mergeCell ref="CA15:CA17"/>
    <mergeCell ref="CB15:CB17"/>
    <mergeCell ref="CC15:CC17"/>
    <mergeCell ref="CD15:CD17"/>
    <mergeCell ref="CE15:CE17"/>
    <mergeCell ref="CL15:CL17"/>
    <mergeCell ref="CP15:CP17"/>
    <mergeCell ref="CQ15:CQ17"/>
    <mergeCell ref="CR15:CR17"/>
    <mergeCell ref="CS15:CS17"/>
    <mergeCell ref="CT15:CT17"/>
    <mergeCell ref="CU15:CU17"/>
    <mergeCell ref="CV15:CV17"/>
    <mergeCell ref="CW15:CW17"/>
    <mergeCell ref="CX15:CX17"/>
    <mergeCell ref="CY15:CY17"/>
    <mergeCell ref="CZ15:CZ17"/>
    <mergeCell ref="DA15:DA17"/>
    <mergeCell ref="DB15:DB17"/>
    <mergeCell ref="DC15:DC17"/>
    <mergeCell ref="DK15:DK17"/>
    <mergeCell ref="DL15:DL17"/>
    <mergeCell ref="DO15:DO17"/>
    <mergeCell ref="DS15:DS17"/>
    <mergeCell ref="DT15:DT17"/>
    <mergeCell ref="DU15:DU17"/>
    <mergeCell ref="DV15:DV17"/>
    <mergeCell ref="EH15:EH16"/>
    <mergeCell ref="EI15:EI16"/>
    <mergeCell ref="EJ15:EJ16"/>
    <mergeCell ref="EK15:EM15"/>
    <mergeCell ref="B17:B18"/>
    <mergeCell ref="H17:I17"/>
    <mergeCell ref="R17:S17"/>
    <mergeCell ref="AN17:AN18"/>
    <mergeCell ref="M18:M23"/>
    <mergeCell ref="N18:P23"/>
    <mergeCell ref="R18:S23"/>
    <mergeCell ref="V18:AA18"/>
    <mergeCell ref="AG18:AH18"/>
    <mergeCell ref="AI18:AJ18"/>
    <mergeCell ref="AK18:AL18"/>
    <mergeCell ref="B19:B20"/>
    <mergeCell ref="V19:AA19"/>
    <mergeCell ref="AG19:AH19"/>
    <mergeCell ref="AI19:AJ19"/>
    <mergeCell ref="AK19:AL19"/>
    <mergeCell ref="AN19:AN20"/>
    <mergeCell ref="V20:AA20"/>
    <mergeCell ref="AG20:AH20"/>
    <mergeCell ref="AI20:AJ20"/>
    <mergeCell ref="AK20:AL20"/>
    <mergeCell ref="B21:B22"/>
    <mergeCell ref="V21:AA21"/>
    <mergeCell ref="AG21:AH21"/>
    <mergeCell ref="AI21:AJ21"/>
    <mergeCell ref="AK21:AL21"/>
    <mergeCell ref="AN21:AN22"/>
    <mergeCell ref="V22:AA22"/>
    <mergeCell ref="AG22:AH22"/>
    <mergeCell ref="AI22:AJ22"/>
    <mergeCell ref="AK22:AL22"/>
    <mergeCell ref="B23:B24"/>
    <mergeCell ref="V23:AA23"/>
    <mergeCell ref="AG23:AH23"/>
    <mergeCell ref="AI23:AJ23"/>
    <mergeCell ref="AK23:AL23"/>
    <mergeCell ref="AN23:AN24"/>
    <mergeCell ref="M24:M37"/>
    <mergeCell ref="N24:P37"/>
    <mergeCell ref="V24:AA24"/>
    <mergeCell ref="AG24:AH24"/>
    <mergeCell ref="AI24:AJ24"/>
    <mergeCell ref="AK24:AL24"/>
    <mergeCell ref="B25:B26"/>
    <mergeCell ref="V25:AA25"/>
    <mergeCell ref="AG25:AH25"/>
    <mergeCell ref="AI25:AJ25"/>
    <mergeCell ref="AK25:AL25"/>
    <mergeCell ref="AN25:AN26"/>
    <mergeCell ref="G26:G27"/>
    <mergeCell ref="H26:I27"/>
    <mergeCell ref="V26:AA26"/>
    <mergeCell ref="AG26:AH26"/>
    <mergeCell ref="AI26:AJ26"/>
    <mergeCell ref="AK26:AL26"/>
    <mergeCell ref="B27:B28"/>
    <mergeCell ref="V27:AA27"/>
    <mergeCell ref="AG27:AH27"/>
    <mergeCell ref="AI27:AJ27"/>
    <mergeCell ref="AK27:AL27"/>
    <mergeCell ref="AN27:AN28"/>
    <mergeCell ref="V28:AA28"/>
    <mergeCell ref="AG28:AH28"/>
    <mergeCell ref="AI28:AJ28"/>
    <mergeCell ref="AK28:AL28"/>
    <mergeCell ref="B29:B30"/>
    <mergeCell ref="V29:AA29"/>
    <mergeCell ref="AG29:AH29"/>
    <mergeCell ref="AI29:AJ29"/>
    <mergeCell ref="AK29:AL29"/>
    <mergeCell ref="AN29:AN30"/>
    <mergeCell ref="V30:AA30"/>
    <mergeCell ref="AG30:AH30"/>
    <mergeCell ref="AI30:AJ30"/>
    <mergeCell ref="AK30:AL30"/>
    <mergeCell ref="B31:B32"/>
    <mergeCell ref="V31:AA31"/>
    <mergeCell ref="AG31:AH31"/>
    <mergeCell ref="AI31:AJ31"/>
    <mergeCell ref="AK31:AL31"/>
    <mergeCell ref="AN31:AN32"/>
    <mergeCell ref="V32:AA32"/>
    <mergeCell ref="AG32:AH32"/>
    <mergeCell ref="AI32:AJ32"/>
    <mergeCell ref="AK32:AL32"/>
    <mergeCell ref="B33:B34"/>
    <mergeCell ref="V33:AA33"/>
    <mergeCell ref="AG33:AH33"/>
    <mergeCell ref="AI33:AJ33"/>
    <mergeCell ref="AK33:AL33"/>
    <mergeCell ref="AN33:AN34"/>
    <mergeCell ref="V34:AA34"/>
    <mergeCell ref="AG34:AH34"/>
    <mergeCell ref="AI34:AJ34"/>
    <mergeCell ref="AK34:AL34"/>
    <mergeCell ref="B35:B36"/>
    <mergeCell ref="V35:AA35"/>
    <mergeCell ref="AG35:AH35"/>
    <mergeCell ref="AI35:AJ35"/>
    <mergeCell ref="AK35:AL35"/>
    <mergeCell ref="AN35:AN36"/>
    <mergeCell ref="G36:G37"/>
    <mergeCell ref="H36:I37"/>
    <mergeCell ref="V36:AA36"/>
    <mergeCell ref="AG36:AH36"/>
    <mergeCell ref="AI36:AJ36"/>
    <mergeCell ref="AK36:AL36"/>
    <mergeCell ref="B37:B38"/>
    <mergeCell ref="V37:AA37"/>
    <mergeCell ref="AG37:AH37"/>
    <mergeCell ref="AI37:AJ37"/>
    <mergeCell ref="AK37:AL37"/>
    <mergeCell ref="AN37:AN38"/>
    <mergeCell ref="M38:M67"/>
    <mergeCell ref="N38:P67"/>
    <mergeCell ref="R38:S38"/>
    <mergeCell ref="V38:AA38"/>
    <mergeCell ref="AG38:AH38"/>
    <mergeCell ref="AI38:AJ38"/>
    <mergeCell ref="AK38:AL38"/>
    <mergeCell ref="B39:B40"/>
    <mergeCell ref="R39:S39"/>
    <mergeCell ref="V39:AA39"/>
    <mergeCell ref="AG39:AH39"/>
    <mergeCell ref="AI39:AJ39"/>
    <mergeCell ref="AK39:AL39"/>
    <mergeCell ref="AN39:AN40"/>
    <mergeCell ref="G40:G41"/>
    <mergeCell ref="H40:I41"/>
    <mergeCell ref="R40:S40"/>
    <mergeCell ref="V40:AA40"/>
    <mergeCell ref="AG40:AH40"/>
    <mergeCell ref="AI40:AJ40"/>
    <mergeCell ref="AK40:AL40"/>
    <mergeCell ref="B41:B42"/>
    <mergeCell ref="R41:S41"/>
    <mergeCell ref="V41:AA41"/>
    <mergeCell ref="AG41:AH41"/>
    <mergeCell ref="AI41:AJ41"/>
    <mergeCell ref="AK41:AL41"/>
    <mergeCell ref="AN41:AN42"/>
    <mergeCell ref="R42:S42"/>
    <mergeCell ref="V42:AA42"/>
    <mergeCell ref="AG42:AH42"/>
    <mergeCell ref="AI42:AJ42"/>
    <mergeCell ref="AK42:AL42"/>
    <mergeCell ref="B43:B44"/>
    <mergeCell ref="R43:S43"/>
    <mergeCell ref="V43:AA43"/>
    <mergeCell ref="AG43:AH43"/>
    <mergeCell ref="AI43:AJ43"/>
    <mergeCell ref="AK43:AL43"/>
    <mergeCell ref="AN43:AN44"/>
    <mergeCell ref="R44:S44"/>
    <mergeCell ref="V44:AA44"/>
    <mergeCell ref="AG44:AH44"/>
    <mergeCell ref="AI44:AJ44"/>
    <mergeCell ref="AK44:AL44"/>
    <mergeCell ref="B45:B46"/>
    <mergeCell ref="R45:S45"/>
    <mergeCell ref="V45:AA45"/>
    <mergeCell ref="AG45:AH45"/>
    <mergeCell ref="AI45:AJ45"/>
    <mergeCell ref="AK45:AL45"/>
    <mergeCell ref="AN45:AN46"/>
    <mergeCell ref="R46:S46"/>
    <mergeCell ref="V46:AA46"/>
    <mergeCell ref="AG46:AH46"/>
    <mergeCell ref="AI46:AJ46"/>
    <mergeCell ref="AK46:AL46"/>
    <mergeCell ref="B47:B48"/>
    <mergeCell ref="R47:S47"/>
    <mergeCell ref="V47:AA47"/>
    <mergeCell ref="AG47:AH47"/>
    <mergeCell ref="AI47:AJ47"/>
    <mergeCell ref="AK47:AL47"/>
    <mergeCell ref="AN47:AN48"/>
    <mergeCell ref="R48:S48"/>
    <mergeCell ref="V48:AA48"/>
    <mergeCell ref="AG48:AH48"/>
    <mergeCell ref="AI48:AJ48"/>
    <mergeCell ref="AK48:AL48"/>
    <mergeCell ref="B49:B50"/>
    <mergeCell ref="R49:S49"/>
    <mergeCell ref="V49:AA49"/>
    <mergeCell ref="AG49:AH49"/>
    <mergeCell ref="AI49:AJ49"/>
    <mergeCell ref="AK49:AL49"/>
    <mergeCell ref="AN49:AN50"/>
    <mergeCell ref="G50:G51"/>
    <mergeCell ref="H50:I51"/>
    <mergeCell ref="R50:S50"/>
    <mergeCell ref="V50:AA50"/>
    <mergeCell ref="AG50:AH50"/>
    <mergeCell ref="AI50:AJ50"/>
    <mergeCell ref="AK50:AL50"/>
    <mergeCell ref="B51:B52"/>
    <mergeCell ref="R51:S51"/>
    <mergeCell ref="V51:AA51"/>
    <mergeCell ref="AG51:AH51"/>
    <mergeCell ref="AI51:AJ51"/>
    <mergeCell ref="AK51:AL51"/>
    <mergeCell ref="AN51:AN52"/>
    <mergeCell ref="R52:S52"/>
    <mergeCell ref="V52:AA52"/>
    <mergeCell ref="AG52:AH52"/>
    <mergeCell ref="AI52:AJ52"/>
    <mergeCell ref="AK52:AL52"/>
    <mergeCell ref="B53:B54"/>
    <mergeCell ref="R53:S53"/>
    <mergeCell ref="V53:AA53"/>
    <mergeCell ref="AG53:AH53"/>
    <mergeCell ref="AI53:AJ53"/>
    <mergeCell ref="AK53:AL53"/>
    <mergeCell ref="AN53:AN54"/>
    <mergeCell ref="R54:S54"/>
    <mergeCell ref="V54:AA54"/>
    <mergeCell ref="AG54:AH54"/>
    <mergeCell ref="AI54:AJ54"/>
    <mergeCell ref="AK54:AL54"/>
    <mergeCell ref="B55:B56"/>
    <mergeCell ref="R55:S55"/>
    <mergeCell ref="V55:AA55"/>
    <mergeCell ref="AG55:AH55"/>
    <mergeCell ref="AI55:AJ55"/>
    <mergeCell ref="AK55:AL55"/>
    <mergeCell ref="AN55:AN56"/>
    <mergeCell ref="R56:S56"/>
    <mergeCell ref="V56:AA56"/>
    <mergeCell ref="AG56:AH56"/>
    <mergeCell ref="AI56:AJ56"/>
    <mergeCell ref="AK56:AL56"/>
    <mergeCell ref="B57:B58"/>
    <mergeCell ref="R57:S57"/>
    <mergeCell ref="V57:AA57"/>
    <mergeCell ref="AG57:AH57"/>
    <mergeCell ref="AI57:AJ57"/>
    <mergeCell ref="AK57:AL57"/>
    <mergeCell ref="AN57:AN58"/>
    <mergeCell ref="R58:S58"/>
    <mergeCell ref="V58:AA58"/>
    <mergeCell ref="AG58:AH58"/>
    <mergeCell ref="AI58:AJ58"/>
    <mergeCell ref="AK58:AL58"/>
    <mergeCell ref="B59:B60"/>
    <mergeCell ref="R59:S59"/>
    <mergeCell ref="V59:AA59"/>
    <mergeCell ref="AG59:AH59"/>
    <mergeCell ref="AI59:AJ59"/>
    <mergeCell ref="AK59:AL59"/>
    <mergeCell ref="AN59:AN60"/>
    <mergeCell ref="G60:G61"/>
    <mergeCell ref="H60:I61"/>
    <mergeCell ref="R60:S60"/>
    <mergeCell ref="V60:AA60"/>
    <mergeCell ref="AG60:AH60"/>
    <mergeCell ref="AI60:AJ60"/>
    <mergeCell ref="AK60:AL60"/>
    <mergeCell ref="B61:B62"/>
    <mergeCell ref="R61:S61"/>
    <mergeCell ref="V61:AA61"/>
    <mergeCell ref="AG61:AH61"/>
    <mergeCell ref="AI61:AJ61"/>
    <mergeCell ref="AK61:AL61"/>
    <mergeCell ref="AN61:AN62"/>
    <mergeCell ref="R62:S62"/>
    <mergeCell ref="V62:AA62"/>
    <mergeCell ref="AG62:AH62"/>
    <mergeCell ref="AI62:AJ62"/>
    <mergeCell ref="AK62:AL62"/>
    <mergeCell ref="B63:B64"/>
    <mergeCell ref="R63:S63"/>
    <mergeCell ref="V63:AA63"/>
    <mergeCell ref="AG63:AH63"/>
    <mergeCell ref="AI63:AJ63"/>
    <mergeCell ref="AK63:AL63"/>
    <mergeCell ref="AN63:AN64"/>
    <mergeCell ref="R64:S64"/>
    <mergeCell ref="V64:AA64"/>
    <mergeCell ref="AG64:AH64"/>
    <mergeCell ref="AI64:AJ64"/>
    <mergeCell ref="AK64:AL64"/>
    <mergeCell ref="B65:B66"/>
    <mergeCell ref="R65:S65"/>
    <mergeCell ref="V65:AA65"/>
    <mergeCell ref="AG65:AH65"/>
    <mergeCell ref="AI65:AJ65"/>
    <mergeCell ref="AK65:AL65"/>
    <mergeCell ref="AN65:AN66"/>
    <mergeCell ref="R66:S66"/>
    <mergeCell ref="V66:AA66"/>
    <mergeCell ref="AG66:AH66"/>
    <mergeCell ref="AI66:AJ66"/>
    <mergeCell ref="AK66:AL66"/>
    <mergeCell ref="B67:B68"/>
    <mergeCell ref="R67:S67"/>
    <mergeCell ref="V67:AA67"/>
    <mergeCell ref="AG67:AH67"/>
    <mergeCell ref="AI67:AJ67"/>
    <mergeCell ref="AK67:AL67"/>
    <mergeCell ref="AN67:AN68"/>
    <mergeCell ref="M68:M87"/>
    <mergeCell ref="N68:P87"/>
    <mergeCell ref="V68:AA68"/>
    <mergeCell ref="AG68:AH68"/>
    <mergeCell ref="AI68:AJ68"/>
    <mergeCell ref="AK68:AL68"/>
    <mergeCell ref="B69:B70"/>
    <mergeCell ref="V69:AA69"/>
    <mergeCell ref="AG69:AH69"/>
    <mergeCell ref="AI69:AJ69"/>
    <mergeCell ref="AK69:AL69"/>
    <mergeCell ref="AN69:AN70"/>
    <mergeCell ref="G70:G71"/>
    <mergeCell ref="H70:I71"/>
    <mergeCell ref="V70:AA70"/>
    <mergeCell ref="AG70:AH70"/>
    <mergeCell ref="AI70:AJ70"/>
    <mergeCell ref="AK70:AL70"/>
    <mergeCell ref="B71:B72"/>
    <mergeCell ref="V71:AA71"/>
    <mergeCell ref="AG71:AH71"/>
    <mergeCell ref="AI71:AJ71"/>
    <mergeCell ref="AK71:AL71"/>
    <mergeCell ref="AN71:AN72"/>
    <mergeCell ref="V72:AA72"/>
    <mergeCell ref="AG72:AH72"/>
    <mergeCell ref="AI72:AJ72"/>
    <mergeCell ref="AK72:AL72"/>
    <mergeCell ref="B73:B74"/>
    <mergeCell ref="V73:AA73"/>
    <mergeCell ref="AG73:AH73"/>
    <mergeCell ref="AI73:AJ73"/>
    <mergeCell ref="AK73:AL73"/>
    <mergeCell ref="AN73:AN74"/>
    <mergeCell ref="V74:AA74"/>
    <mergeCell ref="AG74:AH74"/>
    <mergeCell ref="AI74:AJ74"/>
    <mergeCell ref="AK74:AL74"/>
    <mergeCell ref="B75:B76"/>
    <mergeCell ref="V75:AA75"/>
    <mergeCell ref="AG75:AH75"/>
    <mergeCell ref="AI75:AJ75"/>
    <mergeCell ref="AK75:AL75"/>
    <mergeCell ref="AN75:AN76"/>
    <mergeCell ref="V76:AA76"/>
    <mergeCell ref="AG76:AH76"/>
    <mergeCell ref="AI76:AJ76"/>
    <mergeCell ref="AK76:AL76"/>
    <mergeCell ref="B77:B78"/>
    <mergeCell ref="V77:AA77"/>
    <mergeCell ref="AG77:AH77"/>
    <mergeCell ref="AI77:AJ77"/>
    <mergeCell ref="AK77:AL77"/>
    <mergeCell ref="AN77:AN78"/>
    <mergeCell ref="V78:AA78"/>
    <mergeCell ref="AG78:AH78"/>
    <mergeCell ref="AI78:AJ78"/>
    <mergeCell ref="AK78:AL78"/>
    <mergeCell ref="B79:B80"/>
    <mergeCell ref="V79:AA79"/>
    <mergeCell ref="AG79:AH79"/>
    <mergeCell ref="AI79:AJ79"/>
    <mergeCell ref="AK79:AL79"/>
    <mergeCell ref="AN79:AN80"/>
    <mergeCell ref="G80:G81"/>
    <mergeCell ref="H80:I81"/>
    <mergeCell ref="V80:AA80"/>
    <mergeCell ref="AG80:AH80"/>
    <mergeCell ref="AI80:AJ80"/>
    <mergeCell ref="AK80:AL80"/>
    <mergeCell ref="B81:B82"/>
    <mergeCell ref="V81:AA81"/>
    <mergeCell ref="AG81:AH81"/>
    <mergeCell ref="AI81:AJ81"/>
    <mergeCell ref="AK81:AL81"/>
    <mergeCell ref="AN81:AN82"/>
    <mergeCell ref="V82:AA82"/>
    <mergeCell ref="AG82:AH82"/>
    <mergeCell ref="AI82:AJ82"/>
    <mergeCell ref="AK82:AL82"/>
    <mergeCell ref="B83:B84"/>
    <mergeCell ref="V83:AA83"/>
    <mergeCell ref="AG83:AH83"/>
    <mergeCell ref="AI83:AJ83"/>
    <mergeCell ref="AK83:AL83"/>
    <mergeCell ref="AN83:AN84"/>
    <mergeCell ref="V84:AA84"/>
    <mergeCell ref="AG84:AH84"/>
    <mergeCell ref="AI84:AJ84"/>
    <mergeCell ref="AK84:AL84"/>
    <mergeCell ref="B85:B86"/>
    <mergeCell ref="V85:AA85"/>
    <mergeCell ref="AG85:AH85"/>
    <mergeCell ref="AI85:AJ85"/>
    <mergeCell ref="AK85:AL85"/>
    <mergeCell ref="AN85:AN86"/>
    <mergeCell ref="V86:AA86"/>
    <mergeCell ref="AG86:AH86"/>
    <mergeCell ref="AI86:AJ86"/>
    <mergeCell ref="AK86:AL86"/>
    <mergeCell ref="B87:B88"/>
    <mergeCell ref="V87:AA87"/>
    <mergeCell ref="AG87:AH87"/>
    <mergeCell ref="AI87:AJ87"/>
    <mergeCell ref="AK87:AL87"/>
    <mergeCell ref="AN87:AN88"/>
    <mergeCell ref="M88:M102"/>
    <mergeCell ref="N88:P102"/>
    <mergeCell ref="V88:AA88"/>
    <mergeCell ref="AG88:AH88"/>
    <mergeCell ref="AI88:AJ88"/>
    <mergeCell ref="AK88:AL88"/>
    <mergeCell ref="B89:B90"/>
    <mergeCell ref="V89:AA89"/>
    <mergeCell ref="AG89:AH89"/>
    <mergeCell ref="AI89:AJ89"/>
    <mergeCell ref="AK89:AL89"/>
    <mergeCell ref="AN89:AN90"/>
    <mergeCell ref="G90:G91"/>
    <mergeCell ref="H90:I91"/>
    <mergeCell ref="V90:AA90"/>
    <mergeCell ref="AG90:AH90"/>
    <mergeCell ref="AI90:AJ90"/>
    <mergeCell ref="AK90:AL90"/>
    <mergeCell ref="B91:B92"/>
    <mergeCell ref="V91:AA91"/>
    <mergeCell ref="AG91:AH91"/>
    <mergeCell ref="AI91:AJ91"/>
    <mergeCell ref="AK91:AL91"/>
    <mergeCell ref="AN91:AN92"/>
    <mergeCell ref="V92:AA92"/>
    <mergeCell ref="AG92:AH92"/>
    <mergeCell ref="AI92:AJ92"/>
    <mergeCell ref="AK92:AL92"/>
    <mergeCell ref="B93:B94"/>
    <mergeCell ref="V93:AA93"/>
    <mergeCell ref="AG93:AH93"/>
    <mergeCell ref="AI93:AJ93"/>
    <mergeCell ref="AK93:AL93"/>
    <mergeCell ref="AN93:AN94"/>
    <mergeCell ref="V94:AA94"/>
    <mergeCell ref="AG94:AH94"/>
    <mergeCell ref="AI94:AJ94"/>
    <mergeCell ref="AK94:AL94"/>
    <mergeCell ref="B95:B96"/>
    <mergeCell ref="V95:AA95"/>
    <mergeCell ref="AG95:AH95"/>
    <mergeCell ref="AI95:AJ95"/>
    <mergeCell ref="AK95:AL95"/>
    <mergeCell ref="AN95:AN96"/>
    <mergeCell ref="V96:AA96"/>
    <mergeCell ref="AG96:AH96"/>
    <mergeCell ref="AI96:AJ96"/>
    <mergeCell ref="AK96:AL96"/>
    <mergeCell ref="B97:B98"/>
    <mergeCell ref="V97:AA97"/>
    <mergeCell ref="AG97:AH97"/>
    <mergeCell ref="AI97:AJ97"/>
    <mergeCell ref="AK97:AL97"/>
    <mergeCell ref="AN97:AN98"/>
    <mergeCell ref="V98:AA98"/>
    <mergeCell ref="AG98:AH98"/>
    <mergeCell ref="AI98:AJ98"/>
    <mergeCell ref="AK98:AL98"/>
    <mergeCell ref="B99:B100"/>
    <mergeCell ref="V99:AA99"/>
    <mergeCell ref="AG99:AH99"/>
    <mergeCell ref="AI99:AJ99"/>
    <mergeCell ref="AK99:AL99"/>
    <mergeCell ref="AN99:AN100"/>
    <mergeCell ref="V100:AA100"/>
    <mergeCell ref="AG100:AH100"/>
    <mergeCell ref="AI100:AJ100"/>
    <mergeCell ref="AK100:AL100"/>
    <mergeCell ref="B101:B102"/>
    <mergeCell ref="V101:AA101"/>
    <mergeCell ref="AG101:AH101"/>
    <mergeCell ref="AI101:AJ101"/>
    <mergeCell ref="AK101:AL101"/>
    <mergeCell ref="AN101:AN102"/>
    <mergeCell ref="V102:AA102"/>
    <mergeCell ref="AG102:AH102"/>
    <mergeCell ref="AI102:AJ102"/>
    <mergeCell ref="AK102:AL102"/>
    <mergeCell ref="B103:B104"/>
    <mergeCell ref="N103:P107"/>
    <mergeCell ref="V103:AA103"/>
    <mergeCell ref="AG103:AH103"/>
    <mergeCell ref="AI103:AJ103"/>
    <mergeCell ref="AK103:AL103"/>
    <mergeCell ref="AN103:AN104"/>
    <mergeCell ref="V104:AA104"/>
    <mergeCell ref="AG104:AH104"/>
    <mergeCell ref="AI104:AJ104"/>
    <mergeCell ref="AK104:AL104"/>
    <mergeCell ref="B105:B106"/>
    <mergeCell ref="V105:AA105"/>
    <mergeCell ref="AG105:AH105"/>
    <mergeCell ref="AI105:AJ105"/>
    <mergeCell ref="AK105:AL105"/>
    <mergeCell ref="AN105:AN106"/>
    <mergeCell ref="V106:AA106"/>
    <mergeCell ref="AG106:AH106"/>
    <mergeCell ref="AI106:AJ106"/>
    <mergeCell ref="AK106:AL106"/>
    <mergeCell ref="B107:B108"/>
    <mergeCell ref="V107:AA107"/>
    <mergeCell ref="AG107:AH107"/>
    <mergeCell ref="AI107:AJ107"/>
    <mergeCell ref="AK107:AL107"/>
    <mergeCell ref="AN107:AN108"/>
    <mergeCell ref="V108:AA108"/>
    <mergeCell ref="AG108:AH108"/>
    <mergeCell ref="AI108:AJ108"/>
    <mergeCell ref="AK108:AL108"/>
    <mergeCell ref="B109:B110"/>
    <mergeCell ref="N109:P111"/>
    <mergeCell ref="V109:AA109"/>
    <mergeCell ref="AG109:AH109"/>
    <mergeCell ref="AI109:AJ109"/>
    <mergeCell ref="AK109:AL109"/>
    <mergeCell ref="AN109:AN110"/>
    <mergeCell ref="V110:AA110"/>
    <mergeCell ref="AG110:AH110"/>
    <mergeCell ref="AI110:AJ110"/>
    <mergeCell ref="AK110:AL110"/>
    <mergeCell ref="B111:B112"/>
    <mergeCell ref="V111:AA111"/>
    <mergeCell ref="AG111:AH111"/>
    <mergeCell ref="AI111:AJ111"/>
    <mergeCell ref="AK111:AL111"/>
    <mergeCell ref="AN111:AN112"/>
    <mergeCell ref="V112:AA112"/>
    <mergeCell ref="AG112:AH112"/>
    <mergeCell ref="AI112:AJ112"/>
    <mergeCell ref="AK112:AL112"/>
    <mergeCell ref="B113:B114"/>
    <mergeCell ref="V113:AA113"/>
    <mergeCell ref="AG113:AH113"/>
    <mergeCell ref="AI113:AJ113"/>
    <mergeCell ref="AK113:AL113"/>
    <mergeCell ref="AN113:AN114"/>
    <mergeCell ref="V114:AA114"/>
    <mergeCell ref="AG114:AH114"/>
    <mergeCell ref="AI114:AJ114"/>
    <mergeCell ref="AK114:AL114"/>
    <mergeCell ref="B115:B116"/>
    <mergeCell ref="V115:AA115"/>
    <mergeCell ref="AG115:AH115"/>
    <mergeCell ref="AI115:AJ115"/>
    <mergeCell ref="AK115:AL115"/>
    <mergeCell ref="AN115:AN116"/>
    <mergeCell ref="V116:AA116"/>
    <mergeCell ref="AG116:AH116"/>
    <mergeCell ref="AI116:AJ116"/>
    <mergeCell ref="AK116:AL116"/>
    <mergeCell ref="B117:B118"/>
    <mergeCell ref="V117:AA117"/>
    <mergeCell ref="AG117:AH117"/>
    <mergeCell ref="AI117:AJ117"/>
    <mergeCell ref="AK117:AL117"/>
    <mergeCell ref="AN117:AN118"/>
    <mergeCell ref="H118:I118"/>
    <mergeCell ref="B119:S119"/>
    <mergeCell ref="T119:AL119"/>
    <mergeCell ref="B120:J120"/>
    <mergeCell ref="L120:N120"/>
    <mergeCell ref="P120:Q120"/>
    <mergeCell ref="R120:S120"/>
    <mergeCell ref="U120:V120"/>
    <mergeCell ref="X120:AB120"/>
    <mergeCell ref="AD120:AG120"/>
    <mergeCell ref="AH120:AK120"/>
    <mergeCell ref="B122:L123"/>
    <mergeCell ref="M122:S123"/>
    <mergeCell ref="U122:Z122"/>
    <mergeCell ref="AF122:AL124"/>
    <mergeCell ref="U123:Z123"/>
    <mergeCell ref="B124:L124"/>
    <mergeCell ref="M124:S124"/>
    <mergeCell ref="U124:Y124"/>
    <mergeCell ref="Z124:AE124"/>
    <mergeCell ref="T127:X131"/>
    <mergeCell ref="T133:X137"/>
    <mergeCell ref="T139:X143"/>
    <mergeCell ref="T145:X149"/>
    <mergeCell ref="Q150:T150"/>
    <mergeCell ref="R151:S151"/>
    <mergeCell ref="T151:X155"/>
    <mergeCell ref="R152:S152"/>
    <mergeCell ref="R153:S153"/>
    <mergeCell ref="R154:S154"/>
    <mergeCell ref="R155:S155"/>
    <mergeCell ref="R157:S157"/>
    <mergeCell ref="T157:X161"/>
    <mergeCell ref="R158:S158"/>
    <mergeCell ref="R159:S159"/>
    <mergeCell ref="R160:S160"/>
    <mergeCell ref="R161:S161"/>
    <mergeCell ref="R163:S163"/>
    <mergeCell ref="T163:X167"/>
    <mergeCell ref="R164:S164"/>
    <mergeCell ref="R165:S165"/>
    <mergeCell ref="R166:S166"/>
    <mergeCell ref="R167:S167"/>
    <mergeCell ref="R169:S169"/>
    <mergeCell ref="T169:X173"/>
    <mergeCell ref="R170:S170"/>
    <mergeCell ref="R171:S171"/>
    <mergeCell ref="R172:S172"/>
    <mergeCell ref="R173:S173"/>
    <mergeCell ref="R175:S175"/>
    <mergeCell ref="T175:X179"/>
    <mergeCell ref="R176:S176"/>
    <mergeCell ref="R177:S177"/>
    <mergeCell ref="R178:S178"/>
    <mergeCell ref="R179:S179"/>
  </mergeCells>
  <conditionalFormatting sqref="AT18:AT117">
    <cfRule type="expression" priority="2" aboveAverage="0" equalAverage="0" bottom="0" percent="0" rank="0" text="" dxfId="0">
      <formula>IF(K18&gt;1,0,1)</formula>
    </cfRule>
    <cfRule type="expression" priority="3" aboveAverage="0" equalAverage="0" bottom="0" percent="0" rank="0" text="" dxfId="1">
      <formula>IF(K18&gt;1,1,0)</formula>
    </cfRule>
  </conditionalFormatting>
  <conditionalFormatting sqref="AX19:AX117">
    <cfRule type="expression" priority="4" aboveAverage="0" equalAverage="0" bottom="0" percent="0" rank="0" text="" dxfId="2">
      <formula>IF(K19&gt;1,0,1)</formula>
    </cfRule>
    <cfRule type="expression" priority="5" aboveAverage="0" equalAverage="0" bottom="0" percent="0" rank="0" text="" dxfId="3">
      <formula>IF(K19&gt;1,1,0)</formula>
    </cfRule>
  </conditionalFormatting>
  <conditionalFormatting sqref="AX18">
    <cfRule type="expression" priority="6" aboveAverage="0" equalAverage="0" bottom="0" percent="0" rank="0" text="" dxfId="4">
      <formula>IF(L18&gt;1,0,1)</formula>
    </cfRule>
    <cfRule type="expression" priority="7" aboveAverage="0" equalAverage="0" bottom="0" percent="0" rank="0" text="" dxfId="5">
      <formula>IF(L18&gt;1,1,0)</formula>
    </cfRule>
  </conditionalFormatting>
  <conditionalFormatting sqref="AW19:AW117">
    <cfRule type="expression" priority="8" aboveAverage="0" equalAverage="0" bottom="0" percent="0" rank="0" text="" dxfId="6">
      <formula>IF(K19&gt;1,0,1)</formula>
    </cfRule>
    <cfRule type="expression" priority="9" aboveAverage="0" equalAverage="0" bottom="0" percent="0" rank="0" text="" dxfId="7">
      <formula>IF(K19&gt;1,1,0)</formula>
    </cfRule>
  </conditionalFormatting>
  <conditionalFormatting sqref="AW18">
    <cfRule type="expression" priority="10" aboveAverage="0" equalAverage="0" bottom="0" percent="0" rank="0" text="" dxfId="8">
      <formula>IF(L18&gt;1,0,1)</formula>
    </cfRule>
    <cfRule type="expression" priority="11" aboveAverage="0" equalAverage="0" bottom="0" percent="0" rank="0" text="" dxfId="9">
      <formula>IF(L18&gt;1,1,0)</formula>
    </cfRule>
  </conditionalFormatting>
  <conditionalFormatting sqref="AU18">
    <cfRule type="expression" priority="12" aboveAverage="0" equalAverage="0" bottom="0" percent="0" rank="0" text="" dxfId="10">
      <formula>IF(L18&gt;1,1,0)</formula>
    </cfRule>
  </conditionalFormatting>
  <conditionalFormatting sqref="AS19:AS117">
    <cfRule type="expression" priority="13" aboveAverage="0" equalAverage="0" bottom="0" percent="0" rank="0" text="" dxfId="11">
      <formula>IF(K19&gt;1,0,1)</formula>
    </cfRule>
    <cfRule type="expression" priority="14" aboveAverage="0" equalAverage="0" bottom="0" percent="0" rank="0" text="" dxfId="12">
      <formula>IF(K19&gt;1,1,0)</formula>
    </cfRule>
  </conditionalFormatting>
  <conditionalFormatting sqref="AS18">
    <cfRule type="expression" priority="15" aboveAverage="0" equalAverage="0" bottom="0" percent="0" rank="0" text="" dxfId="13">
      <formula>IF(L18&gt;1,0,1)</formula>
    </cfRule>
    <cfRule type="expression" priority="16" aboveAverage="0" equalAverage="0" bottom="0" percent="0" rank="0" text="" dxfId="14">
      <formula>IF(L18&gt;1,1,0)</formula>
    </cfRule>
  </conditionalFormatting>
  <conditionalFormatting sqref="AY19:AY117">
    <cfRule type="expression" priority="17" aboveAverage="0" equalAverage="0" bottom="0" percent="0" rank="0" text="" dxfId="15">
      <formula>IF(K19&gt;1,1,0)</formula>
    </cfRule>
  </conditionalFormatting>
  <conditionalFormatting sqref="AV19:AV117">
    <cfRule type="expression" priority="18" aboveAverage="0" equalAverage="0" bottom="0" percent="0" rank="0" text="" dxfId="16">
      <formula>IF(K19&gt;1,1,0)</formula>
    </cfRule>
  </conditionalFormatting>
  <conditionalFormatting sqref="AU19:AU117">
    <cfRule type="expression" priority="19" aboveAverage="0" equalAverage="0" bottom="0" percent="0" rank="0" text="" dxfId="17">
      <formula>IF(K19&gt;1,1,0)</formula>
    </cfRule>
  </conditionalFormatting>
  <conditionalFormatting sqref="AY18">
    <cfRule type="expression" priority="20" aboveAverage="0" equalAverage="0" bottom="0" percent="0" rank="0" text="" dxfId="18">
      <formula>IF(L18&gt;1,1,0)</formula>
    </cfRule>
  </conditionalFormatting>
  <conditionalFormatting sqref="AV18">
    <cfRule type="expression" priority="21" aboveAverage="0" equalAverage="0" bottom="0" percent="0" rank="0" text="" dxfId="19">
      <formula>IF(L18&gt;1,1,0)</formula>
    </cfRule>
  </conditionalFormatting>
  <conditionalFormatting sqref="Q19:Q117">
    <cfRule type="expression" priority="22" aboveAverage="0" equalAverage="0" bottom="0" percent="0" rank="0" text="" dxfId="20">
      <formula>IF($AN$10&gt;=A19,1,0)</formula>
    </cfRule>
  </conditionalFormatting>
  <conditionalFormatting sqref="Q18">
    <cfRule type="expression" priority="23" aboveAverage="0" equalAverage="0" bottom="0" percent="0" rank="0" text="" dxfId="21">
      <formula>IF($AN$10&gt;=A18,1,0)</formula>
    </cfRule>
  </conditionalFormatting>
  <conditionalFormatting sqref="Q18:Q117">
    <cfRule type="expression" priority="24" aboveAverage="0" equalAverage="0" bottom="0" percent="0" rank="0" text="" dxfId="22">
      <formula>IF($AN$12=A18,1,0)</formula>
    </cfRule>
    <cfRule type="expression" priority="25" aboveAverage="0" equalAverage="0" bottom="0" percent="0" rank="0" text="" dxfId="23">
      <formula>IF($S$12="NO",0,IF($AN$12&lt;A18,1,0))</formula>
    </cfRule>
  </conditionalFormatting>
  <dataValidations count="3">
    <dataValidation allowBlank="true" errorStyle="stop" operator="between" showDropDown="false" showErrorMessage="true" showInputMessage="true" sqref="AX7 AS17:AT17 AS18:AS117" type="list">
      <formula1>$AX$3:$AX$4</formula1>
      <formula2>0</formula2>
    </dataValidation>
    <dataValidation allowBlank="true" errorStyle="stop" operator="between" showDropDown="false" showErrorMessage="true" showInputMessage="true" sqref="S12" type="list">
      <formula1>$AX$9:$AX$10</formula1>
      <formula2>0</formula2>
    </dataValidation>
    <dataValidation allowBlank="true" errorStyle="stop" operator="between" showDropDown="false" showErrorMessage="true" showInputMessage="true" sqref="AT18:AT117" type="list">
      <formula1>$AY$9:$AY$11</formula1>
      <formula2>0</formula2>
    </dataValidation>
  </dataValidations>
  <printOptions headings="false" gridLines="false" gridLinesSet="true" horizontalCentered="true" verticalCentered="true"/>
  <pageMargins left="0.315277777777778" right="0.196527777777778" top="0.196527777777778" bottom="0" header="0.511811023622047" footer="0.511811023622047"/>
  <pageSetup paperSize="1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2020-12-12T05:25:06Z</dcterms:created>
  <dc:creator>Excel Ing</dc:creator>
  <dc:description/>
  <dc:language>es-ES</dc:language>
  <cp:lastModifiedBy/>
  <cp:lastPrinted>2024-06-14T04:20:55Z</cp:lastPrinted>
  <dcterms:modified xsi:type="dcterms:W3CDTF">2026-02-14T11:42:01Z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